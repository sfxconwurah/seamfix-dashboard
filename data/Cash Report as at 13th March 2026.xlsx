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<sst xmlns="http://schemas.openxmlformats.org/spreadsheetml/2006/main" count="493" uniqueCount="292">
  <si>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</si>
  <si>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</si>
  <si>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</si>
  <si>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</si>
  <si>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</si>
  <si>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</si>
  <si>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</si>
  <si>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</si>
  <si>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NSITF</t>
  </si>
  <si>
    <t>Refund</t>
  </si>
  <si>
    <t>ID4Africa Registration</t>
  </si>
  <si>
    <t>Flight Ticket/Accommodation</t>
  </si>
  <si>
    <t>Tatvasoft</t>
  </si>
  <si>
    <t>Pension</t>
  </si>
  <si>
    <t>Management Allowance</t>
  </si>
  <si>
    <t>Office Supplies &amp; Fuel</t>
  </si>
  <si>
    <t>Software Tools</t>
  </si>
  <si>
    <t>Shipping &amp; Freight</t>
  </si>
  <si>
    <t>AWS</t>
  </si>
  <si>
    <t>Bind</t>
  </si>
  <si>
    <t>BTA</t>
  </si>
  <si>
    <t>Nimc consultancy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</si>
  <si>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</si>
  <si>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</si>
  <si>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</si>
  <si>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</si>
  <si>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</si>
  <si>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</si>
  <si>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</si>
  <si>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</si>
  <si>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</si>
  <si>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</si>
  <si>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</si>
  <si>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</si>
  <si>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</si>
  <si>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</si>
  <si>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NSITF Contributions</t>
  </si>
  <si>
    <t>SCB</t>
  </si>
  <si>
    <t>Bind Creative</t>
  </si>
  <si>
    <t>UBA Main</t>
  </si>
  <si>
    <t>UBA (PROJECT) </t>
  </si>
  <si>
    <t>UBA (COLLECTION 1)</t>
  </si>
  <si>
    <t>Bank Charges</t>
  </si>
  <si>
    <t>UBA (COLLECTION 2)</t>
  </si>
  <si>
    <t>Office Supplies, Fuel &amp; Letter Dispatch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</si>
  <si>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</si>
  <si>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</si>
  <si>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</si>
  <si>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</si>
  <si>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</si>
  <si>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</si>
  <si>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</si>
  <si>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</si>
  <si>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</si>
  <si>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</si>
  <si>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</si>
  <si>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</si>
  <si>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</si>
  <si>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</si>
  <si>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</si>
  <si>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</si>
  <si>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</si>
  <si>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</si>
  <si>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</si>
  <si>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</si>
  <si>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</si>
  <si>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</si>
  <si>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Int'l Women Day Donations</t>
  </si>
  <si>
    <t>Glo Income</t>
  </si>
  <si>
    <t>Interest Earned</t>
  </si>
  <si>
    <t>NIMC Income</t>
  </si>
  <si>
    <t>iTranscript Income</t>
  </si>
  <si>
    <t>NextGen</t>
  </si>
  <si>
    <t>Loan Repayment</t>
  </si>
  <si>
    <t>Insurance Claim</t>
  </si>
  <si>
    <t>MTN Income</t>
  </si>
  <si>
    <t>Inflows</t>
  </si>
  <si>
    <t>Nimc Income</t>
  </si>
  <si>
    <t>IDQR Income</t>
  </si>
  <si>
    <t>Int'l Weman Day Donations</t>
  </si>
  <si>
    <t>UBA MAIN</t>
  </si>
  <si>
    <t>UBA Project</t>
  </si>
  <si>
    <t>sa</t>
  </si>
  <si>
    <t>SEAMFIX LIMITED</t>
  </si>
  <si>
    <t>CASH AND CASH EQUIVALENT REPORT AS AT 13TH MARCH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</si>
  <si>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</si>
  <si>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</si>
  <si>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</si>
  <si>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</si>
  <si>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</si>
  <si>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</si>
  <si>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</si>
  <si>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</si>
  <si>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</si>
  <si>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</si>
  <si>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</si>
  <si>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 Glo Income
Outflow: </t>
  </si>
  <si>
    <t xml:space="preserve">Inflow:
Outflow: </t>
  </si>
  <si>
    <t>Inflow: 
Outflow: Bank Charges</t>
  </si>
  <si>
    <t>Inflow: IDQR Income
Outflow: Bank Charges</t>
  </si>
  <si>
    <t>Inflow: 
Outflow: Bank charges</t>
  </si>
  <si>
    <t xml:space="preserve">Inflow: Interbank transfer
Outflow: </t>
  </si>
  <si>
    <t>Inflow: Nimc Income
Outflow: Bank cahrges, NSITF &amp; interbank transfer</t>
  </si>
  <si>
    <t xml:space="preserve">Inflows: Interbank Transfer
Outflow: Flight booking &amp; NSITF </t>
  </si>
  <si>
    <t xml:space="preserve">C </t>
  </si>
  <si>
    <t>Inflow: Refund
Outflow: Payment Batch, interbank transfer &amp; Bank charges</t>
  </si>
  <si>
    <t xml:space="preserve">Inflows: Int'l Women day donations
Outflow: </t>
  </si>
  <si>
    <t>Wema</t>
  </si>
  <si>
    <t>Wema card A/c</t>
  </si>
  <si>
    <t>Momo Account</t>
  </si>
  <si>
    <t>TOTAL CASH (NGN)</t>
  </si>
  <si>
    <t>ZENITH BANK (USD)</t>
  </si>
  <si>
    <t xml:space="preserve">Inflow: Nimc Income
Outflow: </t>
  </si>
  <si>
    <t>Inflow: 
Outflow: BTA &amp; Mgt Allowances</t>
  </si>
  <si>
    <t>Inflow: 
Outflow:</t>
  </si>
  <si>
    <t>GTB MAIN (USD)</t>
  </si>
  <si>
    <t>Inflow:Nimc Income
Outflow: Interbank Transfer</t>
  </si>
  <si>
    <t>GTB  DEBIT CARD (USD)</t>
  </si>
  <si>
    <t>Inflow: Interbank transfer &amp; Refund 
Outflow:Software Tools, ID4Africa Registration &amp; Flight &amp;  Hotel bookings</t>
  </si>
  <si>
    <t>Inflow: 
Outflow: Bank charges, SCB overdraft collateral &amp; Bind</t>
  </si>
  <si>
    <t xml:space="preserve">Inflow: NIMC Income 
Outflow: </t>
  </si>
  <si>
    <t>TOTAL CASH (USD</t>
  </si>
  <si>
    <t>TOTAL INVESTMENTS (NGN)</t>
  </si>
  <si>
    <t>INVESTMENT HOUSE</t>
  </si>
  <si>
    <t>OPENING BALANCE (PRINCIPAL &amp; iNTEREST PAID</t>
  </si>
  <si>
    <t>COMMENTS</t>
  </si>
  <si>
    <t>FBN QUEST</t>
  </si>
  <si>
    <t>CORDROS MMF</t>
  </si>
  <si>
    <t>Alitheia funds</t>
  </si>
  <si>
    <t>STANBIC IBTC 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</si>
  <si>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</si>
  <si>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</si>
  <si>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</si>
  <si>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</si>
  <si>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</si>
  <si>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</si>
  <si>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</si>
  <si>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</si>
  <si>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</si>
  <si>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</si>
  <si>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</si>
  <si>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SCB USD mutual fund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</si>
  <si>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</si>
  <si>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</si>
  <si>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</si>
  <si>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</si>
  <si>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</si>
  <si>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</si>
  <si>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</si>
  <si>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</si>
  <si>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</si>
  <si>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- 13TH MARCH 2026</t>
  </si>
  <si>
    <t>Inflows:</t>
  </si>
  <si>
    <t>Amount</t>
  </si>
  <si>
    <t>% Ratio</t>
  </si>
  <si>
    <t>Details</t>
  </si>
  <si>
    <t>Exc rate</t>
  </si>
  <si>
    <t>Naira Equivalent</t>
  </si>
  <si>
    <t>Opening Balance- 7th March NGN</t>
  </si>
  <si>
    <t>Opening Balance- 7th March USD</t>
  </si>
  <si>
    <t>Opening Balance- 7th March GBP</t>
  </si>
  <si>
    <t>Total Opening Balance</t>
  </si>
  <si>
    <t>Total Cash Inflows for the week</t>
  </si>
  <si>
    <t>INFLOWS</t>
  </si>
  <si>
    <t>Investment in SCB USD mutua fund</t>
  </si>
  <si>
    <t>TOTAL CASH BALANCE BEFORE OUTFLOWS</t>
  </si>
  <si>
    <t>Total Cash Outflow for the week</t>
  </si>
  <si>
    <t>Net Cash Inflow for the Week</t>
  </si>
  <si>
    <t>CASH BALANCE AS AT 13TH MARCH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</si>
  <si>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</si>
  <si>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</si>
  <si>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</si>
  <si>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</si>
  <si>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</si>
  <si>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</si>
  <si>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</si>
  <si>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Ubong Victor</t>
  </si>
  <si>
    <t>Servicing and Gas refilling of the inverter AC in the server room</t>
  </si>
  <si>
    <t>Replacement of AC indoor motor and Panel(meeting room wing A</t>
  </si>
  <si>
    <t>Johnbosco Obiekwe</t>
  </si>
  <si>
    <t>Staff advance to Johnbosco for ESUT operations</t>
  </si>
  <si>
    <t xml:space="preserve">Chidubem Chukwu </t>
  </si>
  <si>
    <t>Refund for UNN trip  (13th to 16th Jan 2026)</t>
  </si>
  <si>
    <t>George Uduma</t>
  </si>
  <si>
    <t>8th Feb - 12th Feb 2026 - Gambia</t>
  </si>
  <si>
    <t>Cynthia Onwuegbuzie</t>
  </si>
  <si>
    <t>BTA For Cynthia Onwuegbuzie 10th - 12th March, 2026 (Trip to Abuja)</t>
  </si>
  <si>
    <t>Chinedu Somadina Eze</t>
  </si>
  <si>
    <t>NSITF processing fee</t>
  </si>
  <si>
    <t>Joseph Sani</t>
  </si>
  <si>
    <t>Staff advance for Veremark verifications</t>
  </si>
  <si>
    <t>Frank</t>
  </si>
  <si>
    <t>Refund for London trip (27th Feb- 7th March 2026)</t>
  </si>
  <si>
    <t>Todara Lagso</t>
  </si>
  <si>
    <t>Balance Payment for Office Toilet Renovation</t>
  </si>
  <si>
    <t>Servicing and repairs of Generator in ESUT (Refund)</t>
  </si>
  <si>
    <t>Servicing of the 17 units of split AC in the office Q1</t>
  </si>
  <si>
    <t>Heirs General Insurance</t>
  </si>
  <si>
    <t>Life Insurance Payment</t>
  </si>
  <si>
    <t>Vetiva Trustees Limited</t>
  </si>
  <si>
    <t>Trustee Fee Payment for  Jun-Nov.2025</t>
  </si>
  <si>
    <t>Foldage Global Resources</t>
  </si>
  <si>
    <t>Replacement of Charger cord for Jumoke</t>
  </si>
  <si>
    <t>MacBook pro Battery and charging port replacement (Sunday)</t>
  </si>
  <si>
    <t>ComputerVillage NG Online Marketplace</t>
  </si>
  <si>
    <t>Purchase of spear Battery for Sony Battery for camera A7iii</t>
  </si>
  <si>
    <t>Criminal verification for seamfix staff</t>
  </si>
  <si>
    <t>RELIANCE HMO LTD</t>
  </si>
  <si>
    <t xml:space="preserve">Reliance HMO March 11, 2026 – June 10, 2026 </t>
  </si>
  <si>
    <t>BREAKDOWN OF SEAMFIX CASH BALANCES AS AT 13TH MARCH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</si>
  <si>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</si>
  <si>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</si>
  <si>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</si>
  <si>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</si>
  <si>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</si>
  <si>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</si>
  <si>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</si>
  <si>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</si>
  <si>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</si>
  <si>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</si>
  <si>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</si>
  <si>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</si>
  <si>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</si>
  <si>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</si>
  <si>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</si>
  <si>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NGN</t>
  </si>
  <si>
    <t>Stanbic IBTC Asset Management</t>
  </si>
  <si>
    <t>Mutual Fund</t>
  </si>
  <si>
    <t xml:space="preserve">Cardinal Stone Asset Management Ltd </t>
  </si>
  <si>
    <t>AIF USD</t>
  </si>
  <si>
    <t>FBNQuest Asset management</t>
  </si>
  <si>
    <t>Absa Bank</t>
  </si>
  <si>
    <t>SCB USD Mutual fund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</si>
  <si>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</si>
  <si>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</si>
  <si>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</si>
  <si>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</si>
  <si>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</si>
  <si>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</si>
  <si>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Stanbic Mutual Fund</t>
  </si>
  <si>
    <t>N120m is earmarked for NIMC payments.</t>
  </si>
  <si>
    <t>Total Naira Investments</t>
  </si>
  <si>
    <t>MARKET VALUE OF MTN SHARES</t>
  </si>
  <si>
    <t>Investment date</t>
  </si>
  <si>
    <t>Invested Amount</t>
  </si>
  <si>
    <t>Market value as at 6th March 2026</t>
  </si>
  <si>
    <t>Market value as at 13th March 2026</t>
  </si>
  <si>
    <t>USAGE OF LAST FOUR CASH WITHDRAWALS FOR SAFE</t>
  </si>
  <si>
    <t>Date</t>
  </si>
  <si>
    <t>Inflow</t>
  </si>
  <si>
    <t>Outflow</t>
  </si>
  <si>
    <t>Balance</t>
  </si>
  <si>
    <t>Balance brought forward from Nov 2025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</si>
  <si>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</si>
  <si>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</si>
  <si>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</si>
  <si>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</si>
  <si>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</si>
  <si>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</si>
  <si>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</si>
  <si>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</si>
  <si>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</si>
  <si>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</si>
  <si>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Cash withdrawn from SCB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</si>
  <si>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</si>
  <si>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</si>
  <si>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</si>
  <si>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</si>
  <si>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</si>
  <si>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</si>
  <si>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</si>
  <si>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</si>
  <si>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</si>
  <si>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</si>
  <si>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</si>
  <si>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</si>
  <si>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</si>
  <si>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</si>
  <si>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</si>
  <si>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</si>
  <si>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</si>
  <si>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</si>
  <si>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</si>
  <si>
    <t>23/02/2026</t>
  </si>
  <si>
    <t>BTA - Ebuka to Cotonou</t>
  </si>
  <si>
    <t>BTA Return - George</t>
  </si>
  <si>
    <t>Refund to Pyrich</t>
  </si>
  <si>
    <t>25/02/2026</t>
  </si>
  <si>
    <t>Cash withdrawn from Access Bank</t>
  </si>
  <si>
    <t>BTA - Ebuka</t>
  </si>
  <si>
    <t>BTA - Philip</t>
  </si>
  <si>
    <t>Feb Mgt allowance bal - Lilian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</si>
</sst>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_);[Red]\(#,##0\)"/>
    <numFmt numFmtId="169" formatCode="#,##0.00\ [$₦-467];\-#,##0.00\ [$₦-467]"/>
    <numFmt numFmtId="170" formatCode="[$£]#,##0.00"/>
    <numFmt numFmtId="171" formatCode="&quot;$&quot;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0000000000"/>
    <numFmt numFmtId="178" formatCode="[$₦-46A]#,##0.00"/>
    <numFmt numFmtId="179" formatCode="mmm yyyy"/>
    <numFmt numFmtId="180" formatCode="mm/dd/yyyy"/>
    <numFmt numFmtId="181" formatCode="&quot;$&quot;#,##0"/>
  </numFmts>
  <fonts count="3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theme="1"/>
      <name val="Arial"/>
      <scheme val="minor"/>
    </font>
    <font>
      <b/>
      <sz val="10.0"/>
      <color rgb="FF000000"/>
      <name val="Arial"/>
    </font>
    <font>
      <color rgb="FF000000"/>
      <name val="Verdana"/>
    </font>
    <font>
      <sz val="11.0"/>
      <color theme="1"/>
      <name val="Calibri"/>
    </font>
    <font>
      <b/>
      <sz val="9.0"/>
      <color theme="1"/>
      <name val="Arial"/>
    </font>
    <font>
      <sz val="9.0"/>
      <color rgb="FF000000"/>
      <name val="Arial"/>
      <scheme val="minor"/>
    </font>
    <font>
      <color rgb="FF000000"/>
      <name val="&quot;arial\"/>
    </font>
    <font>
      <color theme="1"/>
      <name val="Arial"/>
    </font>
    <font>
      <sz val="11.0"/>
      <color rgb="FF000000"/>
      <name val="Lato-Regula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color theme="1"/>
      <name val="Arial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9.0"/>
      <color rgb="FF222222"/>
      <name val="Arial"/>
    </font>
    <font>
      <color theme="1"/>
      <name val="Calibri"/>
    </font>
    <font>
      <b/>
      <color rgb="FF222222"/>
      <name val="Arial"/>
    </font>
    <font>
      <color rgb="FF222222"/>
      <name val="Arial"/>
    </font>
    <font>
      <color rgb="FF222222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0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5" fillId="2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7" fillId="2" fontId="6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6" numFmtId="165" xfId="0" applyAlignment="1" applyBorder="1" applyFont="1" applyNumberFormat="1">
      <alignment vertical="center"/>
    </xf>
    <xf borderId="10" fillId="0" fontId="7" numFmtId="166" xfId="0" applyAlignment="1" applyBorder="1" applyFont="1" applyNumberFormat="1">
      <alignment readingOrder="0"/>
    </xf>
    <xf borderId="10" fillId="0" fontId="8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0" fillId="0" fontId="1" numFmtId="4" xfId="0" applyFont="1" applyNumberFormat="1"/>
    <xf borderId="8" fillId="2" fontId="1" numFmtId="167" xfId="0" applyAlignment="1" applyBorder="1" applyFont="1" applyNumberFormat="1">
      <alignment horizontal="right" vertical="center"/>
    </xf>
    <xf borderId="0" fillId="0" fontId="2" numFmtId="4" xfId="0" applyFont="1" applyNumberFormat="1"/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10" fillId="0" fontId="9" numFmtId="166" xfId="0" applyAlignment="1" applyBorder="1" applyFont="1" applyNumberFormat="1">
      <alignment horizontal="right"/>
    </xf>
    <xf borderId="0" fillId="0" fontId="5" numFmtId="4" xfId="0" applyFont="1" applyNumberFormat="1"/>
    <xf borderId="12" fillId="2" fontId="6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13" fillId="2" fontId="6" numFmtId="165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0" fillId="0" fontId="1" numFmtId="0" xfId="0" applyFont="1"/>
    <xf borderId="0" fillId="0" fontId="1" numFmtId="164" xfId="0" applyFont="1" applyNumberFormat="1"/>
    <xf borderId="11" fillId="2" fontId="1" numFmtId="0" xfId="0" applyBorder="1" applyFont="1"/>
    <xf borderId="0" fillId="0" fontId="6" numFmtId="4" xfId="0" applyFont="1" applyNumberFormat="1"/>
    <xf borderId="0" fillId="0" fontId="10" numFmtId="4" xfId="0" applyFont="1" applyNumberFormat="1"/>
    <xf borderId="0" fillId="2" fontId="11" numFmtId="4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12" numFmtId="166" xfId="0" applyAlignment="1" applyFont="1" applyNumberFormat="1">
      <alignment horizontal="right" readingOrder="0" shrinkToFit="0" vertical="bottom" wrapText="0"/>
    </xf>
    <xf borderId="0" fillId="0" fontId="10" numFmtId="167" xfId="0" applyFont="1" applyNumberFormat="1"/>
    <xf borderId="8" fillId="2" fontId="6" numFmtId="164" xfId="0" applyAlignment="1" applyBorder="1" applyFont="1" applyNumberFormat="1">
      <alignment vertical="center"/>
    </xf>
    <xf borderId="0" fillId="0" fontId="1" numFmtId="167" xfId="0" applyFont="1" applyNumberFormat="1"/>
    <xf borderId="14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0" fillId="0" fontId="5" numFmtId="0" xfId="0" applyFont="1"/>
    <xf borderId="8" fillId="2" fontId="1" numFmtId="4" xfId="0" applyAlignment="1" applyBorder="1" applyFont="1" applyNumberFormat="1">
      <alignment vertical="center"/>
    </xf>
    <xf borderId="10" fillId="0" fontId="3" numFmtId="166" xfId="0" applyAlignment="1" applyBorder="1" applyFont="1" applyNumberFormat="1">
      <alignment horizontal="right"/>
    </xf>
    <xf borderId="15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0" fillId="2" fontId="1" numFmtId="4" xfId="0" applyAlignment="1" applyBorder="1" applyFont="1" applyNumberFormat="1">
      <alignment vertical="center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7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8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3" numFmtId="0" xfId="0" applyFont="1"/>
    <xf borderId="0" fillId="0" fontId="3" numFmtId="164" xfId="0" applyFont="1" applyNumberFormat="1"/>
    <xf borderId="13" fillId="0" fontId="13" numFmtId="164" xfId="0" applyBorder="1" applyFont="1" applyNumberFormat="1"/>
    <xf borderId="10" fillId="0" fontId="14" numFmtId="166" xfId="0" applyBorder="1" applyFont="1" applyNumberFormat="1"/>
    <xf borderId="10" fillId="0" fontId="7" numFmtId="166" xfId="0" applyBorder="1" applyFont="1" applyNumberFormat="1"/>
    <xf borderId="13" fillId="0" fontId="3" numFmtId="164" xfId="0" applyBorder="1" applyFont="1" applyNumberFormat="1"/>
    <xf borderId="0" fillId="0" fontId="2" numFmtId="4" xfId="0" applyFont="1" applyNumberFormat="1"/>
    <xf borderId="0" fillId="2" fontId="15" numFmtId="166" xfId="0" applyAlignment="1" applyFont="1" applyNumberFormat="1">
      <alignment horizontal="right" readingOrder="0"/>
    </xf>
    <xf borderId="0" fillId="0" fontId="6" numFmtId="0" xfId="0" applyFont="1"/>
    <xf borderId="0" fillId="0" fontId="6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10" numFmtId="164" xfId="0" applyFont="1" applyNumberFormat="1"/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7" numFmtId="4" xfId="0" applyFont="1" applyNumberFormat="1"/>
    <xf borderId="0" fillId="0" fontId="13" numFmtId="164" xfId="0" applyAlignment="1" applyFont="1" applyNumberFormat="1">
      <alignment horizontal="right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13" numFmtId="4" xfId="0" applyFont="1" applyNumberFormat="1"/>
    <xf borderId="0" fillId="0" fontId="10" numFmtId="4" xfId="0" applyFont="1" applyNumberFormat="1"/>
    <xf borderId="19" fillId="0" fontId="3" numFmtId="164" xfId="0" applyBorder="1" applyFont="1" applyNumberFormat="1"/>
    <xf borderId="0" fillId="0" fontId="12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3" numFmtId="4" xfId="0" applyAlignment="1" applyBorder="1" applyFont="1" applyNumberFormat="1">
      <alignment horizontal="right"/>
    </xf>
    <xf borderId="0" fillId="0" fontId="13" numFmtId="4" xfId="0" applyAlignment="1" applyFont="1" applyNumberFormat="1">
      <alignment horizontal="right"/>
    </xf>
    <xf borderId="0" fillId="0" fontId="9" numFmtId="0" xfId="0" applyFont="1"/>
    <xf borderId="0" fillId="3" fontId="17" numFmtId="166" xfId="0" applyAlignment="1" applyFill="1" applyFont="1" applyNumberFormat="1">
      <alignment horizontal="right" readingOrder="0"/>
    </xf>
    <xf borderId="0" fillId="0" fontId="9" numFmtId="4" xfId="0" applyAlignment="1" applyFont="1" applyNumberFormat="1">
      <alignment horizontal="right"/>
    </xf>
    <xf borderId="1" fillId="2" fontId="14" numFmtId="164" xfId="0" applyBorder="1" applyFont="1" applyNumberFormat="1"/>
    <xf borderId="13" fillId="0" fontId="18" numFmtId="168" xfId="0" applyAlignment="1" applyBorder="1" applyFont="1" applyNumberFormat="1">
      <alignment horizontal="center" shrinkToFit="0" wrapText="1"/>
    </xf>
    <xf borderId="20" fillId="0" fontId="19" numFmtId="0" xfId="0" applyBorder="1" applyFont="1"/>
    <xf borderId="21" fillId="0" fontId="19" numFmtId="0" xfId="0" applyBorder="1" applyFont="1"/>
    <xf borderId="0" fillId="0" fontId="9" numFmtId="4" xfId="0" applyFont="1" applyNumberFormat="1"/>
    <xf borderId="13" fillId="0" fontId="18" numFmtId="168" xfId="0" applyAlignment="1" applyBorder="1" applyFont="1" applyNumberFormat="1">
      <alignment horizontal="center" readingOrder="0" shrinkToFit="0" wrapText="1"/>
    </xf>
    <xf borderId="10" fillId="4" fontId="18" numFmtId="168" xfId="0" applyAlignment="1" applyBorder="1" applyFill="1" applyFont="1" applyNumberFormat="1">
      <alignment horizontal="center" shrinkToFit="0" wrapText="1"/>
    </xf>
    <xf borderId="10" fillId="4" fontId="18" numFmtId="169" xfId="0" applyAlignment="1" applyBorder="1" applyFont="1" applyNumberFormat="1">
      <alignment horizontal="center" shrinkToFit="0" wrapText="1"/>
    </xf>
    <xf borderId="10" fillId="4" fontId="18" numFmtId="0" xfId="0" applyAlignment="1" applyBorder="1" applyFont="1">
      <alignment horizontal="center" shrinkToFit="0" wrapText="1"/>
    </xf>
    <xf borderId="10" fillId="0" fontId="14" numFmtId="168" xfId="0" applyAlignment="1" applyBorder="1" applyFont="1" applyNumberFormat="1">
      <alignment horizontal="center"/>
    </xf>
    <xf borderId="10" fillId="0" fontId="20" numFmtId="164" xfId="0" applyBorder="1" applyFont="1" applyNumberFormat="1"/>
    <xf borderId="10" fillId="0" fontId="20" numFmtId="166" xfId="0" applyBorder="1" applyFont="1" applyNumberFormat="1"/>
    <xf borderId="10" fillId="0" fontId="14" numFmtId="164" xfId="0" applyAlignment="1" applyBorder="1" applyFont="1" applyNumberFormat="1">
      <alignment horizontal="center"/>
    </xf>
    <xf borderId="10" fillId="0" fontId="14" numFmtId="164" xfId="0" applyBorder="1" applyFont="1" applyNumberFormat="1"/>
    <xf borderId="10" fillId="0" fontId="9" numFmtId="0" xfId="0" applyAlignment="1" applyBorder="1" applyFont="1">
      <alignment readingOrder="0" shrinkToFit="0" wrapText="1"/>
    </xf>
    <xf borderId="0" fillId="0" fontId="9" numFmtId="169" xfId="0" applyFont="1" applyNumberFormat="1"/>
    <xf borderId="10" fillId="0" fontId="9" numFmtId="0" xfId="0" applyAlignment="1" applyBorder="1" applyFont="1">
      <alignment shrinkToFit="0" wrapText="1"/>
    </xf>
    <xf borderId="10" fillId="2" fontId="20" numFmtId="164" xfId="0" applyBorder="1" applyFont="1" applyNumberFormat="1"/>
    <xf borderId="10" fillId="0" fontId="9" numFmtId="166" xfId="0" applyAlignment="1" applyBorder="1" applyFont="1" applyNumberFormat="1">
      <alignment horizontal="right" readingOrder="0"/>
    </xf>
    <xf borderId="13" fillId="2" fontId="9" numFmtId="166" xfId="0" applyBorder="1" applyFont="1" applyNumberFormat="1"/>
    <xf borderId="0" fillId="0" fontId="21" numFmtId="166" xfId="0" applyAlignment="1" applyFont="1" applyNumberFormat="1">
      <alignment horizontal="right" readingOrder="0" shrinkToFit="0" vertical="bottom" wrapText="0"/>
    </xf>
    <xf borderId="13" fillId="2" fontId="18" numFmtId="166" xfId="0" applyBorder="1" applyFont="1" applyNumberFormat="1"/>
    <xf borderId="10" fillId="0" fontId="9" numFmtId="0" xfId="0" applyAlignment="1" applyBorder="1" applyFont="1">
      <alignment horizontal="left" readingOrder="0" shrinkToFit="0" wrapText="1"/>
    </xf>
    <xf borderId="0" fillId="0" fontId="18" numFmtId="166" xfId="0" applyAlignment="1" applyFont="1" applyNumberFormat="1">
      <alignment horizontal="right" shrinkToFit="0" vertical="bottom" wrapText="0"/>
    </xf>
    <xf borderId="11" fillId="2" fontId="9" numFmtId="166" xfId="0" applyAlignment="1" applyBorder="1" applyFont="1" applyNumberFormat="1">
      <alignment horizontal="right"/>
    </xf>
    <xf borderId="21" fillId="0" fontId="20" numFmtId="164" xfId="0" applyBorder="1" applyFont="1" applyNumberFormat="1"/>
    <xf borderId="10" fillId="0" fontId="14" numFmtId="0" xfId="0" applyBorder="1" applyFont="1"/>
    <xf borderId="22" fillId="0" fontId="20" numFmtId="168" xfId="0" applyAlignment="1" applyBorder="1" applyFont="1" applyNumberFormat="1">
      <alignment horizontal="center" shrinkToFit="0" wrapText="1"/>
    </xf>
    <xf borderId="10" fillId="0" fontId="18" numFmtId="166" xfId="0" applyBorder="1" applyFont="1" applyNumberFormat="1"/>
    <xf borderId="10" fillId="0" fontId="9" numFmtId="0" xfId="0" applyBorder="1" applyFont="1"/>
    <xf borderId="10" fillId="0" fontId="20" numFmtId="164" xfId="0" applyAlignment="1" applyBorder="1" applyFont="1" applyNumberFormat="1">
      <alignment horizontal="right" shrinkToFit="0" wrapText="1"/>
    </xf>
    <xf borderId="23" fillId="0" fontId="14" numFmtId="168" xfId="0" applyAlignment="1" applyBorder="1" applyFont="1" applyNumberFormat="1">
      <alignment horizontal="center"/>
    </xf>
    <xf borderId="20" fillId="0" fontId="14" numFmtId="164" xfId="0" applyBorder="1" applyFont="1" applyNumberFormat="1"/>
    <xf borderId="24" fillId="0" fontId="14" numFmtId="0" xfId="0" applyAlignment="1" applyBorder="1" applyFont="1">
      <alignment horizontal="right"/>
    </xf>
    <xf borderId="10" fillId="0" fontId="9" numFmtId="169" xfId="0" applyBorder="1" applyFont="1" applyNumberFormat="1"/>
    <xf borderId="10" fillId="0" fontId="14" numFmtId="164" xfId="0" applyAlignment="1" applyBorder="1" applyFont="1" applyNumberFormat="1">
      <alignment horizontal="right"/>
    </xf>
    <xf borderId="10" fillId="0" fontId="14" numFmtId="166" xfId="0" applyAlignment="1" applyBorder="1" applyFont="1" applyNumberFormat="1">
      <alignment horizontal="right"/>
    </xf>
    <xf borderId="0" fillId="0" fontId="14" numFmtId="166" xfId="0" applyFont="1" applyNumberFormat="1"/>
    <xf borderId="25" fillId="0" fontId="18" numFmtId="170" xfId="0" applyAlignment="1" applyBorder="1" applyFont="1" applyNumberFormat="1">
      <alignment horizontal="right" shrinkToFit="0" wrapText="1"/>
    </xf>
    <xf borderId="10" fillId="0" fontId="14" numFmtId="164" xfId="0" applyAlignment="1" applyBorder="1" applyFont="1" applyNumberFormat="1">
      <alignment horizontal="center" readingOrder="0"/>
    </xf>
    <xf borderId="26" fillId="2" fontId="20" numFmtId="164" xfId="0" applyBorder="1" applyFont="1" applyNumberFormat="1"/>
    <xf borderId="0" fillId="0" fontId="21" numFmtId="171" xfId="0" applyAlignment="1" applyFont="1" applyNumberFormat="1">
      <alignment horizontal="right" readingOrder="0" shrinkToFit="0" vertical="bottom" wrapText="0"/>
    </xf>
    <xf borderId="13" fillId="0" fontId="20" numFmtId="164" xfId="0" applyBorder="1" applyFont="1" applyNumberFormat="1"/>
    <xf borderId="10" fillId="0" fontId="20" numFmtId="171" xfId="0" applyAlignment="1" applyBorder="1" applyFont="1" applyNumberFormat="1">
      <alignment horizontal="right"/>
    </xf>
    <xf borderId="27" fillId="0" fontId="14" numFmtId="171" xfId="0" applyAlignment="1" applyBorder="1" applyFont="1" applyNumberFormat="1">
      <alignment horizontal="right"/>
    </xf>
    <xf borderId="10" fillId="0" fontId="18" numFmtId="171" xfId="0" applyBorder="1" applyFont="1" applyNumberFormat="1"/>
    <xf borderId="10" fillId="0" fontId="14" numFmtId="164" xfId="0" applyAlignment="1" applyBorder="1" applyFont="1" applyNumberFormat="1">
      <alignment horizontal="right" readingOrder="0"/>
    </xf>
    <xf borderId="28" fillId="0" fontId="20" numFmtId="164" xfId="0" applyBorder="1" applyFont="1" applyNumberFormat="1"/>
    <xf borderId="13" fillId="0" fontId="18" numFmtId="0" xfId="0" applyAlignment="1" applyBorder="1" applyFont="1">
      <alignment horizontal="center"/>
    </xf>
    <xf borderId="10" fillId="0" fontId="9" numFmtId="171" xfId="0" applyBorder="1" applyFont="1" applyNumberFormat="1"/>
    <xf borderId="10" fillId="0" fontId="22" numFmtId="164" xfId="0" applyAlignment="1" applyBorder="1" applyFont="1" applyNumberFormat="1">
      <alignment horizontal="right" shrinkToFit="0" wrapText="1"/>
    </xf>
    <xf borderId="10" fillId="0" fontId="20" numFmtId="172" xfId="0" applyAlignment="1" applyBorder="1" applyFont="1" applyNumberFormat="1">
      <alignment horizontal="right" shrinkToFit="0" wrapText="1"/>
    </xf>
    <xf borderId="10" fillId="0" fontId="18" numFmtId="169" xfId="0" applyBorder="1" applyFont="1" applyNumberFormat="1"/>
    <xf borderId="0" fillId="0" fontId="14" numFmtId="0" xfId="0" applyFont="1"/>
    <xf borderId="0" fillId="0" fontId="14" numFmtId="169" xfId="0" applyFont="1" applyNumberFormat="1"/>
    <xf borderId="0" fillId="0" fontId="14" numFmtId="4" xfId="0" applyFont="1" applyNumberFormat="1"/>
    <xf borderId="0" fillId="0" fontId="18" numFmtId="0" xfId="0" applyFont="1"/>
    <xf borderId="0" fillId="0" fontId="9" numFmtId="170" xfId="0" applyAlignment="1" applyFont="1" applyNumberFormat="1">
      <alignment horizontal="right" shrinkToFit="0" wrapText="1"/>
    </xf>
    <xf borderId="1" fillId="2" fontId="14" numFmtId="4" xfId="0" applyBorder="1" applyFont="1" applyNumberFormat="1"/>
    <xf borderId="13" fillId="0" fontId="20" numFmtId="168" xfId="0" applyAlignment="1" applyBorder="1" applyFont="1" applyNumberFormat="1">
      <alignment horizontal="center" shrinkToFit="0" wrapText="1"/>
    </xf>
    <xf borderId="10" fillId="0" fontId="18" numFmtId="0" xfId="0" applyAlignment="1" applyBorder="1" applyFont="1">
      <alignment horizontal="center"/>
    </xf>
    <xf borderId="29" fillId="4" fontId="14" numFmtId="168" xfId="0" applyAlignment="1" applyBorder="1" applyFont="1" applyNumberFormat="1">
      <alignment horizontal="center" shrinkToFit="0" wrapText="1"/>
    </xf>
    <xf borderId="30" fillId="4" fontId="20" numFmtId="164" xfId="0" applyAlignment="1" applyBorder="1" applyFont="1" applyNumberFormat="1">
      <alignment shrinkToFit="0" wrapText="1"/>
    </xf>
    <xf borderId="10" fillId="4" fontId="20" numFmtId="0" xfId="0" applyAlignment="1" applyBorder="1" applyFont="1">
      <alignment horizontal="center" shrinkToFit="0" wrapText="1"/>
    </xf>
    <xf borderId="10" fillId="4" fontId="18" numFmtId="0" xfId="0" applyAlignment="1" applyBorder="1" applyFont="1">
      <alignment horizontal="center"/>
    </xf>
    <xf borderId="27" fillId="0" fontId="9" numFmtId="168" xfId="0" applyAlignment="1" applyBorder="1" applyFont="1" applyNumberFormat="1">
      <alignment horizontal="center" readingOrder="0" shrinkToFit="0" wrapText="1"/>
    </xf>
    <xf borderId="25" fillId="0" fontId="9" numFmtId="164" xfId="0" applyAlignment="1" applyBorder="1" applyFont="1" applyNumberFormat="1">
      <alignment shrinkToFit="0" wrapText="1"/>
    </xf>
    <xf borderId="25" fillId="0" fontId="14" numFmtId="173" xfId="0" applyAlignment="1" applyBorder="1" applyFont="1" applyNumberFormat="1">
      <alignment horizontal="right"/>
    </xf>
    <xf borderId="25" fillId="0" fontId="9" numFmtId="164" xfId="0" applyAlignment="1" applyBorder="1" applyFont="1" applyNumberFormat="1">
      <alignment horizontal="center" shrinkToFit="0" wrapText="1"/>
    </xf>
    <xf borderId="25" fillId="0" fontId="9" numFmtId="173" xfId="0" applyAlignment="1" applyBorder="1" applyFont="1" applyNumberFormat="1">
      <alignment horizontal="right" shrinkToFit="0" wrapText="1"/>
    </xf>
    <xf borderId="25" fillId="0" fontId="9" numFmtId="164" xfId="0" applyAlignment="1" applyBorder="1" applyFont="1" applyNumberFormat="1">
      <alignment horizontal="right" shrinkToFit="0" wrapText="1"/>
    </xf>
    <xf borderId="10" fillId="0" fontId="18" numFmtId="0" xfId="0" applyBorder="1" applyFont="1"/>
    <xf borderId="0" fillId="0" fontId="9" numFmtId="171" xfId="0" applyAlignment="1" applyFont="1" applyNumberFormat="1">
      <alignment horizontal="right" readingOrder="0" shrinkToFit="0" vertical="bottom" wrapText="0"/>
    </xf>
    <xf borderId="27" fillId="0" fontId="14" numFmtId="173" xfId="0" applyAlignment="1" applyBorder="1" applyFont="1" applyNumberFormat="1">
      <alignment horizontal="right"/>
    </xf>
    <xf borderId="25" fillId="0" fontId="14" numFmtId="173" xfId="0" applyAlignment="1" applyBorder="1" applyFont="1" applyNumberFormat="1">
      <alignment horizontal="right" readingOrder="0"/>
    </xf>
    <xf borderId="10" fillId="0" fontId="18" numFmtId="0" xfId="0" applyAlignment="1" applyBorder="1" applyFont="1">
      <alignment horizontal="left"/>
    </xf>
    <xf borderId="23" fillId="0" fontId="18" numFmtId="168" xfId="0" applyAlignment="1" applyBorder="1" applyFont="1" applyNumberFormat="1">
      <alignment horizontal="center" shrinkToFit="0" wrapText="1"/>
    </xf>
    <xf borderId="24" fillId="0" fontId="19" numFmtId="0" xfId="0" applyBorder="1" applyFont="1"/>
    <xf borderId="25" fillId="0" fontId="19" numFmtId="0" xfId="0" applyBorder="1" applyFont="1"/>
    <xf borderId="25" fillId="0" fontId="18" numFmtId="173" xfId="0" applyAlignment="1" applyBorder="1" applyFont="1" applyNumberFormat="1">
      <alignment horizontal="right" shrinkToFit="0" wrapText="1"/>
    </xf>
    <xf borderId="0" fillId="0" fontId="9" numFmtId="171" xfId="0" applyFont="1" applyNumberFormat="1"/>
    <xf borderId="29" fillId="4" fontId="9" numFmtId="168" xfId="0" applyAlignment="1" applyBorder="1" applyFont="1" applyNumberFormat="1">
      <alignment horizontal="center" shrinkToFit="0" wrapText="1"/>
    </xf>
    <xf borderId="30" fillId="4" fontId="18" numFmtId="164" xfId="0" applyAlignment="1" applyBorder="1" applyFont="1" applyNumberFormat="1">
      <alignment shrinkToFit="0" wrapText="1"/>
    </xf>
    <xf borderId="10" fillId="4" fontId="20" numFmtId="0" xfId="0" applyAlignment="1" applyBorder="1" applyFont="1">
      <alignment horizontal="center"/>
    </xf>
    <xf borderId="31" fillId="4" fontId="20" numFmtId="0" xfId="0" applyAlignment="1" applyBorder="1" applyFont="1">
      <alignment horizontal="center"/>
    </xf>
    <xf borderId="27" fillId="0" fontId="9" numFmtId="168" xfId="0" applyAlignment="1" applyBorder="1" applyFont="1" applyNumberFormat="1">
      <alignment horizontal="center" shrinkToFit="0" wrapText="1"/>
    </xf>
    <xf borderId="32" fillId="2" fontId="9" numFmtId="171" xfId="0" applyAlignment="1" applyBorder="1" applyFont="1" applyNumberFormat="1">
      <alignment horizontal="right" readingOrder="0"/>
    </xf>
    <xf borderId="10" fillId="0" fontId="14" numFmtId="171" xfId="0" applyAlignment="1" applyBorder="1" applyFont="1" applyNumberFormat="1">
      <alignment horizontal="right"/>
    </xf>
    <xf borderId="24" fillId="0" fontId="14" numFmtId="164" xfId="0" applyAlignment="1" applyBorder="1" applyFont="1" applyNumberFormat="1">
      <alignment horizontal="right" shrinkToFit="0" wrapText="1"/>
    </xf>
    <xf borderId="10" fillId="0" fontId="9" numFmtId="164" xfId="0" applyAlignment="1" applyBorder="1" applyFont="1" applyNumberFormat="1">
      <alignment horizontal="center" shrinkToFit="0" wrapText="1"/>
    </xf>
    <xf borderId="10" fillId="0" fontId="9" numFmtId="173" xfId="0" applyAlignment="1" applyBorder="1" applyFont="1" applyNumberFormat="1">
      <alignment horizontal="center"/>
    </xf>
    <xf borderId="10" fillId="0" fontId="9" numFmtId="0" xfId="0" applyAlignment="1" applyBorder="1" applyFont="1">
      <alignment horizontal="center"/>
    </xf>
    <xf borderId="10" fillId="0" fontId="9" numFmtId="164" xfId="0" applyAlignment="1" applyBorder="1" applyFont="1" applyNumberFormat="1">
      <alignment shrinkToFit="0" wrapText="1"/>
    </xf>
    <xf borderId="23" fillId="0" fontId="9" numFmtId="168" xfId="0" applyAlignment="1" applyBorder="1" applyFont="1" applyNumberFormat="1">
      <alignment horizontal="left" shrinkToFit="0" wrapText="1"/>
    </xf>
    <xf borderId="32" fillId="2" fontId="9" numFmtId="171" xfId="0" applyAlignment="1" applyBorder="1" applyFont="1" applyNumberFormat="1">
      <alignment horizontal="right"/>
    </xf>
    <xf borderId="10" fillId="0" fontId="9" numFmtId="174" xfId="0" applyAlignment="1" applyBorder="1" applyFont="1" applyNumberFormat="1">
      <alignment horizontal="center" readingOrder="0"/>
    </xf>
    <xf borderId="23" fillId="0" fontId="9" numFmtId="168" xfId="0" applyAlignment="1" applyBorder="1" applyFont="1" applyNumberFormat="1">
      <alignment horizontal="left" readingOrder="0" shrinkToFit="0" wrapText="1"/>
    </xf>
    <xf borderId="28" fillId="0" fontId="9" numFmtId="171" xfId="0" applyAlignment="1" applyBorder="1" applyFont="1" applyNumberFormat="1">
      <alignment horizontal="right" readingOrder="0" shrinkToFit="0" wrapText="1"/>
    </xf>
    <xf borderId="10" fillId="0" fontId="9" numFmtId="171" xfId="0" applyAlignment="1" applyBorder="1" applyFont="1" applyNumberFormat="1">
      <alignment horizontal="right" readingOrder="0" shrinkToFit="0" wrapText="1"/>
    </xf>
    <xf borderId="10" fillId="0" fontId="18" numFmtId="171" xfId="0" applyAlignment="1" applyBorder="1" applyFont="1" applyNumberFormat="1">
      <alignment horizontal="center" shrinkToFit="0" wrapText="1"/>
    </xf>
    <xf borderId="10" fillId="0" fontId="18" numFmtId="171" xfId="0" applyAlignment="1" applyBorder="1" applyFont="1" applyNumberFormat="1">
      <alignment horizontal="right" shrinkToFit="0" wrapText="1"/>
    </xf>
    <xf borderId="13" fillId="0" fontId="14" numFmtId="164" xfId="0" applyAlignment="1" applyBorder="1" applyFont="1" applyNumberFormat="1">
      <alignment horizontal="right" shrinkToFit="0" wrapText="1"/>
    </xf>
    <xf borderId="0" fillId="0" fontId="9" numFmtId="171" xfId="0" applyFont="1" applyNumberFormat="1"/>
    <xf borderId="0" fillId="0" fontId="18" numFmtId="0" xfId="0" applyAlignment="1" applyFont="1">
      <alignment horizontal="center" shrinkToFit="0" wrapText="1"/>
    </xf>
    <xf borderId="33" fillId="4" fontId="18" numFmtId="0" xfId="0" applyAlignment="1" applyBorder="1" applyFont="1">
      <alignment horizontal="center" shrinkToFit="0" wrapText="1"/>
    </xf>
    <xf borderId="0" fillId="0" fontId="9" numFmtId="171" xfId="0" applyAlignment="1" applyFont="1" applyNumberFormat="1">
      <alignment horizontal="right" readingOrder="0" shrinkToFit="0" vertical="bottom" wrapText="0"/>
    </xf>
    <xf borderId="0" fillId="0" fontId="9" numFmtId="0" xfId="0" applyFont="1"/>
    <xf borderId="27" fillId="0" fontId="9" numFmtId="0" xfId="0" applyAlignment="1" applyBorder="1" applyFont="1">
      <alignment shrinkToFit="0" wrapText="1"/>
    </xf>
    <xf borderId="25" fillId="0" fontId="9" numFmtId="175" xfId="0" applyAlignment="1" applyBorder="1" applyFont="1" applyNumberFormat="1">
      <alignment horizontal="right" shrinkToFit="0" wrapText="1"/>
    </xf>
    <xf borderId="25" fillId="0" fontId="9" numFmtId="4" xfId="0" applyAlignment="1" applyBorder="1" applyFont="1" applyNumberFormat="1">
      <alignment horizontal="center" shrinkToFit="0" wrapText="1"/>
    </xf>
    <xf borderId="10" fillId="0" fontId="9" numFmtId="4" xfId="0" applyAlignment="1" applyBorder="1" applyFont="1" applyNumberFormat="1">
      <alignment horizontal="right" shrinkToFit="0" wrapText="1"/>
    </xf>
    <xf borderId="25" fillId="0" fontId="9" numFmtId="176" xfId="0" applyAlignment="1" applyBorder="1" applyFont="1" applyNumberFormat="1">
      <alignment horizontal="right" shrinkToFit="0" wrapText="1"/>
    </xf>
    <xf borderId="13" fillId="0" fontId="9" numFmtId="164" xfId="0" applyAlignment="1" applyBorder="1" applyFont="1" applyNumberFormat="1">
      <alignment horizontal="center"/>
    </xf>
    <xf borderId="25" fillId="0" fontId="9" numFmtId="170" xfId="0" applyAlignment="1" applyBorder="1" applyFont="1" applyNumberFormat="1">
      <alignment horizontal="right" shrinkToFit="0" wrapText="1"/>
    </xf>
    <xf borderId="23" fillId="0" fontId="9" numFmtId="4" xfId="0" applyAlignment="1" applyBorder="1" applyFont="1" applyNumberFormat="1">
      <alignment horizontal="center" shrinkToFit="0" wrapText="1"/>
    </xf>
    <xf borderId="0" fillId="0" fontId="9" numFmtId="4" xfId="0" applyAlignment="1" applyFont="1" applyNumberFormat="1">
      <alignment horizontal="right" readingOrder="0" shrinkToFit="0" vertical="bottom" wrapText="0"/>
    </xf>
    <xf borderId="23" fillId="0" fontId="18" numFmtId="0" xfId="0" applyAlignment="1" applyBorder="1" applyFont="1">
      <alignment horizontal="center" shrinkToFit="0" wrapText="1"/>
    </xf>
    <xf borderId="10" fillId="0" fontId="18" numFmtId="4" xfId="0" applyAlignment="1" applyBorder="1" applyFont="1" applyNumberFormat="1">
      <alignment horizontal="right" shrinkToFit="0" wrapText="1"/>
    </xf>
    <xf borderId="1" fillId="2" fontId="23" numFmtId="0" xfId="0" applyBorder="1" applyFont="1"/>
    <xf borderId="0" fillId="0" fontId="23" numFmtId="0" xfId="0" applyFont="1"/>
    <xf borderId="10" fillId="2" fontId="23" numFmtId="0" xfId="0" applyBorder="1" applyFont="1"/>
    <xf borderId="0" fillId="0" fontId="23" numFmtId="0" xfId="0" applyFont="1"/>
    <xf borderId="13" fillId="2" fontId="24" numFmtId="0" xfId="0" applyAlignment="1" applyBorder="1" applyFont="1">
      <alignment horizontal="center" readingOrder="0"/>
    </xf>
    <xf borderId="28" fillId="2" fontId="24" numFmtId="0" xfId="0" applyAlignment="1" applyBorder="1" applyFont="1">
      <alignment shrinkToFit="0" wrapText="1"/>
    </xf>
    <xf borderId="34" fillId="2" fontId="24" numFmtId="0" xfId="0" applyAlignment="1" applyBorder="1" applyFont="1">
      <alignment horizontal="center"/>
    </xf>
    <xf borderId="10" fillId="2" fontId="24" numFmtId="0" xfId="0" applyAlignment="1" applyBorder="1" applyFont="1">
      <alignment horizontal="right"/>
    </xf>
    <xf borderId="10" fillId="2" fontId="24" numFmtId="0" xfId="0" applyAlignment="1" applyBorder="1" applyFont="1">
      <alignment horizontal="center"/>
    </xf>
    <xf borderId="11" fillId="2" fontId="23" numFmtId="0" xfId="0" applyBorder="1" applyFont="1"/>
    <xf borderId="10" fillId="0" fontId="0" numFmtId="0" xfId="0" applyAlignment="1" applyBorder="1" applyFont="1">
      <alignment shrinkToFit="0" vertical="bottom" wrapText="0"/>
    </xf>
    <xf borderId="10" fillId="0" fontId="0" numFmtId="4" xfId="0" applyAlignment="1" applyBorder="1" applyFont="1" applyNumberFormat="1">
      <alignment horizontal="right" shrinkToFit="0" vertical="bottom" wrapText="0"/>
    </xf>
    <xf borderId="10" fillId="2" fontId="23" numFmtId="10" xfId="0" applyAlignment="1" applyBorder="1" applyFont="1" applyNumberFormat="1">
      <alignment horizontal="right"/>
    </xf>
    <xf borderId="35" fillId="2" fontId="23" numFmtId="0" xfId="0" applyBorder="1" applyFont="1"/>
    <xf borderId="10" fillId="2" fontId="23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3" numFmtId="4" xfId="0" applyAlignment="1" applyBorder="1" applyFont="1" applyNumberFormat="1">
      <alignment horizontal="center"/>
    </xf>
    <xf borderId="10" fillId="2" fontId="23" numFmtId="4" xfId="0" applyAlignment="1" applyBorder="1" applyFont="1" applyNumberFormat="1">
      <alignment horizontal="right"/>
    </xf>
    <xf borderId="10" fillId="2" fontId="0" numFmtId="171" xfId="0" applyAlignment="1" applyBorder="1" applyFont="1" applyNumberFormat="1">
      <alignment horizontal="right"/>
    </xf>
    <xf borderId="10" fillId="2" fontId="23" numFmtId="164" xfId="0" applyAlignment="1" applyBorder="1" applyFont="1" applyNumberFormat="1">
      <alignment horizontal="center"/>
    </xf>
    <xf borderId="10" fillId="0" fontId="0" numFmtId="0" xfId="0" applyAlignment="1" applyBorder="1" applyFont="1">
      <alignment readingOrder="0" shrinkToFit="0" vertical="bottom" wrapText="0"/>
    </xf>
    <xf borderId="36" fillId="0" fontId="23" numFmtId="170" xfId="0" applyAlignment="1" applyBorder="1" applyFont="1" applyNumberFormat="1">
      <alignment horizontal="right" shrinkToFit="0" wrapText="1"/>
    </xf>
    <xf borderId="10" fillId="0" fontId="23" numFmtId="164" xfId="0" applyAlignment="1" applyBorder="1" applyFont="1" applyNumberFormat="1">
      <alignment horizontal="center"/>
    </xf>
    <xf borderId="10" fillId="2" fontId="24" numFmtId="0" xfId="0" applyBorder="1" applyFont="1"/>
    <xf borderId="10" fillId="2" fontId="24" numFmtId="4" xfId="0" applyAlignment="1" applyBorder="1" applyFont="1" applyNumberFormat="1">
      <alignment horizontal="right"/>
    </xf>
    <xf borderId="10" fillId="0" fontId="5" numFmtId="0" xfId="0" applyAlignment="1" applyBorder="1" applyFont="1">
      <alignment readingOrder="0"/>
    </xf>
    <xf borderId="10" fillId="0" fontId="5" numFmtId="4" xfId="0" applyBorder="1" applyFont="1" applyNumberFormat="1"/>
    <xf borderId="10" fillId="0" fontId="23" numFmtId="0" xfId="0" applyBorder="1" applyFont="1"/>
    <xf borderId="10" fillId="0" fontId="23" numFmtId="0" xfId="0" applyAlignment="1" applyBorder="1" applyFont="1">
      <alignment horizontal="right"/>
    </xf>
    <xf borderId="10" fillId="2" fontId="24" numFmtId="0" xfId="0" applyAlignment="1" applyBorder="1" applyFont="1">
      <alignment shrinkToFit="0" wrapText="1"/>
    </xf>
    <xf borderId="28" fillId="2" fontId="24" numFmtId="0" xfId="0" applyBorder="1" applyFont="1"/>
    <xf borderId="10" fillId="0" fontId="5" numFmtId="0" xfId="0" applyBorder="1" applyFont="1"/>
    <xf borderId="10" fillId="0" fontId="23" numFmtId="4" xfId="0" applyAlignment="1" applyBorder="1" applyFont="1" applyNumberFormat="1">
      <alignment horizontal="right"/>
    </xf>
    <xf borderId="10" fillId="2" fontId="23" numFmtId="0" xfId="0" applyAlignment="1" applyBorder="1" applyFont="1">
      <alignment shrinkToFit="0" wrapText="1"/>
    </xf>
    <xf borderId="10" fillId="0" fontId="23" numFmtId="4" xfId="0" applyAlignment="1" applyBorder="1" applyFont="1" applyNumberFormat="1">
      <alignment horizontal="right" shrinkToFit="0" vertical="bottom" wrapText="0"/>
    </xf>
    <xf borderId="10" fillId="0" fontId="0" numFmtId="4" xfId="0" applyAlignment="1" applyBorder="1" applyFont="1" applyNumberFormat="1">
      <alignment shrinkToFit="0" vertical="bottom" wrapText="0"/>
    </xf>
    <xf borderId="10" fillId="0" fontId="0" numFmtId="167" xfId="0" applyAlignment="1" applyBorder="1" applyFont="1" applyNumberFormat="1">
      <alignment horizontal="right" shrinkToFit="0" vertical="bottom" wrapText="0"/>
    </xf>
    <xf borderId="10" fillId="0" fontId="23" numFmtId="0" xfId="0" applyAlignment="1" applyBorder="1" applyFont="1">
      <alignment readingOrder="0"/>
    </xf>
    <xf borderId="10" fillId="0" fontId="23" numFmtId="4" xfId="0" applyBorder="1" applyFont="1" applyNumberFormat="1"/>
    <xf borderId="10" fillId="0" fontId="23" numFmtId="0" xfId="0" applyBorder="1" applyFont="1"/>
    <xf borderId="10" fillId="2" fontId="0" numFmtId="0" xfId="0" applyBorder="1" applyFont="1"/>
    <xf borderId="33" fillId="2" fontId="24" numFmtId="164" xfId="0" applyAlignment="1" applyBorder="1" applyFont="1" applyNumberFormat="1">
      <alignment horizontal="right"/>
    </xf>
    <xf borderId="10" fillId="2" fontId="24" numFmtId="10" xfId="0" applyAlignment="1" applyBorder="1" applyFont="1" applyNumberFormat="1">
      <alignment horizontal="right"/>
    </xf>
    <xf borderId="10" fillId="0" fontId="25" numFmtId="164" xfId="0" applyBorder="1" applyFont="1" applyNumberFormat="1"/>
    <xf borderId="29" fillId="2" fontId="24" numFmtId="0" xfId="0" applyBorder="1" applyFont="1"/>
    <xf borderId="10" fillId="2" fontId="24" numFmtId="4" xfId="0" applyBorder="1" applyFont="1" applyNumberFormat="1"/>
    <xf borderId="28" fillId="2" fontId="23" numFmtId="4" xfId="0" applyAlignment="1" applyBorder="1" applyFont="1" applyNumberFormat="1">
      <alignment horizontal="right"/>
    </xf>
    <xf borderId="10" fillId="2" fontId="24" numFmtId="164" xfId="0" applyBorder="1" applyFont="1" applyNumberFormat="1"/>
    <xf borderId="10" fillId="2" fontId="26" numFmtId="0" xfId="0" applyBorder="1" applyFont="1"/>
    <xf borderId="10" fillId="2" fontId="26" numFmtId="4" xfId="0" applyBorder="1" applyFont="1" applyNumberFormat="1"/>
    <xf borderId="0" fillId="2" fontId="23" numFmtId="0" xfId="0" applyFont="1"/>
    <xf borderId="10" fillId="2" fontId="24" numFmtId="0" xfId="0" applyAlignment="1" applyBorder="1" applyFont="1">
      <alignment readingOrder="0"/>
    </xf>
    <xf borderId="10" fillId="2" fontId="27" numFmtId="0" xfId="0" applyAlignment="1" applyBorder="1" applyFont="1">
      <alignment horizontal="left"/>
    </xf>
    <xf borderId="10" fillId="2" fontId="27" numFmtId="0" xfId="0" applyAlignment="1" applyBorder="1" applyFont="1">
      <alignment horizontal="right"/>
    </xf>
    <xf borderId="10" fillId="2" fontId="27" numFmtId="0" xfId="0" applyAlignment="1" applyBorder="1" applyFont="1">
      <alignment horizontal="center"/>
    </xf>
    <xf borderId="10" fillId="2" fontId="28" numFmtId="0" xfId="0" applyBorder="1" applyFont="1"/>
    <xf borderId="10" fillId="2" fontId="28" numFmtId="171" xfId="0" applyAlignment="1" applyBorder="1" applyFont="1" applyNumberFormat="1">
      <alignment horizontal="right"/>
    </xf>
    <xf borderId="10" fillId="2" fontId="28" numFmtId="164" xfId="0" applyAlignment="1" applyBorder="1" applyFont="1" applyNumberFormat="1">
      <alignment horizontal="right"/>
    </xf>
    <xf borderId="10" fillId="2" fontId="23" numFmtId="4" xfId="0" applyBorder="1" applyFont="1" applyNumberFormat="1"/>
    <xf borderId="32" fillId="2" fontId="28" numFmtId="0" xfId="0" applyBorder="1" applyFont="1"/>
    <xf borderId="32" fillId="2" fontId="28" numFmtId="0" xfId="0" applyAlignment="1" applyBorder="1" applyFont="1">
      <alignment horizontal="right"/>
    </xf>
    <xf borderId="32" fillId="2" fontId="28" numFmtId="164" xfId="0" applyAlignment="1" applyBorder="1" applyFont="1" applyNumberFormat="1">
      <alignment horizontal="right"/>
    </xf>
    <xf borderId="32" fillId="2" fontId="0" numFmtId="4" xfId="0" applyBorder="1" applyFont="1" applyNumberFormat="1"/>
    <xf borderId="10" fillId="2" fontId="27" numFmtId="0" xfId="0" applyBorder="1" applyFont="1"/>
    <xf borderId="13" fillId="0" fontId="24" numFmtId="0" xfId="0" applyAlignment="1" applyBorder="1" applyFont="1">
      <alignment horizontal="center"/>
    </xf>
    <xf borderId="37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center"/>
    </xf>
    <xf borderId="10" fillId="2" fontId="29" numFmtId="4" xfId="0" applyAlignment="1" applyBorder="1" applyFont="1" applyNumberFormat="1">
      <alignment vertical="bottom"/>
    </xf>
    <xf borderId="10" fillId="0" fontId="12" numFmtId="4" xfId="0" applyAlignment="1" applyBorder="1" applyFont="1" applyNumberFormat="1">
      <alignment horizontal="right" readingOrder="0" shrinkToFit="0" vertical="bottom" wrapText="0"/>
    </xf>
    <xf borderId="10" fillId="0" fontId="3" numFmtId="177" xfId="0" applyAlignment="1" applyBorder="1" applyFont="1" applyNumberFormat="1">
      <alignment vertical="bottom"/>
    </xf>
    <xf borderId="37" fillId="2" fontId="0" numFmtId="0" xfId="0" applyAlignment="1" applyBorder="1" applyFont="1">
      <alignment shrinkToFit="0" wrapText="1"/>
    </xf>
    <xf borderId="10" fillId="0" fontId="3" numFmtId="177" xfId="0" applyAlignment="1" applyBorder="1" applyFont="1" applyNumberFormat="1">
      <alignment horizontal="right" vertical="bottom"/>
    </xf>
    <xf borderId="10" fillId="0" fontId="3" numFmtId="171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37" fillId="2" fontId="23" numFmtId="0" xfId="0" applyBorder="1" applyFont="1"/>
    <xf borderId="10" fillId="2" fontId="29" numFmtId="0" xfId="0" applyAlignment="1" applyBorder="1" applyFont="1">
      <alignment vertical="bottom"/>
    </xf>
    <xf borderId="10" fillId="2" fontId="16" numFmtId="0" xfId="0" applyAlignment="1" applyBorder="1" applyFont="1">
      <alignment vertical="bottom"/>
    </xf>
    <xf borderId="10" fillId="2" fontId="29" numFmtId="0" xfId="0" applyAlignment="1" applyBorder="1" applyFont="1">
      <alignment vertical="bottom"/>
    </xf>
    <xf borderId="37" fillId="0" fontId="23" numFmtId="0" xfId="0" applyBorder="1" applyFont="1"/>
    <xf borderId="10" fillId="0" fontId="3" numFmtId="0" xfId="0" applyAlignment="1" applyBorder="1" applyFont="1">
      <alignment vertical="bottom"/>
    </xf>
    <xf borderId="10" fillId="0" fontId="30" numFmtId="0" xfId="0" applyAlignment="1" applyBorder="1" applyFont="1">
      <alignment vertical="bottom"/>
    </xf>
    <xf borderId="10" fillId="0" fontId="16" numFmtId="0" xfId="0" applyAlignment="1" applyBorder="1" applyFont="1">
      <alignment vertical="bottom"/>
    </xf>
    <xf borderId="10" fillId="0" fontId="30" numFmtId="0" xfId="0" applyAlignment="1" applyBorder="1" applyFont="1">
      <alignment vertical="bottom"/>
    </xf>
    <xf borderId="10" fillId="2" fontId="29" numFmtId="0" xfId="0" applyAlignment="1" applyBorder="1" applyFont="1">
      <alignment vertical="bottom"/>
    </xf>
    <xf borderId="10" fillId="2" fontId="30" numFmtId="0" xfId="0" applyAlignment="1" applyBorder="1" applyFont="1">
      <alignment vertical="bottom"/>
    </xf>
    <xf borderId="10" fillId="0" fontId="16" numFmtId="0" xfId="0" applyAlignment="1" applyBorder="1" applyFont="1">
      <alignment vertical="bottom"/>
    </xf>
    <xf borderId="10" fillId="0" fontId="24" numFmtId="4" xfId="0" applyBorder="1" applyFont="1" applyNumberFormat="1"/>
    <xf borderId="13" fillId="4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shrinkToFit="0" wrapText="1"/>
    </xf>
    <xf borderId="21" fillId="0" fontId="6" numFmtId="0" xfId="0" applyAlignment="1" applyBorder="1" applyFont="1">
      <alignment horizontal="center" shrinkToFit="0" wrapText="1"/>
    </xf>
    <xf borderId="21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0" fillId="0" fontId="12" numFmtId="171" xfId="0" applyAlignment="1" applyFont="1" applyNumberFormat="1">
      <alignment horizontal="right" readingOrder="0" shrinkToFit="0" vertical="bottom" wrapText="0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5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0" fillId="0" fontId="12" numFmtId="171" xfId="0" applyAlignment="1" applyFont="1" applyNumberFormat="1">
      <alignment shrinkToFit="0" vertical="bottom" wrapText="0"/>
    </xf>
    <xf borderId="10" fillId="0" fontId="1" numFmtId="171" xfId="0" applyAlignment="1" applyBorder="1" applyFont="1" applyNumberFormat="1">
      <alignment horizontal="right"/>
    </xf>
    <xf borderId="25" fillId="0" fontId="1" numFmtId="170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12" numFmtId="171" xfId="0" applyAlignment="1" applyFont="1" applyNumberFormat="1">
      <alignment horizontal="right" readingOrder="0" shrinkToFit="0" vertical="bottom" wrapText="0"/>
    </xf>
    <xf borderId="23" fillId="0" fontId="1" numFmtId="4" xfId="0" applyAlignment="1" applyBorder="1" applyFont="1" applyNumberFormat="1">
      <alignment horizontal="center" shrinkToFit="0" wrapText="1"/>
    </xf>
    <xf borderId="0" fillId="0" fontId="12" numFmtId="178" xfId="0" applyAlignment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horizontal="left"/>
    </xf>
    <xf borderId="13" fillId="0" fontId="6" numFmtId="0" xfId="0" applyAlignment="1" applyBorder="1" applyFont="1">
      <alignment horizontal="center"/>
    </xf>
    <xf borderId="10" fillId="0" fontId="6" numFmtId="173" xfId="0" applyAlignment="1" applyBorder="1" applyFont="1" applyNumberFormat="1">
      <alignment horizontal="center"/>
    </xf>
    <xf borderId="10" fillId="0" fontId="6" numFmtId="171" xfId="0" applyAlignment="1" applyBorder="1" applyFont="1" applyNumberFormat="1">
      <alignment horizontal="right"/>
    </xf>
    <xf borderId="10" fillId="0" fontId="6" numFmtId="170" xfId="0" applyBorder="1" applyFont="1" applyNumberFormat="1"/>
    <xf borderId="10" fillId="0" fontId="6" numFmtId="173" xfId="0" applyBorder="1" applyFont="1" applyNumberFormat="1"/>
    <xf borderId="0" fillId="0" fontId="1" numFmtId="171" xfId="0" applyAlignment="1" applyFont="1" applyNumberFormat="1">
      <alignment readingOrder="0"/>
    </xf>
    <xf borderId="0" fillId="0" fontId="1" numFmtId="171" xfId="0" applyFont="1" applyNumberFormat="1"/>
    <xf borderId="13" fillId="4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0" fillId="0" fontId="1" numFmtId="171" xfId="0" applyFont="1" applyNumberFormat="1"/>
    <xf borderId="27" fillId="0" fontId="1" numFmtId="0" xfId="0" applyBorder="1" applyFont="1"/>
    <xf borderId="25" fillId="0" fontId="1" numFmtId="171" xfId="0" applyAlignment="1" applyBorder="1" applyFont="1" applyNumberFormat="1">
      <alignment horizontal="right"/>
    </xf>
    <xf borderId="10" fillId="0" fontId="2" numFmtId="171" xfId="0" applyAlignment="1" applyBorder="1" applyFont="1" applyNumberFormat="1">
      <alignment horizontal="right" readingOrder="0"/>
    </xf>
    <xf borderId="25" fillId="0" fontId="1" numFmtId="0" xfId="0" applyBorder="1" applyFont="1"/>
    <xf borderId="0" fillId="0" fontId="4" numFmtId="171" xfId="0" applyAlignment="1" applyFont="1" applyNumberFormat="1">
      <alignment horizontal="right" readingOrder="0" shrinkToFit="0" vertical="bottom" wrapText="0"/>
    </xf>
    <xf borderId="10" fillId="0" fontId="1" numFmtId="171" xfId="0" applyBorder="1" applyFont="1" applyNumberFormat="1"/>
    <xf borderId="10" fillId="0" fontId="1" numFmtId="171" xfId="0" applyBorder="1" applyFont="1" applyNumberFormat="1"/>
    <xf borderId="0" fillId="0" fontId="1" numFmtId="0" xfId="0" applyAlignment="1" applyFont="1">
      <alignment vertical="center"/>
    </xf>
    <xf borderId="10" fillId="0" fontId="23" numFmtId="171" xfId="0" applyAlignment="1" applyBorder="1" applyFont="1" applyNumberFormat="1">
      <alignment horizontal="right" readingOrder="0"/>
    </xf>
    <xf borderId="25" fillId="0" fontId="1" numFmtId="0" xfId="0" applyAlignment="1" applyBorder="1" applyFont="1">
      <alignment shrinkToFit="0" vertical="center" wrapText="1"/>
    </xf>
    <xf borderId="10" fillId="0" fontId="1" numFmtId="171" xfId="0" applyAlignment="1" applyBorder="1" applyFont="1" applyNumberFormat="1">
      <alignment horizontal="right" readingOrder="0"/>
    </xf>
    <xf borderId="10" fillId="0" fontId="1" numFmtId="171" xfId="0" applyAlignment="1" applyBorder="1" applyFont="1" applyNumberFormat="1">
      <alignment readingOrder="0"/>
    </xf>
    <xf borderId="25" fillId="0" fontId="1" numFmtId="174" xfId="0" applyAlignment="1" applyBorder="1" applyFont="1" applyNumberFormat="1">
      <alignment readingOrder="0"/>
    </xf>
    <xf borderId="27" fillId="0" fontId="1" numFmtId="0" xfId="0" applyAlignment="1" applyBorder="1" applyFont="1">
      <alignment readingOrder="0"/>
    </xf>
    <xf borderId="25" fillId="0" fontId="1" numFmtId="171" xfId="0" applyAlignment="1" applyBorder="1" applyFont="1" applyNumberFormat="1">
      <alignment horizontal="right" readingOrder="0"/>
    </xf>
    <xf borderId="30" fillId="2" fontId="6" numFmtId="171" xfId="0" applyAlignment="1" applyBorder="1" applyFont="1" applyNumberFormat="1">
      <alignment horizontal="right"/>
    </xf>
    <xf borderId="38" fillId="2" fontId="6" numFmtId="171" xfId="0" applyAlignment="1" applyBorder="1" applyFont="1" applyNumberFormat="1">
      <alignment horizontal="right"/>
    </xf>
    <xf borderId="28" fillId="0" fontId="1" numFmtId="0" xfId="0" applyBorder="1" applyFont="1"/>
    <xf borderId="0" fillId="0" fontId="1" numFmtId="4" xfId="0" applyFont="1" applyNumberFormat="1"/>
    <xf borderId="22" fillId="0" fontId="1" numFmtId="4" xfId="0" applyAlignment="1" applyBorder="1" applyFont="1" applyNumberFormat="1">
      <alignment readingOrder="0"/>
    </xf>
    <xf borderId="22" fillId="0" fontId="1" numFmtId="0" xfId="0" applyBorder="1" applyFont="1"/>
    <xf borderId="22" fillId="0" fontId="2" numFmtId="164" xfId="0" applyAlignment="1" applyBorder="1" applyFont="1" applyNumberFormat="1">
      <alignment horizontal="center"/>
    </xf>
    <xf borderId="25" fillId="2" fontId="31" numFmtId="171" xfId="0" applyAlignment="1" applyBorder="1" applyFont="1" applyNumberFormat="1">
      <alignment horizontal="right" readingOrder="0" vertical="bottom"/>
    </xf>
    <xf borderId="25" fillId="2" fontId="32" numFmtId="0" xfId="0" applyAlignment="1" applyBorder="1" applyFont="1">
      <alignment vertical="bottom"/>
    </xf>
    <xf borderId="0" fillId="0" fontId="1" numFmtId="173" xfId="0" applyAlignment="1" applyFont="1" applyNumberFormat="1">
      <alignment horizontal="right" shrinkToFit="0" wrapText="1"/>
    </xf>
    <xf borderId="0" fillId="2" fontId="32" numFmtId="171" xfId="0" applyFont="1" applyNumberFormat="1"/>
    <xf borderId="0" fillId="0" fontId="2" numFmtId="171" xfId="0" applyAlignment="1" applyFont="1" applyNumberFormat="1">
      <alignment horizontal="right"/>
    </xf>
    <xf borderId="10" fillId="0" fontId="2" numFmtId="171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6" numFmtId="0" xfId="0" applyBorder="1" applyFont="1"/>
    <xf borderId="10" fillId="0" fontId="6" numFmtId="171" xfId="0" applyBorder="1" applyFont="1" applyNumberFormat="1"/>
    <xf borderId="10" fillId="0" fontId="10" numFmtId="171" xfId="0" applyAlignment="1" applyBorder="1" applyFont="1" applyNumberFormat="1">
      <alignment horizontal="center"/>
    </xf>
    <xf borderId="10" fillId="0" fontId="2" numFmtId="173" xfId="0" applyBorder="1" applyFont="1" applyNumberFormat="1"/>
    <xf borderId="22" fillId="0" fontId="2" numFmtId="171" xfId="0" applyAlignment="1" applyBorder="1" applyFont="1" applyNumberFormat="1">
      <alignment horizontal="right"/>
    </xf>
    <xf borderId="0" fillId="0" fontId="1" numFmtId="171" xfId="0" applyAlignment="1" applyFont="1" applyNumberFormat="1">
      <alignment horizontal="right"/>
    </xf>
    <xf borderId="39" fillId="0" fontId="19" numFmtId="0" xfId="0" applyBorder="1" applyFont="1"/>
    <xf borderId="10" fillId="0" fontId="2" numFmtId="166" xfId="0" applyAlignment="1" applyBorder="1" applyFont="1" applyNumberFormat="1">
      <alignment horizontal="right" readingOrder="0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66" xfId="0" applyAlignment="1" applyFont="1" applyNumberForma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1" numFmtId="166" xfId="0" applyAlignment="1" applyBorder="1" applyFont="1" applyNumberFormat="1">
      <alignment horizontal="right" shrinkToFit="0" vertical="top" wrapText="1"/>
    </xf>
    <xf borderId="0" fillId="0" fontId="2" numFmtId="4" xfId="0" applyAlignment="1" applyFont="1" applyNumberFormat="1">
      <alignment horizontal="right"/>
    </xf>
    <xf borderId="23" fillId="0" fontId="1" numFmtId="0" xfId="0" applyBorder="1" applyFont="1"/>
    <xf borderId="10" fillId="0" fontId="1" numFmtId="179" xfId="0" applyAlignment="1" applyBorder="1" applyFont="1" applyNumberFormat="1">
      <alignment readingOrder="0"/>
    </xf>
    <xf borderId="10" fillId="2" fontId="33" numFmtId="173" xfId="0" applyAlignment="1" applyBorder="1" applyFont="1" applyNumberFormat="1">
      <alignment readingOrder="0"/>
    </xf>
    <xf borderId="23" fillId="0" fontId="1" numFmtId="0" xfId="0" applyAlignment="1" applyBorder="1" applyFont="1">
      <alignment readingOrder="0"/>
    </xf>
    <xf borderId="13" fillId="0" fontId="24" numFmtId="0" xfId="0" applyAlignment="1" applyBorder="1" applyFont="1">
      <alignment horizontal="center" readingOrder="0"/>
    </xf>
    <xf borderId="10" fillId="0" fontId="24" numFmtId="0" xfId="0" applyAlignment="1" applyBorder="1" applyFont="1">
      <alignment horizontal="center" readingOrder="0"/>
    </xf>
    <xf borderId="10" fillId="0" fontId="23" numFmtId="180" xfId="0" applyAlignment="1" applyBorder="1" applyFont="1" applyNumberFormat="1">
      <alignment horizontal="right" vertical="bottom"/>
    </xf>
    <xf borderId="10" fillId="0" fontId="23" numFmtId="0" xfId="0" applyAlignment="1" applyBorder="1" applyFont="1">
      <alignment readingOrder="0" vertical="bottom"/>
    </xf>
    <xf borderId="10" fillId="0" fontId="23" numFmtId="4" xfId="0" applyAlignment="1" applyBorder="1" applyFont="1" applyNumberFormat="1">
      <alignment vertical="bottom"/>
    </xf>
    <xf borderId="10" fillId="0" fontId="23" numFmtId="171" xfId="0" applyAlignment="1" applyBorder="1" applyFont="1" applyNumberFormat="1">
      <alignment horizontal="right" vertical="bottom"/>
    </xf>
    <xf borderId="10" fillId="0" fontId="23" numFmtId="0" xfId="0" applyAlignment="1" applyBorder="1" applyFont="1">
      <alignment vertical="bottom"/>
    </xf>
    <xf borderId="10" fillId="0" fontId="23" numFmtId="171" xfId="0" applyAlignment="1" applyBorder="1" applyFont="1" applyNumberFormat="1">
      <alignment vertical="bottom"/>
    </xf>
    <xf borderId="10" fillId="0" fontId="23" numFmtId="0" xfId="0" applyAlignment="1" applyBorder="1" applyFont="1">
      <alignment horizontal="right" vertical="bottom"/>
    </xf>
    <xf borderId="10" fillId="0" fontId="23" numFmtId="181" xfId="0" applyAlignment="1" applyBorder="1" applyFont="1" applyNumberFormat="1">
      <alignment horizontal="right" vertical="bottom"/>
    </xf>
    <xf borderId="10" fillId="0" fontId="23" numFmtId="4" xfId="0" applyAlignment="1" applyBorder="1" applyFont="1" applyNumberFormat="1">
      <alignment horizontal="right" vertical="bottom"/>
    </xf>
    <xf borderId="10" fillId="0" fontId="16" numFmtId="0" xfId="0" applyAlignment="1" applyBorder="1" applyFont="1">
      <alignment horizontal="right" vertical="bottom"/>
    </xf>
    <xf borderId="10" fillId="0" fontId="16" numFmtId="4" xfId="0" applyAlignment="1" applyBorder="1" applyFont="1" applyNumberFormat="1">
      <alignment vertical="bottom"/>
    </xf>
    <xf borderId="10" fillId="0" fontId="16" numFmtId="181" xfId="0" applyAlignment="1" applyBorder="1" applyFont="1" applyNumberFormat="1">
      <alignment horizontal="right" vertical="bottom"/>
    </xf>
    <xf borderId="10" fillId="0" fontId="16" numFmtId="171" xfId="0" applyAlignment="1" applyBorder="1" applyFont="1" applyNumberFormat="1">
      <alignment vertical="bottom"/>
    </xf>
    <xf borderId="10" fillId="0" fontId="16" numFmtId="180" xfId="0" applyAlignment="1" applyBorder="1" applyFont="1" applyNumberFormat="1">
      <alignment horizontal="right" vertical="bottom"/>
    </xf>
    <xf borderId="10" fillId="0" fontId="16" numFmtId="171" xfId="0" applyAlignment="1" applyBorder="1" applyFont="1" applyNumberFormat="1">
      <alignment horizontal="right" vertical="bottom"/>
    </xf>
    <xf borderId="10" fillId="0" fontId="23" numFmtId="0" xfId="0" applyAlignment="1" applyBorder="1" applyFont="1">
      <alignment horizontal="right" readingOrder="0"/>
    </xf>
    <xf borderId="10" fillId="0" fontId="23" numFmtId="181" xfId="0" applyAlignment="1" applyBorder="1" applyFont="1" applyNumberFormat="1">
      <alignment readingOrder="0"/>
    </xf>
    <xf borderId="10" fillId="0" fontId="16" numFmtId="4" xfId="0" applyAlignment="1" applyBorder="1" applyFont="1" applyNumberFormat="1">
      <alignment horizontal="right" vertical="bottom"/>
    </xf>
    <xf borderId="10" fillId="0" fontId="16" numFmtId="18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783953055.9</v>
      </c>
      <c r="E2" s="3">
        <f>SUM(G2:AC2)</f>
        <v>783953055.9</v>
      </c>
      <c r="F2" s="6"/>
      <c r="G2" s="6">
        <f t="shared" ref="G2:AC2" si="1">G38</f>
        <v>659321680</v>
      </c>
      <c r="H2" s="6">
        <f t="shared" si="1"/>
        <v>15115115.17</v>
      </c>
      <c r="I2" s="6">
        <f t="shared" si="1"/>
        <v>17721102.12</v>
      </c>
      <c r="J2" s="6">
        <f t="shared" si="1"/>
        <v>30322.5</v>
      </c>
      <c r="K2" s="6">
        <f t="shared" si="1"/>
        <v>0</v>
      </c>
      <c r="L2" s="6">
        <f t="shared" si="1"/>
        <v>0</v>
      </c>
      <c r="M2" s="6">
        <f t="shared" si="1"/>
        <v>4775676.505</v>
      </c>
      <c r="N2" s="6">
        <f t="shared" si="1"/>
        <v>0</v>
      </c>
      <c r="O2" s="6">
        <f t="shared" si="1"/>
        <v>0</v>
      </c>
      <c r="P2" s="6">
        <f t="shared" si="1"/>
        <v>209053.5</v>
      </c>
      <c r="Q2" s="6">
        <f t="shared" si="1"/>
        <v>775092</v>
      </c>
      <c r="R2" s="6">
        <f t="shared" si="1"/>
        <v>2955236.024</v>
      </c>
      <c r="S2" s="6">
        <f t="shared" si="1"/>
        <v>0</v>
      </c>
      <c r="T2" s="6">
        <f t="shared" si="1"/>
        <v>0</v>
      </c>
      <c r="U2" s="6">
        <f t="shared" si="1"/>
        <v>81962699.85</v>
      </c>
      <c r="V2" s="6">
        <f t="shared" si="1"/>
        <v>1087078.2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5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6" t="s">
        <v>21</v>
      </c>
      <c r="X3" s="17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8" t="s">
        <v>28</v>
      </c>
      <c r="B4" s="19"/>
      <c r="C4" s="20" t="s">
        <v>29</v>
      </c>
      <c r="D4" s="21">
        <v>0.0</v>
      </c>
      <c r="E4" s="22">
        <f t="shared" ref="E4:E35" si="2">SUM(G4:AC4)</f>
        <v>0</v>
      </c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15.75" customHeight="1">
      <c r="A5" s="25" t="s">
        <v>30</v>
      </c>
      <c r="B5" s="19">
        <f>G2</f>
        <v>659321680</v>
      </c>
      <c r="C5" s="26" t="s">
        <v>31</v>
      </c>
      <c r="D5" s="21">
        <v>0.0</v>
      </c>
      <c r="E5" s="22">
        <f t="shared" si="2"/>
        <v>0</v>
      </c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15.75" customHeight="1">
      <c r="A6" s="27" t="s">
        <v>32</v>
      </c>
      <c r="B6" s="28">
        <f>H2</f>
        <v>15115115.17</v>
      </c>
      <c r="C6" s="20" t="s">
        <v>33</v>
      </c>
      <c r="D6" s="21">
        <v>0.0</v>
      </c>
      <c r="E6" s="22">
        <f t="shared" si="2"/>
        <v>0</v>
      </c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15.75" customHeight="1">
      <c r="A7" s="27" t="str">
        <f>R3</f>
        <v>Software Tools</v>
      </c>
      <c r="B7" s="29">
        <f>R2</f>
        <v>2955236.024</v>
      </c>
      <c r="C7" s="26" t="s">
        <v>34</v>
      </c>
      <c r="D7" s="21">
        <v>0.0</v>
      </c>
      <c r="E7" s="22">
        <f t="shared" si="2"/>
        <v>0</v>
      </c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5.75" customHeight="1">
      <c r="A8" s="27" t="s">
        <v>11</v>
      </c>
      <c r="B8" s="30">
        <f>M2</f>
        <v>4775676.505</v>
      </c>
      <c r="C8" s="26" t="s">
        <v>35</v>
      </c>
      <c r="D8" s="21">
        <v>0.0</v>
      </c>
      <c r="E8" s="22">
        <f t="shared" si="2"/>
        <v>0</v>
      </c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5.75" customHeight="1">
      <c r="A9" s="31" t="s">
        <v>36</v>
      </c>
      <c r="B9" s="29">
        <f>J2</f>
        <v>30322.5</v>
      </c>
      <c r="C9" s="20" t="s">
        <v>37</v>
      </c>
      <c r="D9" s="32">
        <v>302048.69</v>
      </c>
      <c r="E9" s="22">
        <f t="shared" si="2"/>
        <v>302048.69</v>
      </c>
      <c r="F9" s="23"/>
      <c r="G9" s="24"/>
      <c r="H9" s="24"/>
      <c r="I9" s="32">
        <v>302048.69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5.75" customHeight="1">
      <c r="A10" s="15" t="s">
        <v>38</v>
      </c>
      <c r="B10" s="33">
        <f>U2</f>
        <v>81962699.85</v>
      </c>
      <c r="C10" s="34" t="s">
        <v>39</v>
      </c>
      <c r="D10" s="21">
        <v>6.0</v>
      </c>
      <c r="E10" s="22">
        <f t="shared" si="2"/>
        <v>6</v>
      </c>
      <c r="F10" s="23"/>
      <c r="G10" s="24"/>
      <c r="H10" s="24"/>
      <c r="I10" s="35">
        <v>6.0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15" t="s">
        <v>20</v>
      </c>
      <c r="B11" s="33">
        <f>V2</f>
        <v>1087078.2</v>
      </c>
      <c r="C11" s="20" t="s">
        <v>40</v>
      </c>
      <c r="D11" s="21">
        <v>0.0</v>
      </c>
      <c r="E11" s="22">
        <f t="shared" si="2"/>
        <v>0</v>
      </c>
      <c r="F11" s="2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15.75" customHeight="1">
      <c r="A12" s="15" t="s">
        <v>14</v>
      </c>
      <c r="B12" s="33">
        <f>P2</f>
        <v>209053.5</v>
      </c>
      <c r="C12" s="26" t="s">
        <v>41</v>
      </c>
      <c r="D12" s="21">
        <v>0.0</v>
      </c>
      <c r="E12" s="22">
        <f t="shared" si="2"/>
        <v>0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15.75" customHeight="1">
      <c r="A13" s="15" t="s">
        <v>42</v>
      </c>
      <c r="B13" s="30">
        <f>I2</f>
        <v>17721102.12</v>
      </c>
      <c r="C13" s="20" t="s">
        <v>43</v>
      </c>
      <c r="D13" s="21">
        <v>0.0</v>
      </c>
      <c r="E13" s="22">
        <f t="shared" si="2"/>
        <v>0</v>
      </c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5.75" customHeight="1">
      <c r="A14" s="31" t="s">
        <v>44</v>
      </c>
      <c r="B14" s="33">
        <f>Q2</f>
        <v>775092</v>
      </c>
      <c r="C14" s="26" t="s">
        <v>45</v>
      </c>
      <c r="D14" s="21">
        <v>0.0</v>
      </c>
      <c r="E14" s="22">
        <f t="shared" si="2"/>
        <v>0</v>
      </c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5.75" customHeight="1">
      <c r="C15" s="36" t="s">
        <v>46</v>
      </c>
      <c r="D15" s="21">
        <v>0.0</v>
      </c>
      <c r="E15" s="22">
        <f t="shared" si="2"/>
        <v>0</v>
      </c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5.75" customHeight="1">
      <c r="C16" s="36" t="s">
        <v>47</v>
      </c>
      <c r="D16" s="21">
        <v>0.0</v>
      </c>
      <c r="E16" s="22">
        <f t="shared" si="2"/>
        <v>0</v>
      </c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15.75" customHeight="1">
      <c r="A17" s="15" t="s">
        <v>9</v>
      </c>
      <c r="B17" s="33">
        <f>K2</f>
        <v>0</v>
      </c>
      <c r="C17" s="37" t="s">
        <v>48</v>
      </c>
      <c r="D17" s="21">
        <v>0.0</v>
      </c>
      <c r="E17" s="22">
        <f t="shared" si="2"/>
        <v>0</v>
      </c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5.75" customHeight="1">
      <c r="A18" s="38"/>
      <c r="B18" s="39"/>
      <c r="C18" s="36" t="s">
        <v>49</v>
      </c>
      <c r="D18" s="21">
        <v>0.0</v>
      </c>
      <c r="E18" s="22">
        <f t="shared" si="2"/>
        <v>0</v>
      </c>
      <c r="F18" s="40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5.75" customHeight="1">
      <c r="A19" s="41" t="s">
        <v>4</v>
      </c>
      <c r="B19" s="42">
        <f>SUM(B5:B18)</f>
        <v>783953055.9</v>
      </c>
      <c r="C19" s="36" t="s">
        <v>50</v>
      </c>
      <c r="D19" s="32">
        <v>3123522.5</v>
      </c>
      <c r="E19" s="22">
        <f t="shared" si="2"/>
        <v>3123522.5</v>
      </c>
      <c r="F19" s="23"/>
      <c r="G19" s="24"/>
      <c r="H19" s="24"/>
      <c r="I19" s="24"/>
      <c r="J19" s="43">
        <v>30322.5</v>
      </c>
      <c r="K19" s="24"/>
      <c r="L19" s="24"/>
      <c r="M19" s="44">
        <v>3093200.0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15.75" customHeight="1">
      <c r="A20" s="27" t="s">
        <v>30</v>
      </c>
      <c r="B20" s="30">
        <f>B5</f>
        <v>659321680</v>
      </c>
      <c r="C20" s="36" t="s">
        <v>51</v>
      </c>
      <c r="D20" s="45">
        <v>1.661733017E7</v>
      </c>
      <c r="E20" s="22">
        <f t="shared" si="2"/>
        <v>16617330.17</v>
      </c>
      <c r="F20" s="23"/>
      <c r="G20" s="35">
        <v>1500000.0</v>
      </c>
      <c r="H20" s="44">
        <v>1.511511517E7</v>
      </c>
      <c r="I20" s="44">
        <v>2215.0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15.75" customHeight="1">
      <c r="A21" s="38"/>
      <c r="B21" s="46">
        <f>SUM(B19-B20)</f>
        <v>124631375.9</v>
      </c>
      <c r="C21" s="36" t="s">
        <v>52</v>
      </c>
      <c r="D21" s="21">
        <v>0.0</v>
      </c>
      <c r="E21" s="22">
        <f t="shared" si="2"/>
        <v>0</v>
      </c>
      <c r="F21" s="2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15.75" customHeight="1">
      <c r="A22" s="38"/>
      <c r="B22" s="47"/>
      <c r="C22" s="36" t="s">
        <v>53</v>
      </c>
      <c r="D22" s="32">
        <v>775092.0000000001</v>
      </c>
      <c r="E22" s="22">
        <f t="shared" si="2"/>
        <v>775092</v>
      </c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2">
        <v>775092.0000000001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15.75" customHeight="1">
      <c r="A23" s="38"/>
      <c r="B23" s="48"/>
      <c r="C23" s="49" t="s">
        <v>54</v>
      </c>
      <c r="D23" s="21">
        <v>0.0</v>
      </c>
      <c r="E23" s="22">
        <f t="shared" si="2"/>
        <v>0</v>
      </c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15.75" customHeight="1">
      <c r="A24" s="38"/>
      <c r="B24" s="38"/>
      <c r="C24" s="20" t="s">
        <v>55</v>
      </c>
      <c r="D24" s="21">
        <v>0.0</v>
      </c>
      <c r="E24" s="22">
        <f t="shared" si="2"/>
        <v>0</v>
      </c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15.75" customHeight="1">
      <c r="A25" s="25"/>
      <c r="B25" s="50"/>
      <c r="C25" s="51"/>
      <c r="D25" s="21">
        <v>0.0</v>
      </c>
      <c r="E25" s="22">
        <f t="shared" si="2"/>
        <v>0</v>
      </c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15.75" customHeight="1">
      <c r="A26" s="52"/>
      <c r="B26" s="50"/>
      <c r="C26" s="20" t="s">
        <v>56</v>
      </c>
      <c r="D26" s="21">
        <v>0.0</v>
      </c>
      <c r="E26" s="22">
        <f t="shared" si="2"/>
        <v>0</v>
      </c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ht="15.75" customHeight="1">
      <c r="A27" s="53"/>
      <c r="B27" s="50"/>
      <c r="C27" s="20" t="s">
        <v>57</v>
      </c>
      <c r="D27" s="21">
        <f>930*C36</f>
        <v>1296131.7</v>
      </c>
      <c r="E27" s="22">
        <f t="shared" si="2"/>
        <v>1296131.7</v>
      </c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54">
        <f>150*C36</f>
        <v>209053.5</v>
      </c>
      <c r="Q27" s="24"/>
      <c r="R27" s="24"/>
      <c r="S27" s="24"/>
      <c r="T27" s="24"/>
      <c r="U27" s="24"/>
      <c r="V27" s="24">
        <f>780*C36</f>
        <v>1087078.2</v>
      </c>
      <c r="W27" s="24"/>
      <c r="X27" s="24"/>
      <c r="Y27" s="24"/>
      <c r="Z27" s="24"/>
      <c r="AA27" s="24"/>
      <c r="AB27" s="24"/>
      <c r="AC27" s="24"/>
    </row>
    <row r="28" ht="15.75" customHeight="1">
      <c r="A28" s="52"/>
      <c r="B28" s="50"/>
      <c r="C28" s="26" t="s">
        <v>58</v>
      </c>
      <c r="D28" s="21">
        <v>0.0</v>
      </c>
      <c r="E28" s="22">
        <f t="shared" si="2"/>
        <v>0</v>
      </c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15.75" customHeight="1">
      <c r="A29" s="52"/>
      <c r="B29" s="50"/>
      <c r="C29" s="26" t="s">
        <v>59</v>
      </c>
      <c r="D29" s="21">
        <v>0.0</v>
      </c>
      <c r="E29" s="22">
        <f t="shared" si="2"/>
        <v>0</v>
      </c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ht="15.75" customHeight="1">
      <c r="A30" s="52"/>
      <c r="B30" s="50"/>
      <c r="C30" s="20" t="s">
        <v>49</v>
      </c>
      <c r="D30" s="21">
        <f>7000*C36</f>
        <v>9755830</v>
      </c>
      <c r="E30" s="22">
        <f t="shared" si="2"/>
        <v>9755830</v>
      </c>
      <c r="F30" s="40"/>
      <c r="G30" s="24">
        <f>7000*C36</f>
        <v>9755830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5.75" customHeight="1">
      <c r="A31" s="52"/>
      <c r="B31" s="50"/>
      <c r="C31" s="20" t="s">
        <v>60</v>
      </c>
      <c r="D31" s="21">
        <f>3327.65*C36
</f>
        <v>4637712.529</v>
      </c>
      <c r="E31" s="22">
        <f t="shared" si="2"/>
        <v>4637712.529</v>
      </c>
      <c r="F31" s="23"/>
      <c r="G31" s="24"/>
      <c r="H31" s="24"/>
      <c r="I31" s="24"/>
      <c r="J31" s="24"/>
      <c r="K31" s="24"/>
      <c r="L31" s="24"/>
      <c r="M31" s="24">
        <f>1207.21*C36
</f>
        <v>1682476.505</v>
      </c>
      <c r="N31" s="24"/>
      <c r="O31" s="24"/>
      <c r="P31" s="24"/>
      <c r="Q31" s="24"/>
      <c r="R31" s="54">
        <f>2120.44*C36
</f>
        <v>2955236.024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5.75" customHeight="1">
      <c r="A32" s="52"/>
      <c r="B32" s="55"/>
      <c r="C32" s="20" t="s">
        <v>37</v>
      </c>
      <c r="D32" s="56">
        <f>536306.77*Income!C36
</f>
        <v>747445382.3</v>
      </c>
      <c r="E32" s="22">
        <f t="shared" si="2"/>
        <v>747445382.3</v>
      </c>
      <c r="F32" s="23"/>
      <c r="G32" s="4">
        <f>465000*Income!C36</f>
        <v>648065850</v>
      </c>
      <c r="H32" s="24"/>
      <c r="I32" s="24">
        <f>12496.92*C36
</f>
        <v>17416832.43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>
        <f>58809.85*C36
</f>
        <v>81962699.85</v>
      </c>
      <c r="V32" s="24"/>
      <c r="W32" s="24"/>
      <c r="X32" s="24"/>
      <c r="Y32" s="24"/>
      <c r="Z32" s="24"/>
      <c r="AA32" s="24"/>
      <c r="AB32" s="24"/>
      <c r="AC32" s="24"/>
    </row>
    <row r="33" ht="15.75" customHeight="1">
      <c r="A33" s="25"/>
      <c r="B33" s="55"/>
      <c r="C33" s="20" t="s">
        <v>61</v>
      </c>
      <c r="D33" s="21">
        <v>0.0</v>
      </c>
      <c r="E33" s="22">
        <f t="shared" si="2"/>
        <v>0</v>
      </c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15.75" customHeight="1">
      <c r="A34" s="25"/>
      <c r="B34" s="50"/>
      <c r="C34" s="20" t="s">
        <v>62</v>
      </c>
      <c r="D34" s="21">
        <v>0.0</v>
      </c>
      <c r="E34" s="22">
        <f t="shared" si="2"/>
        <v>0</v>
      </c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15.75" customHeight="1">
      <c r="A35" s="25"/>
      <c r="B35" s="50"/>
      <c r="C35" s="26" t="s">
        <v>63</v>
      </c>
      <c r="D35" s="21">
        <v>0.0</v>
      </c>
      <c r="E35" s="22">
        <f t="shared" si="2"/>
        <v>0</v>
      </c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15.75" customHeight="1">
      <c r="A36" s="25"/>
      <c r="B36" s="50"/>
      <c r="C36" s="57">
        <f>Income!C36</f>
        <v>1393.69</v>
      </c>
      <c r="D36" s="58"/>
      <c r="E36" s="59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15.75" customHeight="1">
      <c r="A37" s="60"/>
      <c r="B37" s="61"/>
      <c r="C37" s="62"/>
      <c r="D37" s="22">
        <f t="shared" ref="D37:E37" si="3">SUM(D4:D35)</f>
        <v>783953055.9</v>
      </c>
      <c r="E37" s="22">
        <f t="shared" si="3"/>
        <v>783953055.9</v>
      </c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5.75" customHeight="1">
      <c r="A38" s="1"/>
      <c r="B38" s="1"/>
      <c r="C38" s="3"/>
      <c r="D38" s="63"/>
      <c r="E38" s="1"/>
      <c r="F38" s="6"/>
      <c r="G38" s="64">
        <f t="shared" ref="G38:AC38" si="4">SUM(G4:G37)</f>
        <v>659321680</v>
      </c>
      <c r="H38" s="64">
        <f t="shared" si="4"/>
        <v>15115115.17</v>
      </c>
      <c r="I38" s="64">
        <f t="shared" si="4"/>
        <v>17721102.12</v>
      </c>
      <c r="J38" s="64">
        <f t="shared" si="4"/>
        <v>30322.5</v>
      </c>
      <c r="K38" s="64">
        <f t="shared" si="4"/>
        <v>0</v>
      </c>
      <c r="L38" s="64">
        <f t="shared" si="4"/>
        <v>0</v>
      </c>
      <c r="M38" s="64">
        <f t="shared" si="4"/>
        <v>4775676.505</v>
      </c>
      <c r="N38" s="64">
        <f t="shared" si="4"/>
        <v>0</v>
      </c>
      <c r="O38" s="64">
        <f t="shared" si="4"/>
        <v>0</v>
      </c>
      <c r="P38" s="64">
        <f t="shared" si="4"/>
        <v>209053.5</v>
      </c>
      <c r="Q38" s="64">
        <f t="shared" si="4"/>
        <v>775092</v>
      </c>
      <c r="R38" s="64">
        <f t="shared" si="4"/>
        <v>2955236.024</v>
      </c>
      <c r="S38" s="64">
        <f t="shared" si="4"/>
        <v>0</v>
      </c>
      <c r="T38" s="64">
        <f t="shared" si="4"/>
        <v>0</v>
      </c>
      <c r="U38" s="64">
        <f t="shared" si="4"/>
        <v>81962699.85</v>
      </c>
      <c r="V38" s="64">
        <f t="shared" si="4"/>
        <v>1087078.2</v>
      </c>
      <c r="W38" s="64">
        <f t="shared" si="4"/>
        <v>0</v>
      </c>
      <c r="X38" s="64">
        <f t="shared" si="4"/>
        <v>0</v>
      </c>
      <c r="Y38" s="64">
        <f t="shared" si="4"/>
        <v>0</v>
      </c>
      <c r="Z38" s="64">
        <f t="shared" si="4"/>
        <v>0</v>
      </c>
      <c r="AA38" s="64">
        <f t="shared" si="4"/>
        <v>0</v>
      </c>
      <c r="AB38" s="64">
        <f t="shared" si="4"/>
        <v>0</v>
      </c>
      <c r="AC38" s="64">
        <f t="shared" si="4"/>
        <v>0</v>
      </c>
    </row>
    <row r="39" ht="15.75" customHeight="1">
      <c r="A39" s="1"/>
      <c r="B39" s="3"/>
      <c r="C39" s="65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6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36:E36">
      <formula1>AND(ISNUMBER(D36),(NOT(OR(NOT(ISERROR(DATEVALUE(D36))), AND(ISNUMBER(D36), LEFT(CELL("format", D36))="D")))))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67"/>
      <c r="B1" s="67"/>
      <c r="C1" s="4"/>
      <c r="D1" s="68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ht="15.75" customHeight="1">
      <c r="A2" s="67"/>
      <c r="B2" s="67"/>
      <c r="C2" s="67"/>
      <c r="D2" s="69">
        <f>SUM(D4:D35)</f>
        <v>241487453.9</v>
      </c>
      <c r="E2" s="4">
        <f>SUM(F2:AF2)</f>
        <v>241487453.9</v>
      </c>
      <c r="F2" s="69">
        <f t="shared" ref="F2:Y2" si="1">F36</f>
        <v>11255830</v>
      </c>
      <c r="G2" s="69">
        <f t="shared" si="1"/>
        <v>5020</v>
      </c>
      <c r="H2" s="69">
        <f t="shared" si="1"/>
        <v>11483.5</v>
      </c>
      <c r="I2" s="69">
        <f t="shared" si="1"/>
        <v>0</v>
      </c>
      <c r="J2" s="69">
        <f t="shared" si="1"/>
        <v>195000</v>
      </c>
      <c r="K2" s="69">
        <f t="shared" si="1"/>
        <v>156735000</v>
      </c>
      <c r="L2" s="69">
        <f t="shared" si="1"/>
        <v>0</v>
      </c>
      <c r="M2" s="69">
        <f t="shared" si="1"/>
        <v>73143608</v>
      </c>
      <c r="N2" s="69">
        <f t="shared" si="1"/>
        <v>141512.3841</v>
      </c>
      <c r="O2" s="69">
        <f t="shared" si="1"/>
        <v>0</v>
      </c>
      <c r="P2" s="69">
        <f t="shared" si="1"/>
        <v>0</v>
      </c>
      <c r="Q2" s="69">
        <f t="shared" si="1"/>
        <v>0</v>
      </c>
      <c r="R2" s="69">
        <f t="shared" si="1"/>
        <v>0</v>
      </c>
      <c r="S2" s="69">
        <f t="shared" si="1"/>
        <v>0</v>
      </c>
      <c r="T2" s="69">
        <f t="shared" si="1"/>
        <v>0</v>
      </c>
      <c r="U2" s="69">
        <f t="shared" si="1"/>
        <v>0</v>
      </c>
      <c r="V2" s="69">
        <f t="shared" si="1"/>
        <v>0</v>
      </c>
      <c r="W2" s="69">
        <f t="shared" si="1"/>
        <v>0</v>
      </c>
      <c r="X2" s="67" t="str">
        <f t="shared" si="1"/>
        <v/>
      </c>
      <c r="Y2" s="67" t="str">
        <f t="shared" si="1"/>
        <v/>
      </c>
      <c r="Z2" s="67"/>
      <c r="AA2" s="67"/>
      <c r="AB2" s="67"/>
      <c r="AC2" s="67"/>
      <c r="AD2" s="67"/>
      <c r="AE2" s="67"/>
      <c r="AF2" s="67"/>
      <c r="AG2" s="67"/>
    </row>
    <row r="3" ht="15.75" customHeight="1">
      <c r="A3" s="67"/>
      <c r="B3" s="67"/>
      <c r="C3" s="67"/>
      <c r="D3" s="70"/>
      <c r="E3" s="67" t="s">
        <v>4</v>
      </c>
      <c r="F3" s="67" t="s">
        <v>30</v>
      </c>
      <c r="G3" s="67" t="s">
        <v>64</v>
      </c>
      <c r="H3" s="67" t="s">
        <v>65</v>
      </c>
      <c r="I3" s="67" t="s">
        <v>66</v>
      </c>
      <c r="J3" s="14" t="s">
        <v>67</v>
      </c>
      <c r="K3" s="71" t="s">
        <v>68</v>
      </c>
      <c r="L3" s="67" t="s">
        <v>69</v>
      </c>
      <c r="M3" s="67" t="s">
        <v>70</v>
      </c>
      <c r="N3" s="67" t="s">
        <v>71</v>
      </c>
      <c r="O3" s="67" t="s">
        <v>72</v>
      </c>
      <c r="P3" s="67" t="s">
        <v>73</v>
      </c>
      <c r="Q3" s="67" t="s">
        <v>74</v>
      </c>
      <c r="R3" s="71" t="s">
        <v>75</v>
      </c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</row>
    <row r="4" ht="15.75" customHeight="1">
      <c r="A4" s="72" t="s">
        <v>76</v>
      </c>
      <c r="B4" s="73"/>
      <c r="C4" s="74" t="s">
        <v>29</v>
      </c>
      <c r="D4" s="75">
        <v>1.56735E8</v>
      </c>
      <c r="E4" s="76">
        <f t="shared" ref="E4:E29" si="2">SUM(F4:W4)</f>
        <v>156735000</v>
      </c>
      <c r="F4" s="4"/>
      <c r="G4" s="4"/>
      <c r="H4" s="4"/>
      <c r="I4" s="4"/>
      <c r="J4" s="4"/>
      <c r="K4" s="75">
        <v>1.56735E8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7"/>
      <c r="Y4" s="67"/>
      <c r="Z4" s="67"/>
      <c r="AA4" s="67"/>
      <c r="AB4" s="67"/>
      <c r="AC4" s="67"/>
      <c r="AD4" s="67"/>
      <c r="AE4" s="67"/>
      <c r="AF4" s="67"/>
      <c r="AG4" s="67"/>
    </row>
    <row r="5" ht="15.75" customHeight="1">
      <c r="A5" s="67" t="s">
        <v>30</v>
      </c>
      <c r="B5" s="73">
        <f>F2</f>
        <v>11255830</v>
      </c>
      <c r="C5" s="77" t="s">
        <v>31</v>
      </c>
      <c r="D5" s="56">
        <v>0.0</v>
      </c>
      <c r="E5" s="76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7"/>
      <c r="Y5" s="67"/>
      <c r="Z5" s="67"/>
      <c r="AA5" s="67"/>
      <c r="AB5" s="67"/>
      <c r="AC5" s="67"/>
      <c r="AD5" s="67"/>
      <c r="AE5" s="67"/>
      <c r="AF5" s="67"/>
      <c r="AG5" s="67"/>
    </row>
    <row r="6" ht="15.75" customHeight="1">
      <c r="A6" s="67" t="s">
        <v>77</v>
      </c>
      <c r="B6" s="69">
        <f>M2</f>
        <v>73143608</v>
      </c>
      <c r="C6" s="74" t="s">
        <v>33</v>
      </c>
      <c r="D6" s="56">
        <v>0.0</v>
      </c>
      <c r="E6" s="76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7"/>
      <c r="Y6" s="67"/>
      <c r="Z6" s="67"/>
      <c r="AA6" s="67"/>
      <c r="AB6" s="67"/>
      <c r="AC6" s="67"/>
      <c r="AD6" s="67"/>
      <c r="AE6" s="67"/>
      <c r="AF6" s="67"/>
      <c r="AG6" s="67"/>
    </row>
    <row r="7" ht="15.75" customHeight="1">
      <c r="A7" s="67" t="s">
        <v>64</v>
      </c>
      <c r="B7" s="78">
        <f>G2</f>
        <v>5020</v>
      </c>
      <c r="C7" s="77" t="s">
        <v>34</v>
      </c>
      <c r="D7" s="56">
        <v>0.0</v>
      </c>
      <c r="E7" s="76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7"/>
      <c r="Y7" s="67"/>
      <c r="Z7" s="67"/>
      <c r="AA7" s="67"/>
      <c r="AB7" s="67"/>
      <c r="AC7" s="67"/>
      <c r="AD7" s="67"/>
      <c r="AE7" s="67"/>
      <c r="AF7" s="67"/>
      <c r="AG7" s="67"/>
    </row>
    <row r="8" ht="15.75" customHeight="1">
      <c r="A8" s="71" t="s">
        <v>78</v>
      </c>
      <c r="B8" s="33">
        <f>H2</f>
        <v>11483.5</v>
      </c>
      <c r="C8" s="77" t="s">
        <v>35</v>
      </c>
      <c r="D8" s="56">
        <v>0.0</v>
      </c>
      <c r="E8" s="76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7"/>
      <c r="Y8" s="67"/>
      <c r="Z8" s="67"/>
      <c r="AA8" s="67"/>
      <c r="AB8" s="67"/>
      <c r="AC8" s="67"/>
      <c r="AD8" s="67"/>
      <c r="AE8" s="67"/>
      <c r="AF8" s="67"/>
      <c r="AG8" s="67"/>
    </row>
    <row r="9" ht="15.75" customHeight="1">
      <c r="A9" s="71" t="s">
        <v>68</v>
      </c>
      <c r="B9" s="33">
        <f>K2</f>
        <v>156735000</v>
      </c>
      <c r="C9" s="74" t="s">
        <v>37</v>
      </c>
      <c r="D9" s="56">
        <v>0.0</v>
      </c>
      <c r="E9" s="76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7"/>
      <c r="Y9" s="67"/>
      <c r="Z9" s="67"/>
      <c r="AA9" s="67"/>
      <c r="AB9" s="67"/>
      <c r="AC9" s="67"/>
      <c r="AD9" s="67"/>
      <c r="AE9" s="67"/>
      <c r="AF9" s="67"/>
      <c r="AG9" s="67"/>
    </row>
    <row r="10" ht="15.75" customHeight="1">
      <c r="A10" s="71" t="s">
        <v>79</v>
      </c>
      <c r="B10" s="33">
        <f>J2</f>
        <v>195000</v>
      </c>
      <c r="C10" s="74" t="s">
        <v>80</v>
      </c>
      <c r="D10" s="79">
        <v>11483.5</v>
      </c>
      <c r="E10" s="76">
        <f t="shared" si="2"/>
        <v>11483.5</v>
      </c>
      <c r="F10" s="4"/>
      <c r="G10" s="4"/>
      <c r="H10" s="79">
        <v>11483.5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7"/>
      <c r="Y10" s="67"/>
      <c r="Z10" s="67"/>
      <c r="AA10" s="67"/>
      <c r="AB10" s="67"/>
      <c r="AC10" s="67"/>
      <c r="AD10" s="67"/>
      <c r="AE10" s="67"/>
      <c r="AF10" s="67"/>
      <c r="AG10" s="67"/>
    </row>
    <row r="11" ht="15.75" customHeight="1">
      <c r="A11" s="15" t="s">
        <v>71</v>
      </c>
      <c r="B11" s="33">
        <f>N2</f>
        <v>141512.3841</v>
      </c>
      <c r="C11" s="74" t="s">
        <v>81</v>
      </c>
      <c r="D11" s="56">
        <v>0.0</v>
      </c>
      <c r="E11" s="76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7"/>
      <c r="Y11" s="67"/>
      <c r="Z11" s="67"/>
      <c r="AA11" s="67"/>
      <c r="AB11" s="67"/>
      <c r="AC11" s="67"/>
      <c r="AD11" s="67"/>
      <c r="AE11" s="67"/>
      <c r="AF11" s="67"/>
      <c r="AG11" s="67"/>
    </row>
    <row r="12" ht="15.75" customHeight="1">
      <c r="A12" s="80" t="s">
        <v>4</v>
      </c>
      <c r="B12" s="81">
        <f>SUM(B5:B11)</f>
        <v>241487453.9</v>
      </c>
      <c r="C12" s="77" t="s">
        <v>41</v>
      </c>
      <c r="D12" s="56">
        <v>0.0</v>
      </c>
      <c r="E12" s="76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7"/>
      <c r="Y12" s="67"/>
      <c r="Z12" s="67"/>
      <c r="AA12" s="67"/>
      <c r="AB12" s="67"/>
      <c r="AC12" s="67"/>
      <c r="AD12" s="67"/>
      <c r="AE12" s="67"/>
      <c r="AF12" s="67"/>
      <c r="AG12" s="67"/>
    </row>
    <row r="13" ht="15.75" customHeight="1">
      <c r="A13" s="82"/>
      <c r="B13" s="83">
        <f>B5</f>
        <v>11255830</v>
      </c>
      <c r="C13" s="74" t="s">
        <v>43</v>
      </c>
      <c r="D13" s="56">
        <v>0.0</v>
      </c>
      <c r="E13" s="76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7"/>
      <c r="Y13" s="67"/>
      <c r="Z13" s="67"/>
      <c r="AA13" s="67"/>
      <c r="AB13" s="67"/>
      <c r="AC13" s="67"/>
      <c r="AD13" s="67"/>
      <c r="AE13" s="67"/>
      <c r="AF13" s="67"/>
      <c r="AG13" s="67"/>
    </row>
    <row r="14" ht="15.75" customHeight="1">
      <c r="A14" s="72"/>
      <c r="B14" s="84">
        <f>B12-B13</f>
        <v>230231623.9</v>
      </c>
      <c r="C14" s="77" t="s">
        <v>45</v>
      </c>
      <c r="D14" s="56">
        <v>0.0</v>
      </c>
      <c r="E14" s="76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7"/>
      <c r="Y14" s="67"/>
      <c r="Z14" s="67"/>
      <c r="AA14" s="67"/>
      <c r="AB14" s="67"/>
      <c r="AC14" s="67"/>
      <c r="AD14" s="67"/>
      <c r="AE14" s="67"/>
      <c r="AF14" s="67"/>
      <c r="AG14" s="67"/>
    </row>
    <row r="15" ht="15.75" customHeight="1">
      <c r="C15" s="74" t="s">
        <v>46</v>
      </c>
      <c r="D15" s="56">
        <v>0.0</v>
      </c>
      <c r="E15" s="76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ht="15.75" customHeight="1">
      <c r="A16" s="67"/>
      <c r="B16" s="67"/>
      <c r="C16" s="74" t="s">
        <v>47</v>
      </c>
      <c r="D16" s="85">
        <v>903.0</v>
      </c>
      <c r="E16" s="76">
        <f t="shared" si="2"/>
        <v>903</v>
      </c>
      <c r="F16" s="4"/>
      <c r="G16" s="4"/>
      <c r="H16" s="4"/>
      <c r="I16" s="4"/>
      <c r="J16" s="4"/>
      <c r="K16" s="4"/>
      <c r="L16" s="4"/>
      <c r="M16" s="4"/>
      <c r="N16" s="86">
        <v>903.0</v>
      </c>
      <c r="O16" s="4"/>
      <c r="P16" s="4"/>
      <c r="Q16" s="4"/>
      <c r="R16" s="4"/>
      <c r="S16" s="4"/>
      <c r="T16" s="4"/>
      <c r="U16" s="4"/>
      <c r="V16" s="4"/>
      <c r="W16" s="4"/>
      <c r="X16" s="67"/>
      <c r="Y16" s="67"/>
      <c r="Z16" s="67"/>
      <c r="AA16" s="67"/>
      <c r="AB16" s="67"/>
      <c r="AC16" s="67"/>
      <c r="AD16" s="67"/>
      <c r="AE16" s="67"/>
      <c r="AF16" s="67"/>
      <c r="AG16" s="67"/>
    </row>
    <row r="17" ht="15.75" customHeight="1">
      <c r="A17" s="67"/>
      <c r="B17" s="87"/>
      <c r="C17" s="77" t="s">
        <v>48</v>
      </c>
      <c r="D17" s="56">
        <v>0.0</v>
      </c>
      <c r="E17" s="76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7"/>
      <c r="Y17" s="67"/>
      <c r="Z17" s="67"/>
      <c r="AA17" s="67"/>
      <c r="AB17" s="67"/>
      <c r="AC17" s="67"/>
      <c r="AD17" s="67"/>
      <c r="AE17" s="67"/>
      <c r="AF17" s="67"/>
      <c r="AG17" s="67"/>
    </row>
    <row r="18" ht="15.75" customHeight="1">
      <c r="A18" s="67"/>
      <c r="B18" s="88"/>
      <c r="C18" s="74" t="s">
        <v>49</v>
      </c>
      <c r="D18" s="89">
        <v>4.081E7</v>
      </c>
      <c r="E18" s="76">
        <f t="shared" si="2"/>
        <v>40810000</v>
      </c>
      <c r="F18" s="4"/>
      <c r="G18" s="4"/>
      <c r="H18" s="4"/>
      <c r="I18" s="4"/>
      <c r="J18" s="4"/>
      <c r="K18" s="4"/>
      <c r="L18" s="4"/>
      <c r="M18" s="90">
        <v>4.081E7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67"/>
      <c r="Y18" s="67"/>
      <c r="Z18" s="67"/>
      <c r="AA18" s="67"/>
      <c r="AB18" s="67"/>
      <c r="AC18" s="67"/>
      <c r="AD18" s="67"/>
      <c r="AE18" s="67"/>
      <c r="AF18" s="67"/>
      <c r="AG18" s="67"/>
    </row>
    <row r="19" ht="15.75" customHeight="1">
      <c r="A19" s="67"/>
      <c r="B19" s="67"/>
      <c r="C19" s="74" t="s">
        <v>50</v>
      </c>
      <c r="D19" s="56"/>
      <c r="E19" s="76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67"/>
      <c r="Y19" s="67"/>
      <c r="Z19" s="67"/>
      <c r="AA19" s="67"/>
      <c r="AB19" s="67"/>
      <c r="AC19" s="67"/>
      <c r="AD19" s="67"/>
      <c r="AE19" s="67"/>
      <c r="AF19" s="67"/>
      <c r="AG19" s="67"/>
    </row>
    <row r="20" ht="15.75" customHeight="1">
      <c r="A20" s="67"/>
      <c r="B20" s="67"/>
      <c r="C20" s="74" t="s">
        <v>51</v>
      </c>
      <c r="D20" s="56">
        <v>5020.0</v>
      </c>
      <c r="E20" s="76">
        <f t="shared" si="2"/>
        <v>5020</v>
      </c>
      <c r="F20" s="4"/>
      <c r="G20" s="44">
        <v>5020.0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67"/>
      <c r="Y20" s="67"/>
      <c r="Z20" s="67"/>
      <c r="AA20" s="67"/>
      <c r="AB20" s="67"/>
      <c r="AC20" s="67"/>
      <c r="AD20" s="67"/>
      <c r="AE20" s="67"/>
      <c r="AF20" s="67"/>
      <c r="AG20" s="67"/>
    </row>
    <row r="21" ht="15.75" customHeight="1">
      <c r="A21" s="67"/>
      <c r="B21" s="73"/>
      <c r="C21" s="74" t="s">
        <v>52</v>
      </c>
      <c r="D21" s="91">
        <v>195000.0</v>
      </c>
      <c r="E21" s="76">
        <f t="shared" si="2"/>
        <v>195000</v>
      </c>
      <c r="F21" s="4"/>
      <c r="G21" s="4"/>
      <c r="H21" s="4"/>
      <c r="I21" s="4"/>
      <c r="J21" s="92">
        <v>195000.0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7"/>
      <c r="Y21" s="67"/>
      <c r="Z21" s="67"/>
      <c r="AA21" s="67"/>
      <c r="AB21" s="67"/>
      <c r="AC21" s="67"/>
      <c r="AD21" s="67"/>
      <c r="AE21" s="67"/>
      <c r="AF21" s="67"/>
      <c r="AG21" s="67"/>
    </row>
    <row r="22" ht="15.75" customHeight="1">
      <c r="A22" s="67"/>
      <c r="B22" s="93"/>
      <c r="C22" s="74" t="s">
        <v>53</v>
      </c>
      <c r="D22" s="91">
        <v>1500000.0</v>
      </c>
      <c r="E22" s="76">
        <f t="shared" si="2"/>
        <v>1500000</v>
      </c>
      <c r="F22" s="92">
        <v>1500000.0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7"/>
      <c r="Y22" s="67"/>
      <c r="Z22" s="67"/>
      <c r="AA22" s="67"/>
      <c r="AB22" s="67"/>
      <c r="AC22" s="67"/>
      <c r="AD22" s="67"/>
      <c r="AE22" s="67"/>
      <c r="AF22" s="67"/>
      <c r="AG22" s="67"/>
    </row>
    <row r="23" ht="15.75" customHeight="1">
      <c r="A23" s="67"/>
      <c r="B23" s="94"/>
      <c r="C23" s="95" t="s">
        <v>54</v>
      </c>
      <c r="D23" s="56">
        <v>0.0</v>
      </c>
      <c r="E23" s="76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7"/>
      <c r="Y23" s="67"/>
      <c r="Z23" s="67"/>
      <c r="AA23" s="67"/>
      <c r="AB23" s="67"/>
      <c r="AC23" s="67"/>
      <c r="AD23" s="67"/>
      <c r="AE23" s="67"/>
      <c r="AF23" s="67"/>
      <c r="AG23" s="67"/>
    </row>
    <row r="24" ht="15.75" customHeight="1">
      <c r="A24" s="4"/>
      <c r="B24" s="73"/>
      <c r="C24" s="74" t="s">
        <v>55</v>
      </c>
      <c r="D24" s="56">
        <v>0.0</v>
      </c>
      <c r="E24" s="76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7"/>
      <c r="Y24" s="67"/>
      <c r="Z24" s="67"/>
      <c r="AA24" s="67"/>
      <c r="AB24" s="67"/>
      <c r="AC24" s="67"/>
      <c r="AD24" s="67"/>
      <c r="AE24" s="67"/>
      <c r="AF24" s="67"/>
      <c r="AG24" s="67"/>
    </row>
    <row r="25" ht="15.75" customHeight="1">
      <c r="A25" s="44"/>
      <c r="B25" s="73"/>
      <c r="C25" s="67"/>
      <c r="D25" s="56">
        <v>0.0</v>
      </c>
      <c r="E25" s="76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7"/>
      <c r="Y25" s="67"/>
      <c r="Z25" s="67"/>
      <c r="AA25" s="67"/>
      <c r="AB25" s="67"/>
      <c r="AC25" s="67"/>
      <c r="AD25" s="67"/>
      <c r="AE25" s="67"/>
      <c r="AF25" s="67"/>
      <c r="AG25" s="67"/>
    </row>
    <row r="26" ht="15.75" customHeight="1">
      <c r="A26" s="96"/>
      <c r="B26" s="73"/>
      <c r="C26" s="74" t="s">
        <v>56</v>
      </c>
      <c r="D26" s="56">
        <f>4100.89*C36
</f>
        <v>5715369.384</v>
      </c>
      <c r="E26" s="76">
        <f t="shared" si="2"/>
        <v>5715369.384</v>
      </c>
      <c r="F26" s="4"/>
      <c r="G26" s="4"/>
      <c r="H26" s="4"/>
      <c r="I26" s="4"/>
      <c r="J26" s="4"/>
      <c r="K26" s="4"/>
      <c r="L26" s="4"/>
      <c r="M26" s="4">
        <f>4000*C36</f>
        <v>5574760</v>
      </c>
      <c r="N26" s="4">
        <f>100.89*C36
</f>
        <v>140609.3841</v>
      </c>
      <c r="O26" s="4"/>
      <c r="P26" s="4"/>
      <c r="Q26" s="4"/>
      <c r="R26" s="4"/>
      <c r="S26" s="4"/>
      <c r="T26" s="4"/>
      <c r="U26" s="4"/>
      <c r="V26" s="4"/>
      <c r="W26" s="4"/>
      <c r="X26" s="67"/>
      <c r="Y26" s="67"/>
      <c r="Z26" s="67"/>
      <c r="AA26" s="67"/>
      <c r="AB26" s="67"/>
      <c r="AC26" s="67"/>
      <c r="AD26" s="67"/>
      <c r="AE26" s="67"/>
      <c r="AF26" s="67"/>
      <c r="AG26" s="67"/>
    </row>
    <row r="27" ht="14.25" customHeight="1">
      <c r="A27" s="44"/>
      <c r="B27" s="67"/>
      <c r="C27" s="74" t="s">
        <v>57</v>
      </c>
      <c r="D27" s="56">
        <v>0.0</v>
      </c>
      <c r="E27" s="76">
        <f t="shared" si="2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7"/>
      <c r="Y27" s="67"/>
      <c r="Z27" s="67"/>
      <c r="AA27" s="67"/>
      <c r="AB27" s="67"/>
      <c r="AC27" s="67"/>
      <c r="AD27" s="67"/>
      <c r="AE27" s="67"/>
      <c r="AF27" s="67"/>
      <c r="AG27" s="67"/>
    </row>
    <row r="28" ht="15.75" customHeight="1">
      <c r="A28" s="44"/>
      <c r="B28" s="97"/>
      <c r="C28" s="77" t="s">
        <v>58</v>
      </c>
      <c r="D28" s="56">
        <v>0.0</v>
      </c>
      <c r="E28" s="76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7"/>
      <c r="Y28" s="67"/>
      <c r="Z28" s="67"/>
      <c r="AA28" s="67"/>
      <c r="AB28" s="67"/>
      <c r="AC28" s="67"/>
      <c r="AD28" s="67"/>
      <c r="AE28" s="67"/>
      <c r="AF28" s="67"/>
      <c r="AG28" s="67"/>
    </row>
    <row r="29" ht="15.75" customHeight="1">
      <c r="A29" s="44"/>
      <c r="B29" s="73"/>
      <c r="C29" s="77" t="s">
        <v>59</v>
      </c>
      <c r="D29" s="56">
        <v>0.0</v>
      </c>
      <c r="E29" s="76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7"/>
      <c r="Y29" s="67"/>
      <c r="Z29" s="67"/>
      <c r="AA29" s="67"/>
      <c r="AB29" s="67"/>
      <c r="AC29" s="67"/>
      <c r="AD29" s="67"/>
      <c r="AE29" s="67"/>
      <c r="AF29" s="67"/>
      <c r="AG29" s="67"/>
    </row>
    <row r="30" ht="15.75" customHeight="1">
      <c r="A30" s="67"/>
      <c r="B30" s="73"/>
      <c r="C30" s="74" t="s">
        <v>49</v>
      </c>
      <c r="D30" s="56">
        <f>12900*C36</f>
        <v>17978601</v>
      </c>
      <c r="E30" s="76">
        <f>SUM(G30:W30)</f>
        <v>17978601</v>
      </c>
      <c r="F30" s="4"/>
      <c r="G30" s="4"/>
      <c r="H30" s="4"/>
      <c r="I30" s="4"/>
      <c r="J30" s="4"/>
      <c r="K30" s="4"/>
      <c r="L30" s="4"/>
      <c r="M30" s="4">
        <f>12900*C36</f>
        <v>17978601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67"/>
      <c r="Y30" s="67"/>
      <c r="Z30" s="67"/>
      <c r="AA30" s="67"/>
      <c r="AB30" s="67"/>
      <c r="AC30" s="67"/>
      <c r="AD30" s="67"/>
      <c r="AE30" s="67"/>
      <c r="AF30" s="67"/>
      <c r="AG30" s="67"/>
    </row>
    <row r="31" ht="13.5" customHeight="1">
      <c r="A31" s="67"/>
      <c r="B31" s="73"/>
      <c r="C31" s="74" t="s">
        <v>60</v>
      </c>
      <c r="D31" s="56">
        <f>7000*C36</f>
        <v>9755830</v>
      </c>
      <c r="E31" s="76">
        <f>SUM(F31:W31)</f>
        <v>9755830</v>
      </c>
      <c r="F31" s="4">
        <f>7000*C36</f>
        <v>9755830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7"/>
      <c r="Y31" s="67"/>
      <c r="Z31" s="67"/>
      <c r="AA31" s="67"/>
      <c r="AB31" s="67"/>
      <c r="AC31" s="67"/>
      <c r="AD31" s="67"/>
      <c r="AE31" s="67"/>
      <c r="AF31" s="67"/>
      <c r="AG31" s="67"/>
    </row>
    <row r="32" ht="15.75" customHeight="1">
      <c r="A32" s="67"/>
      <c r="B32" s="73"/>
      <c r="C32" s="74" t="s">
        <v>37</v>
      </c>
      <c r="D32" s="56"/>
      <c r="E32" s="76">
        <f>SUM(G32:W32)</f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7"/>
      <c r="Y32" s="67"/>
      <c r="Z32" s="67"/>
      <c r="AA32" s="67"/>
      <c r="AB32" s="67"/>
      <c r="AC32" s="67"/>
      <c r="AD32" s="67"/>
      <c r="AE32" s="67"/>
      <c r="AF32" s="67"/>
      <c r="AG32" s="67"/>
    </row>
    <row r="33" ht="15.75" customHeight="1">
      <c r="A33" s="67"/>
      <c r="B33" s="73"/>
      <c r="C33" s="74" t="s">
        <v>61</v>
      </c>
      <c r="D33" s="56">
        <v>0.0</v>
      </c>
      <c r="E33" s="76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7"/>
      <c r="Y33" s="67"/>
      <c r="Z33" s="67"/>
      <c r="AA33" s="67"/>
      <c r="AB33" s="67"/>
      <c r="AC33" s="67"/>
      <c r="AD33" s="67"/>
      <c r="AE33" s="67"/>
      <c r="AF33" s="67"/>
      <c r="AG33" s="67"/>
    </row>
    <row r="34" ht="15.75" customHeight="1">
      <c r="A34" s="67"/>
      <c r="B34" s="73"/>
      <c r="C34" s="74" t="s">
        <v>62</v>
      </c>
      <c r="D34" s="56">
        <v>0.0</v>
      </c>
      <c r="E34" s="76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7"/>
      <c r="Y34" s="67"/>
      <c r="Z34" s="67"/>
      <c r="AA34" s="67"/>
      <c r="AB34" s="67"/>
      <c r="AC34" s="67"/>
      <c r="AD34" s="67"/>
      <c r="AE34" s="67"/>
      <c r="AF34" s="67"/>
      <c r="AG34" s="67"/>
    </row>
    <row r="35" ht="15.75" customHeight="1">
      <c r="A35" s="67"/>
      <c r="B35" s="73"/>
      <c r="C35" s="77" t="s">
        <v>63</v>
      </c>
      <c r="D35" s="56">
        <f>6300*C36</f>
        <v>8780247</v>
      </c>
      <c r="E35" s="76">
        <f t="shared" si="3"/>
        <v>8780247</v>
      </c>
      <c r="F35" s="4"/>
      <c r="G35" s="4"/>
      <c r="H35" s="4"/>
      <c r="I35" s="4"/>
      <c r="J35" s="4"/>
      <c r="K35" s="4"/>
      <c r="L35" s="4"/>
      <c r="M35" s="4">
        <f>6300*C36</f>
        <v>8780247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67"/>
      <c r="Y35" s="67"/>
      <c r="Z35" s="67"/>
      <c r="AA35" s="67"/>
      <c r="AB35" s="67"/>
      <c r="AC35" s="67"/>
      <c r="AD35" s="67"/>
      <c r="AE35" s="67"/>
      <c r="AF35" s="67"/>
      <c r="AG35" s="67"/>
    </row>
    <row r="36" ht="15.75" customHeight="1">
      <c r="A36" s="67"/>
      <c r="B36" s="73"/>
      <c r="C36" s="98">
        <f>'Cash Report'!E31</f>
        <v>1393.69</v>
      </c>
      <c r="D36" s="99">
        <f t="shared" ref="D36:W36" si="4">SUM(D4:D35)</f>
        <v>241487453.9</v>
      </c>
      <c r="E36" s="99">
        <f t="shared" si="4"/>
        <v>241487453.9</v>
      </c>
      <c r="F36" s="99">
        <f t="shared" si="4"/>
        <v>11255830</v>
      </c>
      <c r="G36" s="99">
        <f t="shared" si="4"/>
        <v>5020</v>
      </c>
      <c r="H36" s="99">
        <f t="shared" si="4"/>
        <v>11483.5</v>
      </c>
      <c r="I36" s="99">
        <f t="shared" si="4"/>
        <v>0</v>
      </c>
      <c r="J36" s="99">
        <f t="shared" si="4"/>
        <v>195000</v>
      </c>
      <c r="K36" s="99">
        <f t="shared" si="4"/>
        <v>156735000</v>
      </c>
      <c r="L36" s="99">
        <f t="shared" si="4"/>
        <v>0</v>
      </c>
      <c r="M36" s="99">
        <f t="shared" si="4"/>
        <v>73143608</v>
      </c>
      <c r="N36" s="99">
        <f t="shared" si="4"/>
        <v>141512.3841</v>
      </c>
      <c r="O36" s="99">
        <f t="shared" si="4"/>
        <v>0</v>
      </c>
      <c r="P36" s="99">
        <f t="shared" si="4"/>
        <v>0</v>
      </c>
      <c r="Q36" s="99">
        <f t="shared" si="4"/>
        <v>0</v>
      </c>
      <c r="R36" s="99">
        <f t="shared" si="4"/>
        <v>0</v>
      </c>
      <c r="S36" s="99">
        <f t="shared" si="4"/>
        <v>0</v>
      </c>
      <c r="T36" s="99">
        <f t="shared" si="4"/>
        <v>0</v>
      </c>
      <c r="U36" s="99">
        <f t="shared" si="4"/>
        <v>0</v>
      </c>
      <c r="V36" s="99">
        <f t="shared" si="4"/>
        <v>0</v>
      </c>
      <c r="W36" s="99">
        <f t="shared" si="4"/>
        <v>0</v>
      </c>
      <c r="X36" s="67"/>
      <c r="Y36" s="67"/>
      <c r="Z36" s="67"/>
      <c r="AA36" s="67"/>
      <c r="AB36" s="67"/>
      <c r="AC36" s="67"/>
      <c r="AD36" s="67"/>
      <c r="AE36" s="67"/>
      <c r="AF36" s="67"/>
      <c r="AG36" s="67"/>
    </row>
    <row r="37" ht="15.75" customHeight="1">
      <c r="A37" s="67"/>
      <c r="B37" s="73"/>
      <c r="C37" s="67"/>
      <c r="D37" s="100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</row>
    <row r="38" ht="15.75" customHeight="1">
      <c r="A38" s="67"/>
      <c r="B38" s="67"/>
      <c r="C38" s="67"/>
      <c r="D38" s="70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</row>
    <row r="39" ht="15.75" customHeight="1">
      <c r="A39" s="67"/>
      <c r="B39" s="67"/>
      <c r="C39" s="67"/>
      <c r="D39" s="70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</row>
    <row r="40" ht="15.75" customHeight="1">
      <c r="A40" s="67"/>
      <c r="B40" s="67"/>
      <c r="C40" s="67"/>
      <c r="D40" s="70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</row>
    <row r="41" ht="15.75" customHeight="1">
      <c r="A41" s="67"/>
      <c r="B41" s="67"/>
      <c r="C41" s="67"/>
      <c r="D41" s="70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</row>
    <row r="42" ht="15.75" customHeight="1">
      <c r="A42" s="67"/>
      <c r="B42" s="67"/>
      <c r="C42" s="67"/>
      <c r="D42" s="70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</row>
    <row r="43" ht="15.75" customHeight="1">
      <c r="A43" s="67"/>
      <c r="B43" s="67"/>
      <c r="C43" s="67"/>
      <c r="D43" s="70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</row>
    <row r="44" ht="15.75" customHeight="1">
      <c r="A44" s="67"/>
      <c r="B44" s="67"/>
      <c r="C44" s="67"/>
      <c r="D44" s="70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</row>
    <row r="45" ht="15.75" customHeight="1">
      <c r="A45" s="67"/>
      <c r="B45" s="67"/>
      <c r="C45" s="67"/>
      <c r="D45" s="70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</row>
    <row r="46" ht="15.75" customHeight="1">
      <c r="A46" s="67"/>
      <c r="B46" s="67"/>
      <c r="C46" s="67"/>
      <c r="D46" s="70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</row>
    <row r="47" ht="15.75" customHeight="1">
      <c r="A47" s="67"/>
      <c r="B47" s="67"/>
      <c r="C47" s="67"/>
      <c r="D47" s="70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</row>
    <row r="48" ht="15.75" customHeight="1">
      <c r="A48" s="67"/>
      <c r="B48" s="67"/>
      <c r="C48" s="67"/>
      <c r="D48" s="70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</row>
    <row r="49" ht="15.75" customHeight="1">
      <c r="A49" s="67"/>
      <c r="B49" s="67"/>
      <c r="C49" s="67"/>
      <c r="D49" s="70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</row>
    <row r="50" ht="15.75" customHeight="1">
      <c r="A50" s="67"/>
      <c r="B50" s="67"/>
      <c r="C50" s="67"/>
      <c r="D50" s="70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</row>
    <row r="51" ht="15.75" customHeight="1">
      <c r="A51" s="67"/>
      <c r="B51" s="67"/>
      <c r="C51" s="67"/>
      <c r="D51" s="70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</row>
    <row r="52" ht="15.75" customHeight="1">
      <c r="A52" s="67"/>
      <c r="B52" s="67"/>
      <c r="C52" s="67"/>
      <c r="D52" s="70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</row>
    <row r="53" ht="15.75" customHeight="1">
      <c r="A53" s="67"/>
      <c r="B53" s="67"/>
      <c r="C53" s="67"/>
      <c r="D53" s="70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</row>
    <row r="54" ht="15.75" customHeight="1">
      <c r="A54" s="67"/>
      <c r="B54" s="67"/>
      <c r="C54" s="67"/>
      <c r="D54" s="70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</row>
    <row r="55" ht="15.75" customHeight="1">
      <c r="A55" s="67"/>
      <c r="B55" s="67"/>
      <c r="C55" s="67"/>
      <c r="D55" s="70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</row>
    <row r="56" ht="15.75" customHeight="1">
      <c r="A56" s="67"/>
      <c r="B56" s="67"/>
      <c r="C56" s="67"/>
      <c r="D56" s="70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</row>
    <row r="57" ht="15.75" customHeight="1">
      <c r="A57" s="67"/>
      <c r="B57" s="67"/>
      <c r="C57" s="67"/>
      <c r="D57" s="70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</row>
    <row r="58" ht="15.75" customHeight="1">
      <c r="A58" s="67"/>
      <c r="B58" s="67"/>
      <c r="C58" s="67"/>
      <c r="D58" s="70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</row>
    <row r="59" ht="15.75" customHeight="1">
      <c r="A59" s="67"/>
      <c r="B59" s="67"/>
      <c r="C59" s="67"/>
      <c r="D59" s="70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</row>
    <row r="60" ht="15.75" customHeight="1">
      <c r="A60" s="67"/>
      <c r="B60" s="67"/>
      <c r="C60" s="67"/>
      <c r="D60" s="70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</row>
    <row r="61" ht="15.75" customHeight="1">
      <c r="A61" s="67"/>
      <c r="B61" s="67"/>
      <c r="C61" s="67"/>
      <c r="D61" s="70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</row>
    <row r="62" ht="15.75" customHeight="1">
      <c r="A62" s="67"/>
      <c r="B62" s="67"/>
      <c r="C62" s="67"/>
      <c r="D62" s="70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</row>
    <row r="63" ht="15.75" customHeight="1">
      <c r="A63" s="67"/>
      <c r="B63" s="67"/>
      <c r="C63" s="67"/>
      <c r="D63" s="70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</row>
    <row r="64" ht="15.75" customHeight="1">
      <c r="A64" s="67"/>
      <c r="B64" s="67"/>
      <c r="C64" s="67"/>
      <c r="D64" s="70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</row>
    <row r="65" ht="15.75" customHeight="1">
      <c r="A65" s="67"/>
      <c r="B65" s="67"/>
      <c r="C65" s="67"/>
      <c r="D65" s="70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</row>
    <row r="66" ht="15.75" customHeight="1">
      <c r="A66" s="67"/>
      <c r="B66" s="67"/>
      <c r="C66" s="67"/>
      <c r="D66" s="70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</row>
    <row r="67" ht="15.75" customHeight="1">
      <c r="A67" s="67"/>
      <c r="B67" s="67"/>
      <c r="C67" s="67"/>
      <c r="D67" s="70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</row>
    <row r="68" ht="15.75" customHeight="1">
      <c r="A68" s="67"/>
      <c r="B68" s="67"/>
      <c r="C68" s="67"/>
      <c r="D68" s="70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</row>
    <row r="69" ht="15.75" customHeight="1">
      <c r="A69" s="67"/>
      <c r="B69" s="67"/>
      <c r="C69" s="67"/>
      <c r="D69" s="70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</row>
    <row r="70" ht="15.75" customHeight="1">
      <c r="A70" s="67"/>
      <c r="B70" s="67"/>
      <c r="C70" s="67"/>
      <c r="D70" s="70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</row>
    <row r="71" ht="15.75" customHeight="1">
      <c r="A71" s="67"/>
      <c r="B71" s="67"/>
      <c r="C71" s="67"/>
      <c r="D71" s="70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</row>
    <row r="72" ht="15.75" customHeight="1">
      <c r="A72" s="67"/>
      <c r="B72" s="67"/>
      <c r="C72" s="67"/>
      <c r="D72" s="70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</row>
    <row r="73" ht="15.75" customHeight="1">
      <c r="A73" s="67"/>
      <c r="B73" s="67"/>
      <c r="C73" s="67"/>
      <c r="D73" s="70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</row>
    <row r="74" ht="15.75" customHeight="1">
      <c r="A74" s="67"/>
      <c r="B74" s="67"/>
      <c r="C74" s="67"/>
      <c r="D74" s="70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</row>
    <row r="75" ht="15.75" customHeight="1">
      <c r="A75" s="67"/>
      <c r="B75" s="67"/>
      <c r="C75" s="67"/>
      <c r="D75" s="70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</row>
    <row r="76" ht="15.75" customHeight="1">
      <c r="A76" s="67"/>
      <c r="B76" s="67"/>
      <c r="C76" s="67"/>
      <c r="D76" s="70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</row>
    <row r="77" ht="15.75" customHeight="1">
      <c r="A77" s="67"/>
      <c r="B77" s="67"/>
      <c r="C77" s="67"/>
      <c r="D77" s="70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</row>
    <row r="78" ht="15.75" customHeight="1">
      <c r="A78" s="67"/>
      <c r="B78" s="67"/>
      <c r="C78" s="67"/>
      <c r="D78" s="70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</row>
    <row r="79" ht="15.75" customHeight="1">
      <c r="A79" s="67"/>
      <c r="B79" s="67"/>
      <c r="C79" s="67"/>
      <c r="D79" s="70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</row>
    <row r="80" ht="15.75" customHeight="1">
      <c r="A80" s="67"/>
      <c r="B80" s="67"/>
      <c r="C80" s="67"/>
      <c r="D80" s="70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</row>
    <row r="81" ht="15.75" customHeight="1">
      <c r="A81" s="67"/>
      <c r="B81" s="67"/>
      <c r="C81" s="67"/>
      <c r="D81" s="70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</row>
    <row r="82" ht="15.75" customHeight="1">
      <c r="A82" s="67"/>
      <c r="B82" s="67"/>
      <c r="C82" s="67"/>
      <c r="D82" s="70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</row>
    <row r="83" ht="15.75" customHeight="1">
      <c r="A83" s="67"/>
      <c r="B83" s="67"/>
      <c r="C83" s="67"/>
      <c r="D83" s="70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</row>
    <row r="84" ht="15.75" customHeight="1">
      <c r="A84" s="67"/>
      <c r="B84" s="67"/>
      <c r="C84" s="67"/>
      <c r="D84" s="70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</row>
    <row r="85" ht="15.75" customHeight="1">
      <c r="A85" s="67"/>
      <c r="B85" s="67"/>
      <c r="C85" s="67"/>
      <c r="D85" s="70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</row>
    <row r="86" ht="15.75" customHeight="1">
      <c r="A86" s="67"/>
      <c r="B86" s="67"/>
      <c r="C86" s="67"/>
      <c r="D86" s="70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</row>
    <row r="87" ht="15.75" customHeight="1">
      <c r="A87" s="67"/>
      <c r="B87" s="67"/>
      <c r="C87" s="67"/>
      <c r="D87" s="70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</row>
    <row r="88" ht="15.75" customHeight="1">
      <c r="A88" s="67"/>
      <c r="B88" s="67"/>
      <c r="C88" s="67"/>
      <c r="D88" s="70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</row>
    <row r="89" ht="15.75" customHeight="1">
      <c r="A89" s="67"/>
      <c r="B89" s="67"/>
      <c r="C89" s="67"/>
      <c r="D89" s="70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</row>
    <row r="90" ht="15.75" customHeight="1">
      <c r="A90" s="67"/>
      <c r="B90" s="67"/>
      <c r="C90" s="67"/>
      <c r="D90" s="70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</row>
    <row r="91" ht="15.75" customHeight="1">
      <c r="A91" s="67"/>
      <c r="B91" s="67"/>
      <c r="C91" s="67"/>
      <c r="D91" s="70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</row>
    <row r="92" ht="15.75" customHeight="1">
      <c r="A92" s="67"/>
      <c r="B92" s="67"/>
      <c r="C92" s="67"/>
      <c r="D92" s="70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</row>
    <row r="93" ht="15.75" customHeight="1">
      <c r="A93" s="67"/>
      <c r="B93" s="67"/>
      <c r="C93" s="67"/>
      <c r="D93" s="70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</row>
    <row r="94" ht="15.75" customHeight="1">
      <c r="A94" s="67"/>
      <c r="B94" s="67"/>
      <c r="C94" s="67"/>
      <c r="D94" s="70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</row>
    <row r="95" ht="15.75" customHeight="1">
      <c r="A95" s="67"/>
      <c r="B95" s="67"/>
      <c r="C95" s="67"/>
      <c r="D95" s="70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</row>
    <row r="96" ht="15.75" customHeight="1">
      <c r="A96" s="67"/>
      <c r="B96" s="67"/>
      <c r="C96" s="67"/>
      <c r="D96" s="7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</row>
    <row r="97" ht="15.75" customHeight="1">
      <c r="A97" s="67"/>
      <c r="B97" s="67"/>
      <c r="C97" s="67"/>
      <c r="D97" s="70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</row>
    <row r="98" ht="15.75" customHeight="1">
      <c r="A98" s="67"/>
      <c r="B98" s="67"/>
      <c r="C98" s="67"/>
      <c r="D98" s="70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</row>
    <row r="99" ht="15.75" customHeight="1">
      <c r="A99" s="67"/>
      <c r="B99" s="67"/>
      <c r="C99" s="67"/>
      <c r="D99" s="70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</row>
    <row r="100" ht="15.75" customHeight="1">
      <c r="A100" s="67"/>
      <c r="B100" s="67"/>
      <c r="C100" s="67"/>
      <c r="D100" s="70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</row>
    <row r="101" ht="15.75" customHeight="1">
      <c r="A101" s="67"/>
      <c r="B101" s="67"/>
      <c r="C101" s="67"/>
      <c r="D101" s="70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</row>
    <row r="102" ht="15.75" customHeight="1">
      <c r="A102" s="67"/>
      <c r="B102" s="67"/>
      <c r="C102" s="67"/>
      <c r="D102" s="70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</row>
    <row r="103" ht="15.75" customHeight="1">
      <c r="A103" s="67"/>
      <c r="B103" s="67"/>
      <c r="C103" s="67"/>
      <c r="D103" s="70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</row>
    <row r="104" ht="15.75" customHeight="1">
      <c r="A104" s="67"/>
      <c r="B104" s="67"/>
      <c r="C104" s="67"/>
      <c r="D104" s="70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</row>
    <row r="105" ht="15.75" customHeight="1">
      <c r="A105" s="67"/>
      <c r="B105" s="67"/>
      <c r="C105" s="67"/>
      <c r="D105" s="70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</row>
    <row r="106" ht="15.75" customHeight="1">
      <c r="A106" s="67"/>
      <c r="B106" s="67"/>
      <c r="C106" s="67"/>
      <c r="D106" s="70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</row>
    <row r="107" ht="15.75" customHeight="1">
      <c r="A107" s="67"/>
      <c r="B107" s="67"/>
      <c r="C107" s="67"/>
      <c r="D107" s="70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</row>
    <row r="108" ht="15.75" customHeight="1">
      <c r="A108" s="67"/>
      <c r="B108" s="67"/>
      <c r="C108" s="67"/>
      <c r="D108" s="70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</row>
    <row r="109" ht="15.75" customHeight="1">
      <c r="A109" s="67"/>
      <c r="B109" s="67"/>
      <c r="C109" s="67"/>
      <c r="D109" s="70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</row>
    <row r="110" ht="15.75" customHeight="1">
      <c r="A110" s="67"/>
      <c r="B110" s="67"/>
      <c r="C110" s="67"/>
      <c r="D110" s="70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</row>
    <row r="111" ht="15.75" customHeight="1">
      <c r="A111" s="67"/>
      <c r="B111" s="67"/>
      <c r="C111" s="67"/>
      <c r="D111" s="70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</row>
    <row r="112" ht="15.75" customHeight="1">
      <c r="A112" s="67"/>
      <c r="B112" s="67"/>
      <c r="C112" s="67"/>
      <c r="D112" s="70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</row>
    <row r="113" ht="15.75" customHeight="1">
      <c r="A113" s="67"/>
      <c r="B113" s="67"/>
      <c r="C113" s="67"/>
      <c r="D113" s="70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</row>
    <row r="114" ht="15.75" customHeight="1">
      <c r="A114" s="67"/>
      <c r="B114" s="67"/>
      <c r="C114" s="67"/>
      <c r="D114" s="70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</row>
    <row r="115" ht="15.75" customHeight="1">
      <c r="A115" s="67"/>
      <c r="B115" s="67"/>
      <c r="C115" s="67"/>
      <c r="D115" s="70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</row>
    <row r="116" ht="15.75" customHeight="1">
      <c r="A116" s="67"/>
      <c r="B116" s="67"/>
      <c r="C116" s="67"/>
      <c r="D116" s="70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</row>
    <row r="117" ht="15.75" customHeight="1">
      <c r="A117" s="67"/>
      <c r="B117" s="67"/>
      <c r="C117" s="67"/>
      <c r="D117" s="70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</row>
    <row r="118" ht="15.75" customHeight="1">
      <c r="A118" s="67"/>
      <c r="B118" s="67"/>
      <c r="C118" s="67"/>
      <c r="D118" s="70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</row>
    <row r="119" ht="15.75" customHeight="1">
      <c r="A119" s="67"/>
      <c r="B119" s="67"/>
      <c r="C119" s="67"/>
      <c r="D119" s="70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</row>
    <row r="120" ht="15.75" customHeight="1">
      <c r="A120" s="67"/>
      <c r="B120" s="67"/>
      <c r="C120" s="67"/>
      <c r="D120" s="70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</row>
    <row r="121" ht="15.75" customHeight="1">
      <c r="A121" s="67"/>
      <c r="B121" s="67"/>
      <c r="C121" s="67"/>
      <c r="D121" s="70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</row>
    <row r="122" ht="15.75" customHeight="1">
      <c r="A122" s="67"/>
      <c r="B122" s="67"/>
      <c r="C122" s="67"/>
      <c r="D122" s="70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</row>
    <row r="123" ht="15.75" customHeight="1">
      <c r="A123" s="67"/>
      <c r="B123" s="67"/>
      <c r="C123" s="67"/>
      <c r="D123" s="70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</row>
    <row r="124" ht="15.75" customHeight="1">
      <c r="A124" s="67"/>
      <c r="B124" s="67"/>
      <c r="C124" s="67"/>
      <c r="D124" s="70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</row>
    <row r="125" ht="15.75" customHeight="1">
      <c r="A125" s="67"/>
      <c r="B125" s="67"/>
      <c r="C125" s="67"/>
      <c r="D125" s="70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</row>
    <row r="126" ht="15.75" customHeight="1">
      <c r="A126" s="67"/>
      <c r="B126" s="67"/>
      <c r="C126" s="67"/>
      <c r="D126" s="70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</row>
    <row r="127" ht="15.75" customHeight="1">
      <c r="A127" s="67"/>
      <c r="B127" s="67"/>
      <c r="C127" s="67"/>
      <c r="D127" s="70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</row>
    <row r="128" ht="15.75" customHeight="1">
      <c r="A128" s="67"/>
      <c r="B128" s="67"/>
      <c r="C128" s="67"/>
      <c r="D128" s="70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</row>
    <row r="129" ht="15.75" customHeight="1">
      <c r="A129" s="67"/>
      <c r="B129" s="67"/>
      <c r="C129" s="67"/>
      <c r="D129" s="70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</row>
    <row r="130" ht="15.75" customHeight="1">
      <c r="A130" s="67"/>
      <c r="B130" s="67"/>
      <c r="C130" s="67"/>
      <c r="D130" s="70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</row>
    <row r="131" ht="15.75" customHeight="1">
      <c r="A131" s="67"/>
      <c r="B131" s="67"/>
      <c r="C131" s="67"/>
      <c r="D131" s="70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</row>
    <row r="132" ht="15.75" customHeight="1">
      <c r="A132" s="67"/>
      <c r="B132" s="67"/>
      <c r="C132" s="67"/>
      <c r="D132" s="70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</row>
    <row r="133" ht="15.75" customHeight="1">
      <c r="A133" s="67"/>
      <c r="B133" s="67"/>
      <c r="C133" s="67"/>
      <c r="D133" s="70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</row>
    <row r="134" ht="15.75" customHeight="1">
      <c r="A134" s="67"/>
      <c r="B134" s="67"/>
      <c r="C134" s="67"/>
      <c r="D134" s="70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</row>
    <row r="135" ht="15.75" customHeight="1">
      <c r="A135" s="67"/>
      <c r="B135" s="67"/>
      <c r="C135" s="67"/>
      <c r="D135" s="70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</row>
    <row r="136" ht="15.75" customHeight="1">
      <c r="A136" s="67"/>
      <c r="B136" s="67"/>
      <c r="C136" s="67"/>
      <c r="D136" s="70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</row>
    <row r="137" ht="15.75" customHeight="1">
      <c r="A137" s="67"/>
      <c r="B137" s="67"/>
      <c r="C137" s="67"/>
      <c r="D137" s="70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</row>
    <row r="138" ht="15.75" customHeight="1">
      <c r="A138" s="67"/>
      <c r="B138" s="67"/>
      <c r="C138" s="67"/>
      <c r="D138" s="70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</row>
    <row r="139" ht="15.75" customHeight="1">
      <c r="A139" s="67"/>
      <c r="B139" s="67"/>
      <c r="C139" s="67"/>
      <c r="D139" s="70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</row>
    <row r="140" ht="15.75" customHeight="1">
      <c r="A140" s="67"/>
      <c r="B140" s="67"/>
      <c r="C140" s="67"/>
      <c r="D140" s="70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</row>
    <row r="141" ht="15.75" customHeight="1">
      <c r="A141" s="67"/>
      <c r="B141" s="67"/>
      <c r="C141" s="67"/>
      <c r="D141" s="70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</row>
    <row r="142" ht="15.75" customHeight="1">
      <c r="A142" s="67"/>
      <c r="B142" s="67"/>
      <c r="C142" s="67"/>
      <c r="D142" s="70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</row>
    <row r="143" ht="15.75" customHeight="1">
      <c r="A143" s="67"/>
      <c r="B143" s="67"/>
      <c r="C143" s="67"/>
      <c r="D143" s="70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</row>
    <row r="144" ht="15.75" customHeight="1">
      <c r="A144" s="67"/>
      <c r="B144" s="67"/>
      <c r="C144" s="67"/>
      <c r="D144" s="70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</row>
    <row r="145" ht="15.75" customHeight="1">
      <c r="A145" s="67"/>
      <c r="B145" s="67"/>
      <c r="C145" s="67"/>
      <c r="D145" s="70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</row>
    <row r="146" ht="15.75" customHeight="1">
      <c r="A146" s="67"/>
      <c r="B146" s="67"/>
      <c r="C146" s="67"/>
      <c r="D146" s="70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</row>
    <row r="147" ht="15.75" customHeight="1">
      <c r="A147" s="67"/>
      <c r="B147" s="67"/>
      <c r="C147" s="67"/>
      <c r="D147" s="70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</row>
    <row r="148" ht="15.75" customHeight="1">
      <c r="A148" s="67"/>
      <c r="B148" s="67"/>
      <c r="C148" s="67"/>
      <c r="D148" s="70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</row>
    <row r="149" ht="15.75" customHeight="1">
      <c r="A149" s="67"/>
      <c r="B149" s="67"/>
      <c r="C149" s="67"/>
      <c r="D149" s="70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</row>
    <row r="150" ht="15.75" customHeight="1">
      <c r="A150" s="67"/>
      <c r="B150" s="67"/>
      <c r="C150" s="67"/>
      <c r="D150" s="70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</row>
    <row r="151" ht="15.75" customHeight="1">
      <c r="A151" s="67"/>
      <c r="B151" s="67"/>
      <c r="C151" s="67"/>
      <c r="D151" s="70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</row>
    <row r="152" ht="15.75" customHeight="1">
      <c r="A152" s="67"/>
      <c r="B152" s="67"/>
      <c r="C152" s="67"/>
      <c r="D152" s="70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</row>
    <row r="153" ht="15.75" customHeight="1">
      <c r="A153" s="67"/>
      <c r="B153" s="67"/>
      <c r="C153" s="67"/>
      <c r="D153" s="70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</row>
    <row r="154" ht="15.75" customHeight="1">
      <c r="A154" s="67"/>
      <c r="B154" s="67"/>
      <c r="C154" s="67"/>
      <c r="D154" s="70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</row>
    <row r="155" ht="15.75" customHeight="1">
      <c r="A155" s="67"/>
      <c r="B155" s="67"/>
      <c r="C155" s="67"/>
      <c r="D155" s="70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</row>
    <row r="156" ht="15.75" customHeight="1">
      <c r="A156" s="67"/>
      <c r="B156" s="67"/>
      <c r="C156" s="67"/>
      <c r="D156" s="70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</row>
    <row r="157" ht="15.75" customHeight="1">
      <c r="A157" s="67"/>
      <c r="B157" s="67"/>
      <c r="C157" s="67"/>
      <c r="D157" s="70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</row>
    <row r="158" ht="15.75" customHeight="1">
      <c r="A158" s="67"/>
      <c r="B158" s="67"/>
      <c r="C158" s="67"/>
      <c r="D158" s="70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</row>
    <row r="159" ht="15.75" customHeight="1">
      <c r="A159" s="67"/>
      <c r="B159" s="67"/>
      <c r="C159" s="67"/>
      <c r="D159" s="70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</row>
    <row r="160" ht="15.75" customHeight="1">
      <c r="A160" s="67"/>
      <c r="B160" s="67"/>
      <c r="C160" s="67"/>
      <c r="D160" s="70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</row>
    <row r="161" ht="15.75" customHeight="1">
      <c r="A161" s="67"/>
      <c r="B161" s="67"/>
      <c r="C161" s="67"/>
      <c r="D161" s="70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</row>
    <row r="162" ht="15.75" customHeight="1">
      <c r="A162" s="67"/>
      <c r="B162" s="67"/>
      <c r="C162" s="67"/>
      <c r="D162" s="70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</row>
    <row r="163" ht="15.75" customHeight="1">
      <c r="A163" s="67"/>
      <c r="B163" s="67"/>
      <c r="C163" s="67"/>
      <c r="D163" s="70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</row>
    <row r="164" ht="15.75" customHeight="1">
      <c r="A164" s="67"/>
      <c r="B164" s="67"/>
      <c r="C164" s="67"/>
      <c r="D164" s="70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</row>
    <row r="165" ht="15.75" customHeight="1">
      <c r="A165" s="67"/>
      <c r="B165" s="67"/>
      <c r="C165" s="67"/>
      <c r="D165" s="70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</row>
    <row r="166" ht="15.75" customHeight="1">
      <c r="A166" s="67"/>
      <c r="B166" s="67"/>
      <c r="C166" s="67"/>
      <c r="D166" s="70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</row>
    <row r="167" ht="15.75" customHeight="1">
      <c r="A167" s="67"/>
      <c r="B167" s="67"/>
      <c r="C167" s="67"/>
      <c r="D167" s="70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</row>
    <row r="168" ht="15.75" customHeight="1">
      <c r="A168" s="67"/>
      <c r="B168" s="67"/>
      <c r="C168" s="67"/>
      <c r="D168" s="70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</row>
    <row r="169" ht="15.75" customHeight="1">
      <c r="A169" s="67"/>
      <c r="B169" s="67"/>
      <c r="C169" s="67"/>
      <c r="D169" s="70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</row>
    <row r="170" ht="15.75" customHeight="1">
      <c r="A170" s="67"/>
      <c r="B170" s="67"/>
      <c r="C170" s="67"/>
      <c r="D170" s="70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</row>
    <row r="171" ht="15.75" customHeight="1">
      <c r="A171" s="67"/>
      <c r="B171" s="67"/>
      <c r="C171" s="67"/>
      <c r="D171" s="70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</row>
    <row r="172" ht="15.75" customHeight="1">
      <c r="A172" s="67"/>
      <c r="B172" s="67"/>
      <c r="C172" s="67"/>
      <c r="D172" s="70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</row>
    <row r="173" ht="15.75" customHeight="1">
      <c r="A173" s="67"/>
      <c r="B173" s="67"/>
      <c r="C173" s="67"/>
      <c r="D173" s="70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</row>
    <row r="174" ht="15.75" customHeight="1">
      <c r="A174" s="67"/>
      <c r="B174" s="67"/>
      <c r="C174" s="67"/>
      <c r="D174" s="70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</row>
    <row r="175" ht="15.75" customHeight="1">
      <c r="A175" s="67"/>
      <c r="B175" s="67"/>
      <c r="C175" s="67"/>
      <c r="D175" s="70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</row>
    <row r="176" ht="15.75" customHeight="1">
      <c r="A176" s="67"/>
      <c r="B176" s="67"/>
      <c r="C176" s="67"/>
      <c r="D176" s="70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</row>
    <row r="177" ht="15.75" customHeight="1">
      <c r="A177" s="67"/>
      <c r="B177" s="67"/>
      <c r="C177" s="67"/>
      <c r="D177" s="70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</row>
    <row r="178" ht="15.75" customHeight="1">
      <c r="A178" s="67"/>
      <c r="B178" s="67"/>
      <c r="C178" s="67"/>
      <c r="D178" s="70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</row>
    <row r="179" ht="15.75" customHeight="1">
      <c r="A179" s="67"/>
      <c r="B179" s="67"/>
      <c r="C179" s="67"/>
      <c r="D179" s="70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</row>
    <row r="180" ht="15.75" customHeight="1">
      <c r="A180" s="67"/>
      <c r="B180" s="67"/>
      <c r="C180" s="67"/>
      <c r="D180" s="70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</row>
    <row r="181" ht="15.75" customHeight="1">
      <c r="A181" s="67"/>
      <c r="B181" s="67"/>
      <c r="C181" s="67"/>
      <c r="D181" s="70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</row>
    <row r="182" ht="15.75" customHeight="1">
      <c r="A182" s="67"/>
      <c r="B182" s="67"/>
      <c r="C182" s="67"/>
      <c r="D182" s="70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</row>
    <row r="183" ht="15.75" customHeight="1">
      <c r="A183" s="67"/>
      <c r="B183" s="67"/>
      <c r="C183" s="67"/>
      <c r="D183" s="7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</row>
    <row r="184" ht="15.75" customHeight="1">
      <c r="A184" s="67"/>
      <c r="B184" s="67"/>
      <c r="C184" s="67"/>
      <c r="D184" s="7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</row>
    <row r="185" ht="15.75" customHeight="1">
      <c r="A185" s="67"/>
      <c r="B185" s="67"/>
      <c r="C185" s="67"/>
      <c r="D185" s="7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</row>
    <row r="186" ht="15.75" customHeight="1">
      <c r="A186" s="67"/>
      <c r="B186" s="67"/>
      <c r="C186" s="67"/>
      <c r="D186" s="70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</row>
    <row r="187" ht="15.75" customHeight="1">
      <c r="A187" s="67"/>
      <c r="B187" s="67"/>
      <c r="C187" s="67"/>
      <c r="D187" s="70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</row>
    <row r="188" ht="15.75" customHeight="1">
      <c r="A188" s="67"/>
      <c r="B188" s="67"/>
      <c r="C188" s="67"/>
      <c r="D188" s="70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</row>
    <row r="189" ht="15.75" customHeight="1">
      <c r="A189" s="67"/>
      <c r="B189" s="67"/>
      <c r="C189" s="67"/>
      <c r="D189" s="70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</row>
    <row r="190" ht="15.75" customHeight="1">
      <c r="A190" s="67"/>
      <c r="B190" s="67"/>
      <c r="C190" s="67"/>
      <c r="D190" s="70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</row>
    <row r="191" ht="15.75" customHeight="1">
      <c r="A191" s="67"/>
      <c r="B191" s="67"/>
      <c r="C191" s="67"/>
      <c r="D191" s="70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</row>
    <row r="192" ht="15.75" customHeight="1">
      <c r="A192" s="67"/>
      <c r="B192" s="67"/>
      <c r="C192" s="67"/>
      <c r="D192" s="70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</row>
    <row r="193" ht="15.75" customHeight="1">
      <c r="A193" s="67"/>
      <c r="B193" s="67"/>
      <c r="C193" s="67"/>
      <c r="D193" s="70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</row>
    <row r="194" ht="15.75" customHeight="1">
      <c r="A194" s="67"/>
      <c r="B194" s="67"/>
      <c r="C194" s="67"/>
      <c r="D194" s="70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</row>
    <row r="195" ht="15.75" customHeight="1">
      <c r="A195" s="67"/>
      <c r="B195" s="67"/>
      <c r="C195" s="67"/>
      <c r="D195" s="70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</row>
    <row r="196" ht="15.75" customHeight="1">
      <c r="A196" s="67"/>
      <c r="B196" s="67"/>
      <c r="C196" s="67"/>
      <c r="D196" s="70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</row>
    <row r="197" ht="15.75" customHeight="1">
      <c r="A197" s="67"/>
      <c r="B197" s="67"/>
      <c r="C197" s="67"/>
      <c r="D197" s="70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</row>
    <row r="198" ht="15.75" customHeight="1">
      <c r="A198" s="67"/>
      <c r="B198" s="67"/>
      <c r="C198" s="67"/>
      <c r="D198" s="70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</row>
    <row r="199" ht="15.75" customHeight="1">
      <c r="A199" s="67"/>
      <c r="B199" s="67"/>
      <c r="C199" s="67"/>
      <c r="D199" s="70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</row>
    <row r="200" ht="15.75" customHeight="1">
      <c r="A200" s="67"/>
      <c r="B200" s="67"/>
      <c r="C200" s="67"/>
      <c r="D200" s="70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</row>
    <row r="201" ht="15.75" customHeight="1">
      <c r="A201" s="67"/>
      <c r="B201" s="67"/>
      <c r="C201" s="67"/>
      <c r="D201" s="70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</row>
    <row r="202" ht="15.75" customHeight="1">
      <c r="A202" s="67"/>
      <c r="B202" s="67"/>
      <c r="C202" s="67"/>
      <c r="D202" s="70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</row>
    <row r="203" ht="15.75" customHeight="1">
      <c r="A203" s="67"/>
      <c r="B203" s="67"/>
      <c r="C203" s="67"/>
      <c r="D203" s="70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</row>
    <row r="204" ht="15.75" customHeight="1">
      <c r="A204" s="67"/>
      <c r="B204" s="67"/>
      <c r="C204" s="67"/>
      <c r="D204" s="70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</row>
    <row r="205" ht="15.75" customHeight="1">
      <c r="A205" s="67"/>
      <c r="B205" s="67"/>
      <c r="C205" s="67"/>
      <c r="D205" s="70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</row>
    <row r="206" ht="15.75" customHeight="1">
      <c r="A206" s="67"/>
      <c r="B206" s="67"/>
      <c r="C206" s="67"/>
      <c r="D206" s="70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</row>
    <row r="207" ht="15.75" customHeight="1">
      <c r="A207" s="67"/>
      <c r="B207" s="67"/>
      <c r="C207" s="67"/>
      <c r="D207" s="70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</row>
    <row r="208" ht="15.75" customHeight="1">
      <c r="A208" s="67"/>
      <c r="B208" s="67"/>
      <c r="C208" s="67"/>
      <c r="D208" s="70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</row>
    <row r="209" ht="15.75" customHeight="1">
      <c r="A209" s="67"/>
      <c r="B209" s="67"/>
      <c r="C209" s="67"/>
      <c r="D209" s="70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</row>
    <row r="210" ht="15.75" customHeight="1">
      <c r="A210" s="67"/>
      <c r="B210" s="67"/>
      <c r="C210" s="67"/>
      <c r="D210" s="70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</row>
    <row r="211" ht="15.75" customHeight="1">
      <c r="A211" s="67"/>
      <c r="B211" s="67"/>
      <c r="C211" s="67"/>
      <c r="D211" s="70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</row>
    <row r="212" ht="15.75" customHeight="1">
      <c r="A212" s="67"/>
      <c r="B212" s="67"/>
      <c r="C212" s="67"/>
      <c r="D212" s="70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</row>
    <row r="213" ht="15.75" customHeight="1">
      <c r="A213" s="67"/>
      <c r="B213" s="67"/>
      <c r="C213" s="67"/>
      <c r="D213" s="70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</row>
    <row r="214" ht="15.75" customHeight="1">
      <c r="A214" s="67"/>
      <c r="B214" s="67"/>
      <c r="C214" s="67"/>
      <c r="D214" s="70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</row>
    <row r="215" ht="15.75" customHeight="1">
      <c r="A215" s="67"/>
      <c r="B215" s="67"/>
      <c r="C215" s="67"/>
      <c r="D215" s="70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</row>
    <row r="216" ht="15.75" customHeight="1">
      <c r="A216" s="67"/>
      <c r="B216" s="67"/>
      <c r="C216" s="67"/>
      <c r="D216" s="70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</row>
    <row r="217" ht="15.75" customHeight="1">
      <c r="A217" s="67"/>
      <c r="B217" s="67"/>
      <c r="C217" s="67"/>
      <c r="D217" s="70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</row>
    <row r="218" ht="15.75" customHeight="1">
      <c r="A218" s="67"/>
      <c r="B218" s="67"/>
      <c r="C218" s="67"/>
      <c r="D218" s="70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</row>
    <row r="219" ht="15.75" customHeight="1">
      <c r="A219" s="67"/>
      <c r="B219" s="67"/>
      <c r="C219" s="67"/>
      <c r="D219" s="70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</row>
    <row r="220" ht="15.75" customHeight="1">
      <c r="A220" s="67"/>
      <c r="B220" s="67"/>
      <c r="C220" s="67"/>
      <c r="D220" s="70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</row>
    <row r="221" ht="15.75" customHeight="1">
      <c r="A221" s="67"/>
      <c r="B221" s="67"/>
      <c r="C221" s="67"/>
      <c r="D221" s="70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</row>
    <row r="222" ht="15.75" customHeight="1">
      <c r="A222" s="67"/>
      <c r="B222" s="67"/>
      <c r="C222" s="67"/>
      <c r="D222" s="70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</row>
    <row r="223" ht="15.75" customHeight="1">
      <c r="A223" s="67"/>
      <c r="B223" s="67"/>
      <c r="C223" s="67"/>
      <c r="D223" s="70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</row>
    <row r="224" ht="15.75" customHeight="1">
      <c r="A224" s="67"/>
      <c r="B224" s="67"/>
      <c r="C224" s="67"/>
      <c r="D224" s="70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</row>
    <row r="225" ht="15.75" customHeight="1">
      <c r="A225" s="67"/>
      <c r="B225" s="67"/>
      <c r="C225" s="67"/>
      <c r="D225" s="70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</row>
    <row r="226" ht="15.75" customHeight="1">
      <c r="A226" s="67"/>
      <c r="B226" s="67"/>
      <c r="C226" s="67"/>
      <c r="D226" s="70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</row>
    <row r="227" ht="15.75" customHeight="1">
      <c r="A227" s="67"/>
      <c r="B227" s="67"/>
      <c r="C227" s="67"/>
      <c r="D227" s="70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</row>
    <row r="228" ht="15.75" customHeight="1">
      <c r="A228" s="67"/>
      <c r="B228" s="67"/>
      <c r="C228" s="67"/>
      <c r="D228" s="70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</row>
    <row r="229" ht="15.75" customHeight="1">
      <c r="A229" s="67"/>
      <c r="B229" s="67"/>
      <c r="C229" s="67"/>
      <c r="D229" s="70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</row>
    <row r="230" ht="15.75" customHeight="1">
      <c r="A230" s="67"/>
      <c r="B230" s="67"/>
      <c r="C230" s="67"/>
      <c r="D230" s="70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</row>
    <row r="231" ht="15.75" customHeight="1">
      <c r="A231" s="67"/>
      <c r="B231" s="67"/>
      <c r="C231" s="67"/>
      <c r="D231" s="70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</row>
    <row r="232" ht="15.75" customHeight="1">
      <c r="A232" s="67"/>
      <c r="B232" s="67"/>
      <c r="C232" s="67"/>
      <c r="D232" s="70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</row>
    <row r="233" ht="15.75" customHeight="1">
      <c r="A233" s="67"/>
      <c r="B233" s="67"/>
      <c r="C233" s="67"/>
      <c r="D233" s="70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</row>
    <row r="234" ht="15.75" customHeight="1">
      <c r="A234" s="67"/>
      <c r="B234" s="67"/>
      <c r="C234" s="67"/>
      <c r="D234" s="70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</row>
    <row r="235" ht="15.75" customHeight="1">
      <c r="A235" s="67"/>
      <c r="B235" s="67"/>
      <c r="C235" s="67"/>
      <c r="D235" s="70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</row>
    <row r="236" ht="15.75" customHeight="1">
      <c r="A236" s="67"/>
      <c r="B236" s="67"/>
      <c r="C236" s="67"/>
      <c r="D236" s="70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0.63"/>
    <col customWidth="1" min="6" max="6" width="18.38"/>
    <col customWidth="1" min="7" max="7" width="14.0"/>
    <col customWidth="1" min="8" max="8" width="15.63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1" t="s">
        <v>82</v>
      </c>
      <c r="B1" s="101"/>
      <c r="C1" s="101"/>
      <c r="D1" s="86"/>
      <c r="E1" s="86"/>
      <c r="F1" s="86"/>
      <c r="G1" s="102"/>
      <c r="H1" s="103"/>
      <c r="I1" s="103"/>
      <c r="J1" s="104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1"/>
      <c r="B2" s="105" t="s">
        <v>83</v>
      </c>
      <c r="C2" s="106"/>
      <c r="D2" s="106"/>
      <c r="E2" s="106"/>
      <c r="F2" s="106"/>
      <c r="G2" s="106"/>
      <c r="H2" s="106"/>
      <c r="I2" s="106"/>
      <c r="J2" s="106"/>
      <c r="K2" s="107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8"/>
      <c r="B3" s="109" t="s">
        <v>84</v>
      </c>
      <c r="C3" s="106"/>
      <c r="D3" s="106"/>
      <c r="E3" s="106"/>
      <c r="F3" s="106"/>
      <c r="G3" s="106"/>
      <c r="H3" s="106"/>
      <c r="I3" s="106"/>
      <c r="J3" s="106"/>
      <c r="K3" s="107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1"/>
      <c r="B4" s="105" t="s">
        <v>85</v>
      </c>
      <c r="C4" s="106"/>
      <c r="D4" s="106"/>
      <c r="E4" s="106"/>
      <c r="F4" s="106"/>
      <c r="G4" s="106"/>
      <c r="H4" s="106"/>
      <c r="I4" s="106"/>
      <c r="J4" s="106"/>
      <c r="K4" s="107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8"/>
      <c r="B5" s="110" t="s">
        <v>86</v>
      </c>
      <c r="C5" s="111" t="s">
        <v>87</v>
      </c>
      <c r="D5" s="112" t="s">
        <v>88</v>
      </c>
      <c r="E5" s="112" t="s">
        <v>89</v>
      </c>
      <c r="F5" s="112" t="s">
        <v>90</v>
      </c>
      <c r="G5" s="112" t="s">
        <v>91</v>
      </c>
      <c r="H5" s="112" t="s">
        <v>92</v>
      </c>
      <c r="I5" s="112" t="s">
        <v>93</v>
      </c>
      <c r="J5" s="112" t="s">
        <v>94</v>
      </c>
      <c r="K5" s="112" t="s">
        <v>95</v>
      </c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1"/>
      <c r="B6" s="113">
        <v>1.0</v>
      </c>
      <c r="C6" s="114" t="s">
        <v>29</v>
      </c>
      <c r="D6" s="115">
        <v>1057208.389999993</v>
      </c>
      <c r="E6" s="116">
        <v>1.0</v>
      </c>
      <c r="F6" s="75">
        <f t="shared" ref="F6:F27" si="1">D6*E6</f>
        <v>1057208.39</v>
      </c>
      <c r="G6" s="75">
        <v>1.56735E8</v>
      </c>
      <c r="H6" s="32">
        <v>0.0</v>
      </c>
      <c r="I6" s="117">
        <f t="shared" ref="I6:I27" si="2">G6-H6</f>
        <v>156735000</v>
      </c>
      <c r="J6" s="75">
        <f t="shared" ref="J6:J27" si="3">F6+I6</f>
        <v>157792208.4</v>
      </c>
      <c r="K6" s="118" t="s">
        <v>96</v>
      </c>
      <c r="L6" s="119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1"/>
      <c r="B7" s="113">
        <v>2.0</v>
      </c>
      <c r="C7" s="117" t="s">
        <v>31</v>
      </c>
      <c r="D7" s="75">
        <v>73124.13</v>
      </c>
      <c r="E7" s="116">
        <v>1.0</v>
      </c>
      <c r="F7" s="75">
        <f t="shared" si="1"/>
        <v>73124.13</v>
      </c>
      <c r="G7" s="32">
        <v>0.0</v>
      </c>
      <c r="H7" s="32">
        <v>0.0</v>
      </c>
      <c r="I7" s="117">
        <f t="shared" si="2"/>
        <v>0</v>
      </c>
      <c r="J7" s="75">
        <f t="shared" si="3"/>
        <v>73124.13</v>
      </c>
      <c r="K7" s="120" t="s">
        <v>97</v>
      </c>
      <c r="L7" s="119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19"/>
      <c r="B8" s="113">
        <v>3.0</v>
      </c>
      <c r="C8" s="121" t="s">
        <v>33</v>
      </c>
      <c r="D8" s="75">
        <v>1239057.9299999997</v>
      </c>
      <c r="E8" s="116">
        <v>1.0</v>
      </c>
      <c r="F8" s="75">
        <f t="shared" si="1"/>
        <v>1239057.93</v>
      </c>
      <c r="G8" s="32">
        <v>0.0</v>
      </c>
      <c r="H8" s="32">
        <v>0.0</v>
      </c>
      <c r="I8" s="117">
        <f t="shared" si="2"/>
        <v>0</v>
      </c>
      <c r="J8" s="75">
        <f t="shared" si="3"/>
        <v>1239057.93</v>
      </c>
      <c r="K8" s="118" t="s">
        <v>97</v>
      </c>
      <c r="L8" s="11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13">
        <v>4.0</v>
      </c>
      <c r="C9" s="117" t="s">
        <v>34</v>
      </c>
      <c r="D9" s="75">
        <v>31493.46</v>
      </c>
      <c r="E9" s="116">
        <v>1.0</v>
      </c>
      <c r="F9" s="75">
        <f t="shared" si="1"/>
        <v>31493.46</v>
      </c>
      <c r="G9" s="32">
        <v>0.0</v>
      </c>
      <c r="H9" s="32">
        <v>0.0</v>
      </c>
      <c r="I9" s="117">
        <f t="shared" si="2"/>
        <v>0</v>
      </c>
      <c r="J9" s="75">
        <f t="shared" si="3"/>
        <v>31493.46</v>
      </c>
      <c r="K9" s="120" t="s">
        <v>97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19"/>
      <c r="B10" s="113">
        <v>5.0</v>
      </c>
      <c r="C10" s="117" t="s">
        <v>35</v>
      </c>
      <c r="D10" s="75">
        <v>208999.86</v>
      </c>
      <c r="E10" s="116">
        <v>1.0</v>
      </c>
      <c r="F10" s="75">
        <f t="shared" si="1"/>
        <v>208999.86</v>
      </c>
      <c r="G10" s="32">
        <v>0.0</v>
      </c>
      <c r="H10" s="32">
        <v>0.0</v>
      </c>
      <c r="I10" s="117">
        <f t="shared" si="2"/>
        <v>0</v>
      </c>
      <c r="J10" s="75">
        <f t="shared" si="3"/>
        <v>208999.86</v>
      </c>
      <c r="K10" s="120" t="s">
        <v>97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1"/>
      <c r="B11" s="113">
        <v>6.0</v>
      </c>
      <c r="C11" s="114" t="s">
        <v>37</v>
      </c>
      <c r="D11" s="115">
        <v>2163710.7199999997</v>
      </c>
      <c r="E11" s="116">
        <v>1.0</v>
      </c>
      <c r="F11" s="75">
        <f t="shared" si="1"/>
        <v>2163710.72</v>
      </c>
      <c r="G11" s="32">
        <v>0.0</v>
      </c>
      <c r="H11" s="32">
        <v>302048.69</v>
      </c>
      <c r="I11" s="117">
        <f t="shared" si="2"/>
        <v>-302048.69</v>
      </c>
      <c r="J11" s="75">
        <f t="shared" si="3"/>
        <v>1861662.03</v>
      </c>
      <c r="K11" s="118" t="s">
        <v>98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8"/>
      <c r="B12" s="113">
        <v>7.0</v>
      </c>
      <c r="C12" s="114" t="s">
        <v>80</v>
      </c>
      <c r="D12" s="115">
        <v>3414395.68</v>
      </c>
      <c r="E12" s="116">
        <v>1.0</v>
      </c>
      <c r="F12" s="75">
        <f t="shared" si="1"/>
        <v>3414395.68</v>
      </c>
      <c r="G12" s="79">
        <v>11483.5</v>
      </c>
      <c r="H12" s="122">
        <v>6.0</v>
      </c>
      <c r="I12" s="117">
        <f t="shared" si="2"/>
        <v>11477.5</v>
      </c>
      <c r="J12" s="75">
        <f t="shared" si="3"/>
        <v>3425873.18</v>
      </c>
      <c r="K12" s="118" t="s">
        <v>99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1"/>
      <c r="B13" s="113">
        <v>8.0</v>
      </c>
      <c r="C13" s="114" t="s">
        <v>40</v>
      </c>
      <c r="D13" s="115">
        <v>370319.21</v>
      </c>
      <c r="E13" s="116">
        <v>1.0</v>
      </c>
      <c r="F13" s="75">
        <f t="shared" si="1"/>
        <v>370319.21</v>
      </c>
      <c r="G13" s="32">
        <v>0.0</v>
      </c>
      <c r="H13" s="32">
        <v>0.0</v>
      </c>
      <c r="I13" s="117">
        <f t="shared" si="2"/>
        <v>0</v>
      </c>
      <c r="J13" s="75">
        <f t="shared" si="3"/>
        <v>370319.21</v>
      </c>
      <c r="K13" s="118" t="s">
        <v>100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13">
        <v>9.0</v>
      </c>
      <c r="C14" s="117" t="s">
        <v>41</v>
      </c>
      <c r="D14" s="115">
        <v>564653.8400000004</v>
      </c>
      <c r="E14" s="116">
        <v>1.0</v>
      </c>
      <c r="F14" s="75">
        <f t="shared" si="1"/>
        <v>564653.84</v>
      </c>
      <c r="G14" s="32">
        <v>0.0</v>
      </c>
      <c r="H14" s="32">
        <v>0.0</v>
      </c>
      <c r="I14" s="117">
        <f t="shared" si="2"/>
        <v>0</v>
      </c>
      <c r="J14" s="75">
        <f t="shared" si="3"/>
        <v>564653.84</v>
      </c>
      <c r="K14" s="120" t="s">
        <v>97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13">
        <v>10.0</v>
      </c>
      <c r="C15" s="114" t="s">
        <v>43</v>
      </c>
      <c r="D15" s="115">
        <v>745578.1000000015</v>
      </c>
      <c r="E15" s="116">
        <v>1.0</v>
      </c>
      <c r="F15" s="75">
        <f t="shared" si="1"/>
        <v>745578.1</v>
      </c>
      <c r="G15" s="32">
        <v>0.0</v>
      </c>
      <c r="H15" s="32">
        <v>0.0</v>
      </c>
      <c r="I15" s="117">
        <f t="shared" si="2"/>
        <v>0</v>
      </c>
      <c r="J15" s="75">
        <f t="shared" si="3"/>
        <v>745578.1</v>
      </c>
      <c r="K15" s="120" t="s">
        <v>97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13">
        <v>11.0</v>
      </c>
      <c r="C16" s="117" t="s">
        <v>45</v>
      </c>
      <c r="D16" s="75">
        <v>11745.64</v>
      </c>
      <c r="E16" s="116">
        <v>1.0</v>
      </c>
      <c r="F16" s="75">
        <f t="shared" si="1"/>
        <v>11745.64</v>
      </c>
      <c r="G16" s="32">
        <v>0.0</v>
      </c>
      <c r="H16" s="32">
        <v>0.0</v>
      </c>
      <c r="I16" s="117">
        <f t="shared" si="2"/>
        <v>0</v>
      </c>
      <c r="J16" s="75">
        <f t="shared" si="3"/>
        <v>11745.64</v>
      </c>
      <c r="K16" s="120" t="s">
        <v>97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13">
        <v>12.0</v>
      </c>
      <c r="C17" s="121" t="s">
        <v>46</v>
      </c>
      <c r="D17" s="123">
        <v>158755.70999999996</v>
      </c>
      <c r="E17" s="116">
        <v>1.0</v>
      </c>
      <c r="F17" s="75">
        <f t="shared" si="1"/>
        <v>158755.71</v>
      </c>
      <c r="G17" s="32">
        <v>0.0</v>
      </c>
      <c r="H17" s="32">
        <v>0.0</v>
      </c>
      <c r="I17" s="117">
        <f t="shared" si="2"/>
        <v>0</v>
      </c>
      <c r="J17" s="75">
        <f t="shared" si="3"/>
        <v>158755.71</v>
      </c>
      <c r="K17" s="118" t="s">
        <v>101</v>
      </c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13">
        <v>13.0</v>
      </c>
      <c r="C18" s="121" t="s">
        <v>47</v>
      </c>
      <c r="D18" s="124">
        <v>5094293.75</v>
      </c>
      <c r="E18" s="116">
        <v>1.0</v>
      </c>
      <c r="F18" s="75">
        <f t="shared" si="1"/>
        <v>5094293.75</v>
      </c>
      <c r="G18" s="85">
        <v>903.0</v>
      </c>
      <c r="H18" s="32">
        <v>0.0</v>
      </c>
      <c r="I18" s="117">
        <f t="shared" si="2"/>
        <v>903</v>
      </c>
      <c r="J18" s="75">
        <f t="shared" si="3"/>
        <v>5095196.75</v>
      </c>
      <c r="K18" s="118" t="s">
        <v>98</v>
      </c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13">
        <v>14.0</v>
      </c>
      <c r="C19" s="117" t="s">
        <v>48</v>
      </c>
      <c r="D19" s="75">
        <v>5687.28</v>
      </c>
      <c r="E19" s="116">
        <v>1.0</v>
      </c>
      <c r="F19" s="75">
        <f t="shared" si="1"/>
        <v>5687.28</v>
      </c>
      <c r="G19" s="32">
        <v>0.0</v>
      </c>
      <c r="H19" s="32">
        <v>0.0</v>
      </c>
      <c r="I19" s="117">
        <f t="shared" si="2"/>
        <v>0</v>
      </c>
      <c r="J19" s="75">
        <f t="shared" si="3"/>
        <v>5687.28</v>
      </c>
      <c r="K19" s="120" t="s">
        <v>97</v>
      </c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30.75" customHeight="1">
      <c r="A20" s="101"/>
      <c r="B20" s="113">
        <v>15.0</v>
      </c>
      <c r="C20" s="121" t="s">
        <v>49</v>
      </c>
      <c r="D20" s="125">
        <v>3.557786296000001E7</v>
      </c>
      <c r="E20" s="116">
        <v>1.0</v>
      </c>
      <c r="F20" s="75">
        <f t="shared" si="1"/>
        <v>35577862.96</v>
      </c>
      <c r="G20" s="89">
        <v>4.081E7</v>
      </c>
      <c r="H20" s="32">
        <v>0.0</v>
      </c>
      <c r="I20" s="117">
        <f t="shared" si="2"/>
        <v>40810000</v>
      </c>
      <c r="J20" s="75">
        <f t="shared" si="3"/>
        <v>76387862.96</v>
      </c>
      <c r="K20" s="118" t="s">
        <v>102</v>
      </c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21.75" customHeight="1">
      <c r="A21" s="108"/>
      <c r="B21" s="113">
        <v>16.0</v>
      </c>
      <c r="C21" s="121" t="s">
        <v>50</v>
      </c>
      <c r="D21" s="125">
        <v>6480068.780000001</v>
      </c>
      <c r="E21" s="116">
        <v>1.0</v>
      </c>
      <c r="F21" s="75">
        <f t="shared" si="1"/>
        <v>6480068.78</v>
      </c>
      <c r="G21" s="32">
        <v>0.0</v>
      </c>
      <c r="H21" s="32">
        <v>3123522.5</v>
      </c>
      <c r="I21" s="117">
        <f t="shared" si="2"/>
        <v>-3123522.5</v>
      </c>
      <c r="J21" s="75">
        <f t="shared" si="3"/>
        <v>3356546.28</v>
      </c>
      <c r="K21" s="126" t="s">
        <v>103</v>
      </c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34.5" customHeight="1">
      <c r="A22" s="119" t="s">
        <v>104</v>
      </c>
      <c r="B22" s="113">
        <v>17.0</v>
      </c>
      <c r="C22" s="114" t="s">
        <v>51</v>
      </c>
      <c r="D22" s="125">
        <v>1.034163529E8</v>
      </c>
      <c r="E22" s="116">
        <v>1.0</v>
      </c>
      <c r="F22" s="75">
        <f t="shared" si="1"/>
        <v>103416352.9</v>
      </c>
      <c r="G22" s="45">
        <v>5020.0</v>
      </c>
      <c r="H22" s="32">
        <v>1.661733017E7</v>
      </c>
      <c r="I22" s="117">
        <f t="shared" si="2"/>
        <v>-16612310.17</v>
      </c>
      <c r="J22" s="75">
        <f t="shared" si="3"/>
        <v>86804042.73</v>
      </c>
      <c r="K22" s="118" t="s">
        <v>105</v>
      </c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21.0" customHeight="1">
      <c r="A23" s="119"/>
      <c r="B23" s="113">
        <v>18.0</v>
      </c>
      <c r="C23" s="114" t="s">
        <v>52</v>
      </c>
      <c r="D23" s="127">
        <v>686685.06</v>
      </c>
      <c r="E23" s="116">
        <v>1.0</v>
      </c>
      <c r="F23" s="75">
        <f t="shared" si="1"/>
        <v>686685.06</v>
      </c>
      <c r="G23" s="122">
        <v>195000.0</v>
      </c>
      <c r="H23" s="32">
        <v>0.0</v>
      </c>
      <c r="I23" s="117">
        <f t="shared" si="2"/>
        <v>195000</v>
      </c>
      <c r="J23" s="75">
        <f t="shared" si="3"/>
        <v>881685.06</v>
      </c>
      <c r="K23" s="126" t="s">
        <v>106</v>
      </c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25.5" customHeight="1">
      <c r="A24" s="101"/>
      <c r="B24" s="113">
        <v>19.0</v>
      </c>
      <c r="C24" s="117" t="s">
        <v>107</v>
      </c>
      <c r="D24" s="75">
        <v>101797.4</v>
      </c>
      <c r="E24" s="116">
        <v>1.0</v>
      </c>
      <c r="F24" s="75">
        <f t="shared" si="1"/>
        <v>101797.4</v>
      </c>
      <c r="G24" s="32">
        <v>0.0</v>
      </c>
      <c r="H24" s="32">
        <v>0.0</v>
      </c>
      <c r="I24" s="117">
        <f t="shared" si="2"/>
        <v>0</v>
      </c>
      <c r="J24" s="75">
        <f t="shared" si="3"/>
        <v>101797.4</v>
      </c>
      <c r="K24" s="120" t="s">
        <v>97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22.5" customHeight="1">
      <c r="A25" s="119"/>
      <c r="B25" s="113">
        <v>20.0</v>
      </c>
      <c r="C25" s="114" t="s">
        <v>108</v>
      </c>
      <c r="D25" s="128">
        <v>257681.8500000001</v>
      </c>
      <c r="E25" s="116">
        <v>1.0</v>
      </c>
      <c r="F25" s="75">
        <f t="shared" si="1"/>
        <v>257681.85</v>
      </c>
      <c r="G25" s="122">
        <v>1500000.0</v>
      </c>
      <c r="H25" s="32">
        <v>775092.0000000001</v>
      </c>
      <c r="I25" s="117">
        <f t="shared" si="2"/>
        <v>724908</v>
      </c>
      <c r="J25" s="75">
        <f t="shared" si="3"/>
        <v>982589.85</v>
      </c>
      <c r="K25" s="118" t="s">
        <v>101</v>
      </c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22.5" customHeight="1">
      <c r="A26" s="101"/>
      <c r="B26" s="113">
        <v>21.0</v>
      </c>
      <c r="C26" s="117" t="s">
        <v>54</v>
      </c>
      <c r="D26" s="75">
        <v>990050.45</v>
      </c>
      <c r="E26" s="116">
        <v>1.0</v>
      </c>
      <c r="F26" s="75">
        <f t="shared" si="1"/>
        <v>990050.45</v>
      </c>
      <c r="G26" s="32">
        <v>0.0</v>
      </c>
      <c r="H26" s="32">
        <v>0.0</v>
      </c>
      <c r="I26" s="117">
        <f t="shared" si="2"/>
        <v>0</v>
      </c>
      <c r="J26" s="75">
        <f t="shared" si="3"/>
        <v>990050.45</v>
      </c>
      <c r="K26" s="120" t="s">
        <v>97</v>
      </c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25.5" customHeight="1">
      <c r="A27" s="101"/>
      <c r="B27" s="113">
        <v>22.0</v>
      </c>
      <c r="C27" s="129" t="s">
        <v>109</v>
      </c>
      <c r="D27" s="75">
        <v>0.0</v>
      </c>
      <c r="E27" s="116">
        <v>1.0</v>
      </c>
      <c r="F27" s="75">
        <f t="shared" si="1"/>
        <v>0</v>
      </c>
      <c r="G27" s="32">
        <v>0.0</v>
      </c>
      <c r="H27" s="32">
        <v>0.0</v>
      </c>
      <c r="I27" s="117">
        <f t="shared" si="2"/>
        <v>0</v>
      </c>
      <c r="J27" s="75">
        <f t="shared" si="3"/>
        <v>0</v>
      </c>
      <c r="K27" s="120" t="s">
        <v>97</v>
      </c>
      <c r="L27" s="101"/>
      <c r="M27" s="108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21.0" customHeight="1">
      <c r="A28" s="119"/>
      <c r="B28" s="130"/>
      <c r="C28" s="131" t="s">
        <v>110</v>
      </c>
      <c r="D28" s="132">
        <f>SUM(D6:D27)</f>
        <v>162649523.1</v>
      </c>
      <c r="E28" s="133"/>
      <c r="F28" s="134">
        <f t="shared" ref="F28:J28" si="4">SUM(F6:F27)</f>
        <v>162649523.1</v>
      </c>
      <c r="G28" s="134">
        <f t="shared" si="4"/>
        <v>199257406.5</v>
      </c>
      <c r="H28" s="134">
        <f t="shared" si="4"/>
        <v>20817999.36</v>
      </c>
      <c r="I28" s="134">
        <f t="shared" si="4"/>
        <v>178439407.1</v>
      </c>
      <c r="J28" s="134">
        <f t="shared" si="4"/>
        <v>341088930.2</v>
      </c>
      <c r="K28" s="120" t="s">
        <v>97</v>
      </c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1"/>
      <c r="B29" s="135"/>
      <c r="C29" s="136"/>
      <c r="D29" s="137"/>
      <c r="E29" s="116"/>
      <c r="F29" s="138"/>
      <c r="G29" s="139"/>
      <c r="H29" s="139"/>
      <c r="I29" s="139"/>
      <c r="J29" s="140"/>
      <c r="K29" s="120"/>
      <c r="L29" s="101"/>
      <c r="M29" s="14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21.0" customHeight="1">
      <c r="A30" s="101"/>
      <c r="B30" s="113">
        <v>23.0</v>
      </c>
      <c r="C30" s="117" t="s">
        <v>58</v>
      </c>
      <c r="D30" s="142">
        <v>2525.0</v>
      </c>
      <c r="E30" s="143">
        <v>1862.92</v>
      </c>
      <c r="F30" s="139">
        <f t="shared" ref="F30:F38" si="5">D30*E30</f>
        <v>4703873</v>
      </c>
      <c r="G30" s="139">
        <v>0.0</v>
      </c>
      <c r="H30" s="139">
        <v>0.0</v>
      </c>
      <c r="I30" s="139">
        <f t="shared" ref="I30:I38" si="6">G30-H30</f>
        <v>0</v>
      </c>
      <c r="J30" s="75">
        <f t="shared" ref="J30:J38" si="7">F30+I30</f>
        <v>4703873</v>
      </c>
      <c r="K30" s="118" t="s">
        <v>97</v>
      </c>
      <c r="L30" s="108"/>
      <c r="M30" s="119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21.0" customHeight="1">
      <c r="A31" s="101"/>
      <c r="B31" s="113">
        <v>24.0</v>
      </c>
      <c r="C31" s="144" t="s">
        <v>111</v>
      </c>
      <c r="D31" s="145">
        <v>6534.23</v>
      </c>
      <c r="E31" s="143">
        <v>1393.69</v>
      </c>
      <c r="F31" s="139">
        <f t="shared" si="5"/>
        <v>9106691.009</v>
      </c>
      <c r="G31" s="139">
        <f>4100.89*E31
</f>
        <v>5715369.384</v>
      </c>
      <c r="H31" s="139">
        <v>0.0</v>
      </c>
      <c r="I31" s="139">
        <f t="shared" si="6"/>
        <v>5715369.384</v>
      </c>
      <c r="J31" s="75">
        <f t="shared" si="7"/>
        <v>14822060.39</v>
      </c>
      <c r="K31" s="118" t="s">
        <v>112</v>
      </c>
      <c r="L31" s="108"/>
      <c r="M31" s="119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21.0" customHeight="1">
      <c r="A32" s="101"/>
      <c r="B32" s="113">
        <v>25.0</v>
      </c>
      <c r="C32" s="146" t="s">
        <v>57</v>
      </c>
      <c r="D32" s="147">
        <v>10244.999999999996</v>
      </c>
      <c r="E32" s="143">
        <f t="shared" ref="E32:E39" si="8">$E$31</f>
        <v>1393.69</v>
      </c>
      <c r="F32" s="139">
        <f t="shared" si="5"/>
        <v>14278354.05</v>
      </c>
      <c r="G32" s="139">
        <v>0.0</v>
      </c>
      <c r="H32" s="139">
        <f>930*E32</f>
        <v>1296131.7</v>
      </c>
      <c r="I32" s="139">
        <f t="shared" si="6"/>
        <v>-1296131.7</v>
      </c>
      <c r="J32" s="75">
        <f t="shared" si="7"/>
        <v>12982222.35</v>
      </c>
      <c r="K32" s="118" t="s">
        <v>113</v>
      </c>
      <c r="L32" s="108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23.25" customHeight="1">
      <c r="A33" s="101"/>
      <c r="B33" s="113">
        <v>26.0</v>
      </c>
      <c r="C33" s="117" t="s">
        <v>59</v>
      </c>
      <c r="D33" s="148">
        <v>0.0</v>
      </c>
      <c r="E33" s="143">
        <f t="shared" si="8"/>
        <v>1393.69</v>
      </c>
      <c r="F33" s="139">
        <f t="shared" si="5"/>
        <v>0</v>
      </c>
      <c r="G33" s="139">
        <v>0.0</v>
      </c>
      <c r="H33" s="139">
        <v>0.0</v>
      </c>
      <c r="I33" s="139">
        <f t="shared" si="6"/>
        <v>0</v>
      </c>
      <c r="J33" s="75">
        <f t="shared" si="7"/>
        <v>0</v>
      </c>
      <c r="K33" s="120" t="s">
        <v>114</v>
      </c>
      <c r="L33" s="108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24.0" customHeight="1">
      <c r="A34" s="101"/>
      <c r="B34" s="113">
        <v>27.0</v>
      </c>
      <c r="C34" s="121" t="s">
        <v>115</v>
      </c>
      <c r="D34" s="149">
        <v>142172.16</v>
      </c>
      <c r="E34" s="143">
        <f t="shared" si="8"/>
        <v>1393.69</v>
      </c>
      <c r="F34" s="139">
        <f t="shared" si="5"/>
        <v>198143917.7</v>
      </c>
      <c r="G34" s="139">
        <f>12900*E34</f>
        <v>17978601</v>
      </c>
      <c r="H34" s="150">
        <f>7000*E34</f>
        <v>9755830</v>
      </c>
      <c r="I34" s="139">
        <f t="shared" si="6"/>
        <v>8222771</v>
      </c>
      <c r="J34" s="75">
        <f t="shared" si="7"/>
        <v>206366688.7</v>
      </c>
      <c r="K34" s="118" t="s">
        <v>116</v>
      </c>
      <c r="L34" s="108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21.0" customHeight="1">
      <c r="A35" s="101"/>
      <c r="B35" s="113">
        <v>28.0</v>
      </c>
      <c r="C35" s="121" t="s">
        <v>117</v>
      </c>
      <c r="D35" s="149">
        <v>5504.350000000005</v>
      </c>
      <c r="E35" s="143">
        <f t="shared" si="8"/>
        <v>1393.69</v>
      </c>
      <c r="F35" s="139">
        <f t="shared" si="5"/>
        <v>7671357.552</v>
      </c>
      <c r="G35" s="139">
        <f>7000*E35</f>
        <v>9755830</v>
      </c>
      <c r="H35" s="139">
        <f>3327.65*E35
</f>
        <v>4637712.529</v>
      </c>
      <c r="I35" s="139">
        <f t="shared" si="6"/>
        <v>5118117.472</v>
      </c>
      <c r="J35" s="75">
        <f t="shared" si="7"/>
        <v>12789475.02</v>
      </c>
      <c r="K35" s="118" t="s">
        <v>118</v>
      </c>
      <c r="L35" s="108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21.75" customHeight="1">
      <c r="A36" s="101"/>
      <c r="B36" s="113">
        <v>29.0</v>
      </c>
      <c r="C36" s="114" t="s">
        <v>37</v>
      </c>
      <c r="D36" s="149">
        <v>631792.7100000001</v>
      </c>
      <c r="E36" s="143">
        <f t="shared" si="8"/>
        <v>1393.69</v>
      </c>
      <c r="F36" s="139">
        <f t="shared" si="5"/>
        <v>880523182</v>
      </c>
      <c r="G36" s="139">
        <v>0.0</v>
      </c>
      <c r="H36" s="139">
        <f>536306.77*E36
</f>
        <v>747445382.3</v>
      </c>
      <c r="I36" s="139">
        <f t="shared" si="6"/>
        <v>-747445382.3</v>
      </c>
      <c r="J36" s="75">
        <f t="shared" si="7"/>
        <v>133077799.7</v>
      </c>
      <c r="K36" s="118" t="s">
        <v>119</v>
      </c>
      <c r="L36" s="108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21.0" customHeight="1">
      <c r="A37" s="101"/>
      <c r="B37" s="113">
        <v>30.0</v>
      </c>
      <c r="C37" s="114" t="s">
        <v>62</v>
      </c>
      <c r="D37" s="149">
        <v>13406.850000000002</v>
      </c>
      <c r="E37" s="143">
        <f t="shared" si="8"/>
        <v>1393.69</v>
      </c>
      <c r="F37" s="139">
        <f t="shared" si="5"/>
        <v>18684992.78</v>
      </c>
      <c r="G37" s="139">
        <v>0.0</v>
      </c>
      <c r="H37" s="139">
        <v>0.0</v>
      </c>
      <c r="I37" s="139">
        <f t="shared" si="6"/>
        <v>0</v>
      </c>
      <c r="J37" s="75">
        <f t="shared" si="7"/>
        <v>18684992.78</v>
      </c>
      <c r="K37" s="118" t="s">
        <v>114</v>
      </c>
      <c r="L37" s="108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22.5" customHeight="1">
      <c r="A38" s="101"/>
      <c r="B38" s="113">
        <v>31.0</v>
      </c>
      <c r="C38" s="151" t="s">
        <v>63</v>
      </c>
      <c r="D38" s="149">
        <v>62054.20000000001</v>
      </c>
      <c r="E38" s="143">
        <f t="shared" si="8"/>
        <v>1393.69</v>
      </c>
      <c r="F38" s="139">
        <f t="shared" si="5"/>
        <v>86484318</v>
      </c>
      <c r="G38" s="139">
        <f>6300*E38</f>
        <v>8780247</v>
      </c>
      <c r="H38" s="139">
        <v>0.0</v>
      </c>
      <c r="I38" s="139">
        <f t="shared" si="6"/>
        <v>8780247</v>
      </c>
      <c r="J38" s="75">
        <f t="shared" si="7"/>
        <v>95264565</v>
      </c>
      <c r="K38" s="118" t="s">
        <v>120</v>
      </c>
      <c r="L38" s="108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52" t="s">
        <v>121</v>
      </c>
      <c r="C39" s="107"/>
      <c r="D39" s="153">
        <f>SUM(D31:D38)</f>
        <v>871709.5</v>
      </c>
      <c r="E39" s="143">
        <f t="shared" si="8"/>
        <v>1393.69</v>
      </c>
      <c r="F39" s="134">
        <f t="shared" ref="F39:J39" si="9">SUM(F31:F38)</f>
        <v>1214892813</v>
      </c>
      <c r="G39" s="154">
        <f t="shared" si="9"/>
        <v>42230047.38</v>
      </c>
      <c r="H39" s="154">
        <f t="shared" si="9"/>
        <v>763135056.5</v>
      </c>
      <c r="I39" s="134">
        <f t="shared" si="9"/>
        <v>-720905009.1</v>
      </c>
      <c r="J39" s="155">
        <f t="shared" si="9"/>
        <v>493987803.9</v>
      </c>
      <c r="K39" s="156"/>
      <c r="L39" s="108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57"/>
      <c r="C40" s="157"/>
      <c r="D40" s="103"/>
      <c r="E40" s="158"/>
      <c r="F40" s="158"/>
      <c r="G40" s="159"/>
      <c r="H40" s="159"/>
      <c r="I40" s="159"/>
      <c r="J40" s="103"/>
      <c r="K40" s="160"/>
      <c r="L40" s="108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57"/>
      <c r="C41" s="157"/>
      <c r="D41" s="161"/>
      <c r="E41" s="108"/>
      <c r="F41" s="162"/>
      <c r="G41" s="157"/>
      <c r="H41" s="157"/>
      <c r="I41" s="157"/>
      <c r="J41" s="158"/>
      <c r="K41" s="160"/>
      <c r="L41" s="108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57"/>
      <c r="C42" s="157"/>
      <c r="D42" s="101"/>
      <c r="E42" s="157"/>
      <c r="F42" s="157"/>
      <c r="G42" s="157"/>
      <c r="H42" s="101"/>
      <c r="I42" s="101"/>
      <c r="J42" s="101"/>
      <c r="K42" s="160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63" t="s">
        <v>122</v>
      </c>
      <c r="C43" s="106"/>
      <c r="D43" s="106"/>
      <c r="E43" s="106"/>
      <c r="F43" s="106"/>
      <c r="G43" s="106"/>
      <c r="H43" s="106"/>
      <c r="I43" s="106"/>
      <c r="J43" s="107"/>
      <c r="K43" s="164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21.0" customHeight="1">
      <c r="A44" s="101"/>
      <c r="B44" s="165"/>
      <c r="C44" s="166" t="s">
        <v>123</v>
      </c>
      <c r="D44" s="167" t="s">
        <v>124</v>
      </c>
      <c r="E44" s="167" t="s">
        <v>89</v>
      </c>
      <c r="F44" s="167" t="s">
        <v>90</v>
      </c>
      <c r="G44" s="167" t="s">
        <v>91</v>
      </c>
      <c r="H44" s="167" t="s">
        <v>92</v>
      </c>
      <c r="I44" s="167" t="s">
        <v>93</v>
      </c>
      <c r="J44" s="167" t="s">
        <v>94</v>
      </c>
      <c r="K44" s="168" t="s">
        <v>125</v>
      </c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69">
        <v>32.0</v>
      </c>
      <c r="C45" s="170" t="s">
        <v>126</v>
      </c>
      <c r="D45" s="171">
        <v>9255303.43</v>
      </c>
      <c r="E45" s="172">
        <v>1.0</v>
      </c>
      <c r="F45" s="173">
        <f t="shared" ref="F45:F48" si="10">D45*E45</f>
        <v>9255303.43</v>
      </c>
      <c r="G45" s="173">
        <v>0.0</v>
      </c>
      <c r="H45" s="174">
        <v>0.0</v>
      </c>
      <c r="I45" s="173">
        <f t="shared" ref="I45:I48" si="11">G45-H45</f>
        <v>0</v>
      </c>
      <c r="J45" s="173">
        <f t="shared" ref="J45:J48" si="12">F45+G45-H45</f>
        <v>9255303.43</v>
      </c>
      <c r="K45" s="175"/>
      <c r="L45" s="17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169">
        <v>33.0</v>
      </c>
      <c r="C46" s="170" t="s">
        <v>127</v>
      </c>
      <c r="D46" s="177">
        <v>7786750.58</v>
      </c>
      <c r="E46" s="172">
        <v>1.0</v>
      </c>
      <c r="F46" s="173">
        <f t="shared" si="10"/>
        <v>7786750.58</v>
      </c>
      <c r="G46" s="173">
        <v>0.0</v>
      </c>
      <c r="H46" s="174">
        <v>0.0</v>
      </c>
      <c r="I46" s="173">
        <f t="shared" si="11"/>
        <v>0</v>
      </c>
      <c r="J46" s="173">
        <f t="shared" si="12"/>
        <v>7786750.58</v>
      </c>
      <c r="K46" s="175"/>
      <c r="L46" s="176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69">
        <v>34.0</v>
      </c>
      <c r="C47" s="170" t="s">
        <v>126</v>
      </c>
      <c r="D47" s="178">
        <v>1115165.23</v>
      </c>
      <c r="E47" s="172">
        <v>1.0</v>
      </c>
      <c r="F47" s="173">
        <f t="shared" si="10"/>
        <v>1115165.23</v>
      </c>
      <c r="G47" s="173">
        <v>0.0</v>
      </c>
      <c r="H47" s="174">
        <v>0.0</v>
      </c>
      <c r="I47" s="173">
        <f t="shared" si="11"/>
        <v>0</v>
      </c>
      <c r="J47" s="173">
        <f t="shared" si="12"/>
        <v>1115165.23</v>
      </c>
      <c r="K47" s="179" t="s">
        <v>128</v>
      </c>
      <c r="L47" s="176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69">
        <v>35.0</v>
      </c>
      <c r="C48" s="170" t="s">
        <v>129</v>
      </c>
      <c r="D48" s="171">
        <v>17791.369999997318</v>
      </c>
      <c r="E48" s="172">
        <v>1.0</v>
      </c>
      <c r="F48" s="173">
        <f t="shared" si="10"/>
        <v>17791.37</v>
      </c>
      <c r="G48" s="173">
        <v>0.0</v>
      </c>
      <c r="H48" s="174">
        <v>0.0</v>
      </c>
      <c r="I48" s="173">
        <f t="shared" si="11"/>
        <v>0</v>
      </c>
      <c r="J48" s="173">
        <f t="shared" si="12"/>
        <v>17791.37</v>
      </c>
      <c r="K48" s="179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80" t="s">
        <v>130</v>
      </c>
      <c r="C49" s="181"/>
      <c r="D49" s="181"/>
      <c r="E49" s="182"/>
      <c r="F49" s="183">
        <f t="shared" ref="F49:J49" si="13">SUM(F45:F48)</f>
        <v>18175010.61</v>
      </c>
      <c r="G49" s="183">
        <f t="shared" si="13"/>
        <v>0</v>
      </c>
      <c r="H49" s="183">
        <f t="shared" si="13"/>
        <v>0</v>
      </c>
      <c r="I49" s="183">
        <f t="shared" si="13"/>
        <v>0</v>
      </c>
      <c r="J49" s="183">
        <f t="shared" si="13"/>
        <v>18175010.61</v>
      </c>
      <c r="K49" s="175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01"/>
      <c r="C50" s="101"/>
      <c r="D50" s="101"/>
      <c r="E50" s="108"/>
      <c r="F50" s="101"/>
      <c r="G50" s="101"/>
      <c r="H50" s="101"/>
      <c r="I50" s="101"/>
      <c r="J50" s="108"/>
      <c r="K50" s="108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1"/>
      <c r="C51" s="101"/>
      <c r="D51" s="101"/>
      <c r="E51" s="184"/>
      <c r="F51" s="101"/>
      <c r="G51" s="101"/>
      <c r="H51" s="101"/>
      <c r="I51" s="108"/>
      <c r="J51" s="101"/>
      <c r="K51" s="160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5" t="s">
        <v>131</v>
      </c>
      <c r="C52" s="106"/>
      <c r="D52" s="106"/>
      <c r="E52" s="106"/>
      <c r="F52" s="106"/>
      <c r="G52" s="106"/>
      <c r="H52" s="106"/>
      <c r="I52" s="106"/>
      <c r="J52" s="107"/>
      <c r="K52" s="164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22.5" customHeight="1">
      <c r="A53" s="101"/>
      <c r="B53" s="185"/>
      <c r="C53" s="186" t="s">
        <v>123</v>
      </c>
      <c r="D53" s="112" t="s">
        <v>132</v>
      </c>
      <c r="E53" s="187" t="s">
        <v>133</v>
      </c>
      <c r="F53" s="187" t="s">
        <v>92</v>
      </c>
      <c r="G53" s="187" t="s">
        <v>93</v>
      </c>
      <c r="H53" s="187" t="s">
        <v>94</v>
      </c>
      <c r="I53" s="188" t="s">
        <v>125</v>
      </c>
      <c r="J53" s="187" t="s">
        <v>134</v>
      </c>
      <c r="K53" s="187" t="s">
        <v>135</v>
      </c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01"/>
      <c r="B54" s="189"/>
      <c r="C54" s="170" t="s">
        <v>136</v>
      </c>
      <c r="D54" s="190">
        <v>689.68</v>
      </c>
      <c r="E54" s="190">
        <v>0.0</v>
      </c>
      <c r="F54" s="191">
        <v>0.0</v>
      </c>
      <c r="G54" s="191">
        <f t="shared" ref="G54:G59" si="14">E54-F54</f>
        <v>0</v>
      </c>
      <c r="H54" s="191">
        <f t="shared" ref="H54:H59" si="15">D54+G54</f>
        <v>689.68</v>
      </c>
      <c r="I54" s="192"/>
      <c r="J54" s="193" t="s">
        <v>137</v>
      </c>
      <c r="K54" s="194" t="s">
        <v>137</v>
      </c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89"/>
      <c r="C55" s="170" t="s">
        <v>138</v>
      </c>
      <c r="D55" s="190">
        <v>600753.41</v>
      </c>
      <c r="E55" s="190">
        <v>0.0</v>
      </c>
      <c r="F55" s="191">
        <v>0.0</v>
      </c>
      <c r="G55" s="191">
        <f t="shared" si="14"/>
        <v>0</v>
      </c>
      <c r="H55" s="191">
        <f t="shared" si="15"/>
        <v>600753.41</v>
      </c>
      <c r="I55" s="192"/>
      <c r="J55" s="193" t="s">
        <v>137</v>
      </c>
      <c r="K55" s="194" t="s">
        <v>137</v>
      </c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95"/>
      <c r="C56" s="196" t="s">
        <v>139</v>
      </c>
      <c r="D56" s="190">
        <v>40812.36</v>
      </c>
      <c r="E56" s="190">
        <v>0.0</v>
      </c>
      <c r="F56" s="191">
        <v>0.0</v>
      </c>
      <c r="G56" s="191">
        <f t="shared" si="14"/>
        <v>0</v>
      </c>
      <c r="H56" s="191">
        <f t="shared" si="15"/>
        <v>40812.36</v>
      </c>
      <c r="I56" s="192"/>
      <c r="J56" s="193" t="s">
        <v>137</v>
      </c>
      <c r="K56" s="194" t="s">
        <v>137</v>
      </c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80"/>
      <c r="C57" s="196" t="s">
        <v>139</v>
      </c>
      <c r="D57" s="190">
        <v>113064.99</v>
      </c>
      <c r="E57" s="190">
        <v>0.0</v>
      </c>
      <c r="F57" s="191">
        <v>0.0</v>
      </c>
      <c r="G57" s="191">
        <f t="shared" si="14"/>
        <v>0</v>
      </c>
      <c r="H57" s="191">
        <f t="shared" si="15"/>
        <v>113064.99</v>
      </c>
      <c r="I57" s="192"/>
      <c r="J57" s="193" t="s">
        <v>137</v>
      </c>
      <c r="K57" s="194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80"/>
      <c r="C58" s="197" t="s">
        <v>140</v>
      </c>
      <c r="D58" s="198">
        <v>29881.75</v>
      </c>
      <c r="E58" s="190">
        <v>0.0</v>
      </c>
      <c r="F58" s="191">
        <v>0.0</v>
      </c>
      <c r="G58" s="191">
        <f t="shared" si="14"/>
        <v>0</v>
      </c>
      <c r="H58" s="191">
        <f t="shared" si="15"/>
        <v>29881.75</v>
      </c>
      <c r="I58" s="192"/>
      <c r="J58" s="193" t="s">
        <v>137</v>
      </c>
      <c r="K58" s="199">
        <v>46063.0</v>
      </c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80"/>
      <c r="C59" s="200" t="s">
        <v>141</v>
      </c>
      <c r="D59" s="201">
        <v>0.0</v>
      </c>
      <c r="E59" s="201">
        <v>465000.0</v>
      </c>
      <c r="F59" s="202">
        <v>0.0</v>
      </c>
      <c r="G59" s="191">
        <f t="shared" si="14"/>
        <v>465000</v>
      </c>
      <c r="H59" s="191">
        <f t="shared" si="15"/>
        <v>465000</v>
      </c>
      <c r="I59" s="192"/>
      <c r="J59" s="203"/>
      <c r="K59" s="195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80" t="s">
        <v>142</v>
      </c>
      <c r="C60" s="181"/>
      <c r="D60" s="204">
        <f t="shared" ref="D60:H60" si="16">SUM(D54:D59)</f>
        <v>785202.19</v>
      </c>
      <c r="E60" s="204">
        <f t="shared" si="16"/>
        <v>465000</v>
      </c>
      <c r="F60" s="204">
        <f t="shared" si="16"/>
        <v>0</v>
      </c>
      <c r="G60" s="204">
        <f t="shared" si="16"/>
        <v>465000</v>
      </c>
      <c r="H60" s="204">
        <f t="shared" si="16"/>
        <v>1250202.19</v>
      </c>
      <c r="I60" s="205"/>
      <c r="J60" s="203">
        <f>SUM(J54:J58)</f>
        <v>0</v>
      </c>
      <c r="K60" s="195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1"/>
      <c r="C61" s="101"/>
      <c r="D61" s="101"/>
      <c r="E61" s="101"/>
      <c r="F61" s="101"/>
      <c r="G61" s="206"/>
      <c r="H61" s="101"/>
      <c r="I61" s="101"/>
      <c r="J61" s="101"/>
      <c r="K61" s="160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9.0" customHeight="1">
      <c r="A62" s="101"/>
      <c r="B62" s="101"/>
      <c r="C62" s="207"/>
      <c r="D62" s="207"/>
      <c r="E62" s="207"/>
      <c r="F62" s="207"/>
      <c r="G62" s="101"/>
      <c r="H62" s="108"/>
      <c r="I62" s="206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20.25" customHeight="1">
      <c r="A63" s="101"/>
      <c r="B63" s="101"/>
      <c r="C63" s="112" t="s">
        <v>143</v>
      </c>
      <c r="D63" s="208" t="s">
        <v>144</v>
      </c>
      <c r="E63" s="208" t="s">
        <v>145</v>
      </c>
      <c r="F63" s="112" t="s">
        <v>146</v>
      </c>
      <c r="G63" s="209"/>
      <c r="H63" s="210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1"/>
      <c r="C64" s="211" t="s">
        <v>147</v>
      </c>
      <c r="D64" s="212">
        <f>J28</f>
        <v>341088930.2</v>
      </c>
      <c r="E64" s="213">
        <v>1.0</v>
      </c>
      <c r="F64" s="214">
        <f t="shared" ref="F64:F66" si="17">D64*E64</f>
        <v>341088930.2</v>
      </c>
      <c r="G64" s="176"/>
      <c r="H64" s="210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1"/>
      <c r="C65" s="211" t="s">
        <v>148</v>
      </c>
      <c r="D65" s="215">
        <f>J39/E39</f>
        <v>354445.97</v>
      </c>
      <c r="E65" s="216">
        <f>$E$31</f>
        <v>1393.69</v>
      </c>
      <c r="F65" s="214">
        <f t="shared" si="17"/>
        <v>493987803.9</v>
      </c>
      <c r="G65" s="176"/>
      <c r="H65" s="210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1"/>
      <c r="C66" s="211" t="s">
        <v>149</v>
      </c>
      <c r="D66" s="217">
        <f>J30/E30</f>
        <v>2525</v>
      </c>
      <c r="E66" s="218">
        <f>E30</f>
        <v>1862.92</v>
      </c>
      <c r="F66" s="214">
        <f t="shared" si="17"/>
        <v>4703873</v>
      </c>
      <c r="G66" s="219"/>
      <c r="H66" s="210"/>
      <c r="I66" s="108"/>
      <c r="J66" s="108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1"/>
      <c r="C67" s="220" t="s">
        <v>150</v>
      </c>
      <c r="D67" s="181"/>
      <c r="E67" s="181"/>
      <c r="F67" s="221">
        <f>SUM(F64:F66)</f>
        <v>839780607.2</v>
      </c>
      <c r="G67" s="219"/>
      <c r="H67" s="210"/>
      <c r="I67" s="108"/>
      <c r="J67" s="108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1"/>
      <c r="C68" s="101"/>
      <c r="D68" s="101"/>
      <c r="E68" s="101"/>
      <c r="F68" s="210"/>
      <c r="G68" s="219"/>
      <c r="H68" s="206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1"/>
      <c r="C69" s="101"/>
      <c r="D69" s="101"/>
      <c r="E69" s="101"/>
      <c r="F69" s="101"/>
      <c r="G69" s="108"/>
      <c r="H69" s="206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1"/>
      <c r="C70" s="101"/>
      <c r="D70" s="101"/>
      <c r="E70" s="101"/>
      <c r="F70" s="101"/>
      <c r="G70" s="108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1"/>
      <c r="C71" s="101"/>
      <c r="D71" s="101"/>
      <c r="E71" s="101"/>
      <c r="F71" s="101"/>
      <c r="G71" s="108"/>
      <c r="H71" s="159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5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5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5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5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5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5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5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5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5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5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5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5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5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5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5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5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5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5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5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5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5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5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5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5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5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5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5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5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5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5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5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5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5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5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5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5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5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5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5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5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5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5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5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5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5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5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5.7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ht="15.7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ht="15.7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ht="15.75" customHeight="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ht="15.75" customHeight="1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ht="15.75" customHeight="1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ht="15.75" customHeight="1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ht="15.75" customHeight="1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ht="15.75" customHeight="1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ht="15.75" customHeight="1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ht="15.75" customHeight="1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ht="15.75" customHeight="1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ht="15.75" customHeight="1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ht="15.75" customHeight="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ht="15.75" customHeight="1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ht="15.75" customHeight="1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ht="15.75" customHeight="1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ht="15.75" customHeight="1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ht="15.75" customHeight="1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ht="15.75" customHeight="1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ht="15.75" customHeight="1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ht="15.75" customHeight="1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ht="15.75" customHeight="1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ht="15.75" customHeight="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ht="15.75" customHeight="1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ht="15.75" customHeight="1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ht="15.75" customHeight="1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ht="15.75" customHeight="1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ht="15.75" customHeight="1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ht="15.75" customHeight="1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ht="15.75" customHeight="1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ht="15.75" customHeight="1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ht="15.75" customHeight="1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ht="15.75" customHeight="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ht="15.75" customHeight="1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ht="15.75" customHeight="1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ht="15.75" customHeight="1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ht="15.75" customHeight="1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ht="15.75" customHeight="1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ht="15.75" customHeight="1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ht="15.75" customHeight="1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ht="15.75" customHeight="1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ht="15.75" customHeight="1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ht="15.75" customHeight="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ht="15.75" customHeight="1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ht="15.75" customHeight="1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ht="15.75" customHeight="1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ht="15.75" customHeight="1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ht="15.75" customHeight="1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ht="15.75" customHeight="1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ht="15.75" customHeight="1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ht="15.75" customHeight="1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ht="15.75" customHeight="1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ht="15.75" customHeight="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ht="15.75" customHeight="1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ht="15.75" customHeight="1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ht="15.75" customHeight="1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ht="15.75" customHeight="1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ht="15.75" customHeight="1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ht="15.75" customHeight="1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ht="15.75" customHeight="1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ht="15.75" customHeight="1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ht="15.75" customHeight="1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ht="15.75" customHeight="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ht="15.75" customHeight="1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ht="15.75" customHeight="1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ht="15.75" customHeight="1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ht="15.75" customHeight="1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ht="15.75" customHeight="1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ht="15.75" customHeight="1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ht="15.75" customHeight="1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ht="15.75" customHeight="1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ht="15.75" customHeight="1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ht="15.75" customHeight="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ht="15.75" customHeight="1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ht="15.75" customHeight="1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ht="15.75" customHeight="1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ht="15.75" customHeight="1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ht="15.75" customHeight="1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ht="15.75" customHeight="1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ht="15.75" customHeight="1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ht="15.75" customHeight="1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ht="15.75" customHeight="1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ht="15.75" customHeight="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ht="15.75" customHeight="1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ht="15.75" customHeight="1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ht="15.75" customHeight="1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ht="15.75" customHeight="1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ht="15.75" customHeight="1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ht="15.75" customHeight="1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ht="15.75" customHeight="1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ht="15.75" customHeight="1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ht="15.75" customHeight="1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ht="15.75" customHeight="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ht="15.75" customHeight="1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ht="15.75" customHeight="1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ht="15.75" customHeight="1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ht="15.75" customHeight="1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ht="15.75" customHeight="1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ht="15.75" customHeight="1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ht="15.75" customHeight="1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ht="15.75" customHeight="1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ht="15.75" customHeight="1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ht="15.75" customHeight="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ht="15.75" customHeight="1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ht="15.75" customHeight="1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ht="15.75" customHeight="1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ht="15.75" customHeight="1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ht="15.75" customHeight="1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ht="15.75" customHeight="1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ht="15.75" customHeight="1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ht="15.75" customHeight="1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ht="15.75" customHeight="1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ht="15.75" customHeight="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ht="15.75" customHeight="1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ht="15.75" customHeight="1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ht="15.75" customHeight="1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ht="15.75" customHeight="1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 ht="15.75" customHeight="1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 ht="15.75" customHeight="1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 ht="15.75" customHeight="1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 ht="15.75" customHeight="1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 ht="15.75" customHeight="1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 ht="15.75" customHeight="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 ht="15.75" customHeight="1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 ht="15.75" customHeight="1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 ht="15.75" customHeight="1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 ht="15.75" customHeight="1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 ht="15.75" customHeight="1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 ht="15.75" customHeight="1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 ht="15.75" customHeight="1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 ht="15.75" customHeight="1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 ht="15.75" customHeight="1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 ht="15.75" customHeight="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 ht="15.75" customHeight="1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 ht="15.75" customHeight="1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 ht="15.75" customHeight="1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 ht="15.75" customHeight="1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 ht="15.75" customHeight="1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 ht="15.75" customHeight="1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 ht="15.75" customHeight="1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 ht="15.75" customHeight="1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 ht="15.75" customHeight="1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 ht="15.75" customHeight="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 ht="15.75" customHeight="1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 ht="15.75" customHeight="1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 ht="15.75" customHeight="1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 ht="15.75" customHeight="1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 ht="15.75" customHeight="1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 ht="15.75" customHeight="1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 ht="15.75" customHeight="1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 ht="15.75" customHeight="1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 ht="15.75" customHeight="1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 ht="15.75" customHeight="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 ht="15.75" customHeight="1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 ht="15.75" customHeight="1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 ht="15.75" customHeight="1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 ht="15.75" customHeight="1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 ht="15.75" customHeight="1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 ht="15.75" customHeight="1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 ht="15.75" customHeight="1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 ht="15.75" customHeight="1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 ht="15.75" customHeight="1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 ht="15.75" customHeight="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 ht="15.75" customHeight="1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 ht="15.75" customHeight="1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 ht="15.75" customHeight="1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 ht="15.75" customHeight="1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 ht="15.75" customHeight="1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 ht="15.75" customHeight="1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 ht="15.75" customHeight="1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 ht="15.75" customHeight="1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 ht="15.75" customHeight="1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 ht="15.75" customHeight="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 ht="15.75" customHeight="1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 ht="15.75" customHeight="1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 ht="15.75" customHeight="1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 ht="15.75" customHeight="1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 ht="15.75" customHeight="1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 ht="15.75" customHeight="1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 ht="15.75" customHeight="1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 ht="15.75" customHeight="1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 ht="15.75" customHeight="1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 ht="15.75" customHeight="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 ht="15.75" customHeight="1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 ht="15.75" customHeight="1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 ht="15.75" customHeight="1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 ht="15.75" customHeight="1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 ht="15.75" customHeight="1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 ht="15.75" customHeight="1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 ht="15.75" customHeight="1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 ht="15.75" customHeight="1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 ht="15.75" customHeight="1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 ht="15.75" customHeight="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 ht="15.75" customHeight="1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 ht="15.75" customHeight="1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 ht="15.75" customHeight="1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 ht="15.75" customHeight="1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 ht="15.75" customHeight="1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 ht="15.75" customHeight="1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 ht="15.75" customHeight="1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 ht="15.75" customHeight="1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 ht="15.75" customHeight="1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 ht="15.75" customHeight="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 ht="15.75" customHeight="1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 ht="15.75" customHeight="1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 ht="15.75" customHeight="1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 ht="15.75" customHeight="1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 ht="15.75" customHeight="1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 ht="15.75" customHeight="1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 ht="15.75" customHeight="1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 ht="15.75" customHeight="1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 ht="15.75" customHeight="1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 ht="15.75" customHeight="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 ht="15.75" customHeight="1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 ht="15.75" customHeight="1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 ht="15.75" customHeight="1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 ht="15.75" customHeight="1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 ht="15.75" customHeight="1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 ht="15.75" customHeight="1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 ht="15.75" customHeight="1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 ht="15.75" customHeight="1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 ht="15.75" customHeight="1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 ht="15.75" customHeight="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 ht="15.75" customHeight="1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 ht="15.75" customHeight="1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 ht="15.75" customHeight="1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 ht="15.75" customHeight="1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 ht="15.75" customHeight="1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 ht="15.75" customHeight="1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 ht="15.75" customHeight="1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 ht="15.75" customHeight="1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 ht="15.75" customHeight="1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 ht="15.75" customHeight="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 ht="15.75" customHeight="1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 ht="15.75" customHeight="1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 ht="15.75" customHeight="1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 ht="15.75" customHeight="1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 ht="15.75" customHeight="1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 ht="15.75" customHeight="1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 ht="15.75" customHeight="1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 ht="15.75" customHeight="1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 ht="15.75" customHeight="1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 ht="15.75" customHeight="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 ht="15.75" customHeight="1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 ht="15.75" customHeight="1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 ht="15.75" customHeight="1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 ht="15.75" customHeight="1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 ht="15.75" customHeight="1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 ht="15.75" customHeight="1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 ht="15.75" customHeight="1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 ht="15.75" customHeight="1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 ht="15.75" customHeight="1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 ht="15.75" customHeight="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 ht="15.75" customHeight="1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 ht="15.75" customHeight="1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 ht="15.75" customHeight="1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 ht="15.75" customHeight="1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 ht="15.75" customHeight="1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 ht="15.75" customHeight="1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 ht="15.75" customHeight="1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 ht="15.75" customHeight="1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 ht="15.75" customHeight="1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 ht="15.75" customHeight="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 ht="15.75" customHeight="1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 ht="15.75" customHeight="1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 ht="15.75" customHeight="1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 ht="15.75" customHeight="1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 ht="15.75" customHeight="1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 ht="15.75" customHeight="1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 ht="15.75" customHeight="1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 ht="15.75" customHeight="1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 ht="15.75" customHeight="1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 ht="15.75" customHeight="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 ht="15.75" customHeight="1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 ht="15.75" customHeight="1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 ht="15.75" customHeight="1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 ht="15.75" customHeight="1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 ht="15.75" customHeight="1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 ht="15.75" customHeight="1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 ht="15.75" customHeight="1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 ht="15.75" customHeight="1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 ht="15.75" customHeight="1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 ht="15.75" customHeight="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 ht="15.75" customHeight="1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 ht="15.75" customHeight="1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 ht="15.75" customHeight="1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 ht="15.75" customHeight="1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 ht="15.75" customHeight="1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 ht="15.75" customHeight="1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 ht="15.75" customHeight="1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 ht="15.75" customHeight="1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 ht="15.75" customHeight="1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 ht="15.75" customHeight="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 ht="15.75" customHeight="1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 ht="15.75" customHeight="1">
      <c r="A563" s="210"/>
      <c r="B563" s="210"/>
      <c r="C563" s="210"/>
      <c r="D563" s="210"/>
      <c r="E563" s="21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 ht="15.75" customHeight="1">
      <c r="A564" s="210"/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 ht="15.75" customHeight="1">
      <c r="A565" s="210"/>
      <c r="B565" s="210"/>
      <c r="C565" s="210"/>
      <c r="D565" s="210"/>
      <c r="E565" s="21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 ht="15.75" customHeight="1">
      <c r="A566" s="210"/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 ht="15.75" customHeight="1">
      <c r="A567" s="210"/>
      <c r="B567" s="210"/>
      <c r="C567" s="210"/>
      <c r="D567" s="210"/>
      <c r="E567" s="21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 ht="15.75" customHeight="1">
      <c r="A568" s="210"/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 ht="15.75" customHeight="1">
      <c r="A569" s="210"/>
      <c r="B569" s="210"/>
      <c r="C569" s="210"/>
      <c r="D569" s="210"/>
      <c r="E569" s="21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 ht="15.75" customHeight="1">
      <c r="A570" s="210"/>
      <c r="B570" s="210"/>
      <c r="C570" s="210"/>
      <c r="D570" s="210"/>
      <c r="E570" s="21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 ht="15.75" customHeight="1">
      <c r="A571" s="210"/>
      <c r="B571" s="210"/>
      <c r="C571" s="210"/>
      <c r="D571" s="210"/>
      <c r="E571" s="21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 ht="15.75" customHeight="1">
      <c r="A572" s="210"/>
      <c r="B572" s="210"/>
      <c r="C572" s="210"/>
      <c r="D572" s="210"/>
      <c r="E572" s="21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 ht="15.75" customHeight="1">
      <c r="A573" s="210"/>
      <c r="B573" s="210"/>
      <c r="C573" s="210"/>
      <c r="D573" s="210"/>
      <c r="E573" s="21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 ht="15.75" customHeight="1">
      <c r="A574" s="210"/>
      <c r="B574" s="210"/>
      <c r="C574" s="210"/>
      <c r="D574" s="210"/>
      <c r="E574" s="21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 ht="15.75" customHeight="1">
      <c r="A575" s="210"/>
      <c r="B575" s="210"/>
      <c r="C575" s="210"/>
      <c r="D575" s="210"/>
      <c r="E575" s="21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 ht="15.75" customHeight="1">
      <c r="A576" s="210"/>
      <c r="B576" s="210"/>
      <c r="C576" s="210"/>
      <c r="D576" s="210"/>
      <c r="E576" s="21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 ht="15.75" customHeight="1">
      <c r="A577" s="210"/>
      <c r="B577" s="210"/>
      <c r="C577" s="210"/>
      <c r="D577" s="210"/>
      <c r="E577" s="21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 ht="15.75" customHeight="1">
      <c r="A578" s="210"/>
      <c r="B578" s="210"/>
      <c r="C578" s="210"/>
      <c r="D578" s="210"/>
      <c r="E578" s="21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 ht="15.75" customHeight="1">
      <c r="A579" s="210"/>
      <c r="B579" s="210"/>
      <c r="C579" s="210"/>
      <c r="D579" s="210"/>
      <c r="E579" s="21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 ht="15.75" customHeight="1">
      <c r="A580" s="210"/>
      <c r="B580" s="210"/>
      <c r="C580" s="210"/>
      <c r="D580" s="210"/>
      <c r="E580" s="21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 ht="15.75" customHeight="1">
      <c r="A581" s="210"/>
      <c r="B581" s="210"/>
      <c r="C581" s="210"/>
      <c r="D581" s="210"/>
      <c r="E581" s="21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 ht="15.75" customHeight="1">
      <c r="A582" s="210"/>
      <c r="B582" s="210"/>
      <c r="C582" s="210"/>
      <c r="D582" s="210"/>
      <c r="E582" s="21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 ht="15.75" customHeight="1">
      <c r="A583" s="210"/>
      <c r="B583" s="210"/>
      <c r="C583" s="210"/>
      <c r="D583" s="210"/>
      <c r="E583" s="21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 ht="15.75" customHeight="1">
      <c r="A584" s="210"/>
      <c r="B584" s="210"/>
      <c r="C584" s="210"/>
      <c r="D584" s="210"/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 ht="15.75" customHeight="1">
      <c r="A585" s="210"/>
      <c r="B585" s="210"/>
      <c r="C585" s="210"/>
      <c r="D585" s="210"/>
      <c r="E585" s="21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 ht="15.75" customHeight="1">
      <c r="A586" s="210"/>
      <c r="B586" s="210"/>
      <c r="C586" s="210"/>
      <c r="D586" s="210"/>
      <c r="E586" s="21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 ht="15.75" customHeight="1">
      <c r="A587" s="210"/>
      <c r="B587" s="210"/>
      <c r="C587" s="210"/>
      <c r="D587" s="210"/>
      <c r="E587" s="21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 ht="15.75" customHeight="1">
      <c r="A588" s="210"/>
      <c r="B588" s="210"/>
      <c r="C588" s="210"/>
      <c r="D588" s="210"/>
      <c r="E588" s="21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 ht="15.75" customHeight="1">
      <c r="A589" s="210"/>
      <c r="B589" s="210"/>
      <c r="C589" s="210"/>
      <c r="D589" s="210"/>
      <c r="E589" s="21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 ht="15.75" customHeight="1">
      <c r="A590" s="210"/>
      <c r="B590" s="210"/>
      <c r="C590" s="210"/>
      <c r="D590" s="210"/>
      <c r="E590" s="21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 ht="15.75" customHeight="1">
      <c r="A591" s="210"/>
      <c r="B591" s="210"/>
      <c r="C591" s="210"/>
      <c r="D591" s="210"/>
      <c r="E591" s="21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 ht="15.75" customHeight="1">
      <c r="A592" s="210"/>
      <c r="B592" s="210"/>
      <c r="C592" s="210"/>
      <c r="D592" s="210"/>
      <c r="E592" s="21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 ht="15.75" customHeight="1">
      <c r="A593" s="210"/>
      <c r="B593" s="210"/>
      <c r="C593" s="210"/>
      <c r="D593" s="210"/>
      <c r="E593" s="21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 ht="15.75" customHeight="1">
      <c r="A594" s="210"/>
      <c r="B594" s="210"/>
      <c r="C594" s="210"/>
      <c r="D594" s="210"/>
      <c r="E594" s="21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 ht="15.75" customHeight="1">
      <c r="A595" s="210"/>
      <c r="B595" s="210"/>
      <c r="C595" s="210"/>
      <c r="D595" s="210"/>
      <c r="E595" s="21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 ht="15.75" customHeight="1">
      <c r="A596" s="210"/>
      <c r="B596" s="210"/>
      <c r="C596" s="210"/>
      <c r="D596" s="210"/>
      <c r="E596" s="21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 ht="15.75" customHeight="1">
      <c r="A597" s="210"/>
      <c r="B597" s="210"/>
      <c r="C597" s="210"/>
      <c r="D597" s="210"/>
      <c r="E597" s="21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 ht="15.75" customHeight="1">
      <c r="A598" s="210"/>
      <c r="B598" s="210"/>
      <c r="C598" s="210"/>
      <c r="D598" s="210"/>
      <c r="E598" s="21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 ht="15.75" customHeight="1">
      <c r="A599" s="210"/>
      <c r="B599" s="210"/>
      <c r="C599" s="210"/>
      <c r="D599" s="210"/>
      <c r="E599" s="21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 ht="15.75" customHeight="1">
      <c r="A600" s="210"/>
      <c r="B600" s="210"/>
      <c r="C600" s="210"/>
      <c r="D600" s="210"/>
      <c r="E600" s="21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 ht="15.75" customHeight="1">
      <c r="A601" s="210"/>
      <c r="B601" s="210"/>
      <c r="C601" s="210"/>
      <c r="D601" s="210"/>
      <c r="E601" s="21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 ht="15.75" customHeight="1">
      <c r="A602" s="210"/>
      <c r="B602" s="210"/>
      <c r="C602" s="210"/>
      <c r="D602" s="210"/>
      <c r="E602" s="21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 ht="15.75" customHeight="1">
      <c r="A603" s="210"/>
      <c r="B603" s="210"/>
      <c r="C603" s="210"/>
      <c r="D603" s="210"/>
      <c r="E603" s="21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 ht="15.75" customHeight="1">
      <c r="A604" s="210"/>
      <c r="B604" s="210"/>
      <c r="C604" s="210"/>
      <c r="D604" s="210"/>
      <c r="E604" s="21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 ht="15.75" customHeight="1">
      <c r="A605" s="210"/>
      <c r="B605" s="210"/>
      <c r="C605" s="210"/>
      <c r="D605" s="210"/>
      <c r="E605" s="21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 ht="15.75" customHeight="1">
      <c r="A606" s="210"/>
      <c r="B606" s="210"/>
      <c r="C606" s="210"/>
      <c r="D606" s="210"/>
      <c r="E606" s="21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 ht="15.75" customHeight="1">
      <c r="A607" s="210"/>
      <c r="B607" s="210"/>
      <c r="C607" s="210"/>
      <c r="D607" s="210"/>
      <c r="E607" s="21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 ht="15.75" customHeight="1">
      <c r="A608" s="210"/>
      <c r="B608" s="210"/>
      <c r="C608" s="210"/>
      <c r="D608" s="210"/>
      <c r="E608" s="21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 ht="15.75" customHeight="1">
      <c r="A609" s="210"/>
      <c r="B609" s="210"/>
      <c r="C609" s="210"/>
      <c r="D609" s="210"/>
      <c r="E609" s="21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 ht="15.75" customHeight="1">
      <c r="A610" s="210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 ht="15.75" customHeight="1">
      <c r="A611" s="210"/>
      <c r="B611" s="210"/>
      <c r="C611" s="210"/>
      <c r="D611" s="210"/>
      <c r="E611" s="21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 ht="15.75" customHeight="1">
      <c r="A612" s="210"/>
      <c r="B612" s="210"/>
      <c r="C612" s="210"/>
      <c r="D612" s="210"/>
      <c r="E612" s="21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 ht="15.75" customHeight="1">
      <c r="A613" s="210"/>
      <c r="B613" s="210"/>
      <c r="C613" s="210"/>
      <c r="D613" s="210"/>
      <c r="E613" s="21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 ht="15.75" customHeight="1">
      <c r="A614" s="210"/>
      <c r="B614" s="210"/>
      <c r="C614" s="210"/>
      <c r="D614" s="210"/>
      <c r="E614" s="21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 ht="15.75" customHeight="1">
      <c r="A615" s="210"/>
      <c r="B615" s="210"/>
      <c r="C615" s="210"/>
      <c r="D615" s="210"/>
      <c r="E615" s="21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 ht="15.75" customHeight="1">
      <c r="A616" s="210"/>
      <c r="B616" s="210"/>
      <c r="C616" s="210"/>
      <c r="D616" s="210"/>
      <c r="E616" s="21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 ht="15.75" customHeight="1">
      <c r="A617" s="210"/>
      <c r="B617" s="210"/>
      <c r="C617" s="210"/>
      <c r="D617" s="210"/>
      <c r="E617" s="21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 ht="15.75" customHeight="1">
      <c r="A618" s="210"/>
      <c r="B618" s="210"/>
      <c r="C618" s="210"/>
      <c r="D618" s="210"/>
      <c r="E618" s="21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 ht="15.75" customHeight="1">
      <c r="A619" s="210"/>
      <c r="B619" s="210"/>
      <c r="C619" s="210"/>
      <c r="D619" s="210"/>
      <c r="E619" s="21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 ht="15.75" customHeight="1">
      <c r="A620" s="210"/>
      <c r="B620" s="210"/>
      <c r="C620" s="210"/>
      <c r="D620" s="210"/>
      <c r="E620" s="21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 ht="15.75" customHeight="1">
      <c r="A621" s="210"/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 ht="15.75" customHeight="1">
      <c r="A622" s="210"/>
      <c r="B622" s="210"/>
      <c r="C622" s="210"/>
      <c r="D622" s="210"/>
      <c r="E622" s="21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 ht="15.75" customHeight="1">
      <c r="A623" s="210"/>
      <c r="B623" s="210"/>
      <c r="C623" s="210"/>
      <c r="D623" s="210"/>
      <c r="E623" s="21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 ht="15.75" customHeight="1">
      <c r="A624" s="210"/>
      <c r="B624" s="210"/>
      <c r="C624" s="210"/>
      <c r="D624" s="210"/>
      <c r="E624" s="21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 ht="15.75" customHeight="1">
      <c r="A625" s="210"/>
      <c r="B625" s="210"/>
      <c r="C625" s="210"/>
      <c r="D625" s="210"/>
      <c r="E625" s="21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 ht="15.75" customHeight="1">
      <c r="A626" s="210"/>
      <c r="B626" s="210"/>
      <c r="C626" s="210"/>
      <c r="D626" s="210"/>
      <c r="E626" s="21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 ht="15.75" customHeight="1">
      <c r="A627" s="210"/>
      <c r="B627" s="210"/>
      <c r="C627" s="210"/>
      <c r="D627" s="210"/>
      <c r="E627" s="21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 ht="15.75" customHeight="1">
      <c r="A628" s="210"/>
      <c r="B628" s="210"/>
      <c r="C628" s="210"/>
      <c r="D628" s="210"/>
      <c r="E628" s="21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 ht="15.75" customHeight="1">
      <c r="A629" s="210"/>
      <c r="B629" s="210"/>
      <c r="C629" s="210"/>
      <c r="D629" s="210"/>
      <c r="E629" s="21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 ht="15.75" customHeight="1">
      <c r="A630" s="210"/>
      <c r="B630" s="210"/>
      <c r="C630" s="210"/>
      <c r="D630" s="210"/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 ht="15.75" customHeight="1">
      <c r="A631" s="210"/>
      <c r="B631" s="210"/>
      <c r="C631" s="210"/>
      <c r="D631" s="210"/>
      <c r="E631" s="21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 ht="15.75" customHeight="1">
      <c r="A632" s="210"/>
      <c r="B632" s="210"/>
      <c r="C632" s="210"/>
      <c r="D632" s="210"/>
      <c r="E632" s="21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 ht="15.75" customHeight="1">
      <c r="A633" s="210"/>
      <c r="B633" s="210"/>
      <c r="C633" s="210"/>
      <c r="D633" s="210"/>
      <c r="E633" s="21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 ht="15.75" customHeight="1">
      <c r="A634" s="210"/>
      <c r="B634" s="210"/>
      <c r="C634" s="210"/>
      <c r="D634" s="210"/>
      <c r="E634" s="21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 ht="15.75" customHeight="1">
      <c r="A635" s="210"/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 ht="15.75" customHeight="1">
      <c r="A636" s="210"/>
      <c r="B636" s="210"/>
      <c r="C636" s="210"/>
      <c r="D636" s="210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 ht="15.75" customHeight="1">
      <c r="A637" s="210"/>
      <c r="B637" s="210"/>
      <c r="C637" s="210"/>
      <c r="D637" s="210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 ht="15.75" customHeight="1">
      <c r="A638" s="210"/>
      <c r="B638" s="210"/>
      <c r="C638" s="210"/>
      <c r="D638" s="210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 ht="15.75" customHeight="1">
      <c r="A639" s="210"/>
      <c r="B639" s="210"/>
      <c r="C639" s="210"/>
      <c r="D639" s="210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 ht="15.75" customHeight="1">
      <c r="A640" s="210"/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 ht="15.75" customHeight="1">
      <c r="A641" s="210"/>
      <c r="B641" s="210"/>
      <c r="C641" s="210"/>
      <c r="D641" s="210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 ht="15.75" customHeight="1">
      <c r="A642" s="210"/>
      <c r="B642" s="210"/>
      <c r="C642" s="210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 ht="15.75" customHeight="1">
      <c r="A643" s="210"/>
      <c r="B643" s="210"/>
      <c r="C643" s="210"/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 ht="15.75" customHeight="1">
      <c r="A644" s="210"/>
      <c r="B644" s="210"/>
      <c r="C644" s="210"/>
      <c r="D644" s="210"/>
      <c r="E644" s="21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 ht="15.75" customHeight="1">
      <c r="A645" s="210"/>
      <c r="B645" s="210"/>
      <c r="C645" s="210"/>
      <c r="D645" s="210"/>
      <c r="E645" s="21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 ht="15.75" customHeight="1">
      <c r="A646" s="210"/>
      <c r="B646" s="210"/>
      <c r="C646" s="210"/>
      <c r="D646" s="210"/>
      <c r="E646" s="21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 ht="15.75" customHeight="1">
      <c r="A647" s="210"/>
      <c r="B647" s="210"/>
      <c r="C647" s="210"/>
      <c r="D647" s="210"/>
      <c r="E647" s="21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 ht="15.75" customHeight="1">
      <c r="A648" s="210"/>
      <c r="B648" s="210"/>
      <c r="C648" s="210"/>
      <c r="D648" s="210"/>
      <c r="E648" s="21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 ht="15.75" customHeight="1">
      <c r="A649" s="210"/>
      <c r="B649" s="210"/>
      <c r="C649" s="210"/>
      <c r="D649" s="210"/>
      <c r="E649" s="21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 ht="15.75" customHeight="1">
      <c r="A650" s="210"/>
      <c r="B650" s="210"/>
      <c r="C650" s="210"/>
      <c r="D650" s="210"/>
      <c r="E650" s="21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 ht="15.75" customHeight="1">
      <c r="A651" s="210"/>
      <c r="B651" s="210"/>
      <c r="C651" s="210"/>
      <c r="D651" s="210"/>
      <c r="E651" s="21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 ht="15.75" customHeight="1">
      <c r="A652" s="210"/>
      <c r="B652" s="210"/>
      <c r="C652" s="210"/>
      <c r="D652" s="210"/>
      <c r="E652" s="21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 ht="15.75" customHeight="1">
      <c r="A653" s="210"/>
      <c r="B653" s="210"/>
      <c r="C653" s="210"/>
      <c r="D653" s="210"/>
      <c r="E653" s="21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 ht="15.75" customHeight="1">
      <c r="A654" s="210"/>
      <c r="B654" s="210"/>
      <c r="C654" s="210"/>
      <c r="D654" s="210"/>
      <c r="E654" s="21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 ht="15.75" customHeight="1">
      <c r="A655" s="210"/>
      <c r="B655" s="210"/>
      <c r="C655" s="210"/>
      <c r="D655" s="210"/>
      <c r="E655" s="21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 ht="15.75" customHeight="1">
      <c r="A656" s="210"/>
      <c r="B656" s="210"/>
      <c r="C656" s="210"/>
      <c r="D656" s="210"/>
      <c r="E656" s="21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 ht="15.75" customHeight="1">
      <c r="A657" s="210"/>
      <c r="B657" s="210"/>
      <c r="C657" s="210"/>
      <c r="D657" s="210"/>
      <c r="E657" s="21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 ht="15.75" customHeight="1">
      <c r="A658" s="210"/>
      <c r="B658" s="210"/>
      <c r="C658" s="210"/>
      <c r="D658" s="210"/>
      <c r="E658" s="21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 ht="15.75" customHeight="1">
      <c r="A659" s="210"/>
      <c r="B659" s="210"/>
      <c r="C659" s="210"/>
      <c r="D659" s="210"/>
      <c r="E659" s="21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 ht="15.75" customHeight="1">
      <c r="A660" s="210"/>
      <c r="B660" s="210"/>
      <c r="C660" s="210"/>
      <c r="D660" s="210"/>
      <c r="E660" s="21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 ht="15.75" customHeight="1">
      <c r="A661" s="210"/>
      <c r="B661" s="210"/>
      <c r="C661" s="210"/>
      <c r="D661" s="210"/>
      <c r="E661" s="21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 ht="15.75" customHeight="1">
      <c r="A662" s="210"/>
      <c r="B662" s="210"/>
      <c r="C662" s="210"/>
      <c r="D662" s="210"/>
      <c r="E662" s="21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 ht="15.75" customHeight="1">
      <c r="A663" s="210"/>
      <c r="B663" s="210"/>
      <c r="C663" s="210"/>
      <c r="D663" s="210"/>
      <c r="E663" s="21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 ht="15.75" customHeight="1">
      <c r="A664" s="210"/>
      <c r="B664" s="210"/>
      <c r="C664" s="210"/>
      <c r="D664" s="210"/>
      <c r="E664" s="21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 ht="15.75" customHeight="1">
      <c r="A665" s="210"/>
      <c r="B665" s="210"/>
      <c r="C665" s="210"/>
      <c r="D665" s="210"/>
      <c r="E665" s="21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 ht="15.75" customHeight="1">
      <c r="A666" s="210"/>
      <c r="B666" s="210"/>
      <c r="C666" s="210"/>
      <c r="D666" s="210"/>
      <c r="E666" s="21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 ht="15.75" customHeight="1">
      <c r="A667" s="210"/>
      <c r="B667" s="210"/>
      <c r="C667" s="210"/>
      <c r="D667" s="210"/>
      <c r="E667" s="21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 ht="15.75" customHeight="1">
      <c r="A668" s="210"/>
      <c r="B668" s="210"/>
      <c r="C668" s="210"/>
      <c r="D668" s="210"/>
      <c r="E668" s="21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 ht="15.75" customHeight="1">
      <c r="A669" s="210"/>
      <c r="B669" s="210"/>
      <c r="C669" s="210"/>
      <c r="D669" s="210"/>
      <c r="E669" s="21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 ht="15.75" customHeight="1">
      <c r="A670" s="210"/>
      <c r="B670" s="210"/>
      <c r="C670" s="210"/>
      <c r="D670" s="210"/>
      <c r="E670" s="21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 ht="15.75" customHeight="1">
      <c r="A671" s="210"/>
      <c r="B671" s="210"/>
      <c r="C671" s="210"/>
      <c r="D671" s="210"/>
      <c r="E671" s="21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 ht="15.75" customHeight="1">
      <c r="A672" s="210"/>
      <c r="B672" s="210"/>
      <c r="C672" s="210"/>
      <c r="D672" s="210"/>
      <c r="E672" s="21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 ht="15.75" customHeight="1">
      <c r="A673" s="210"/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 ht="15.75" customHeight="1">
      <c r="A674" s="210"/>
      <c r="B674" s="210"/>
      <c r="C674" s="210"/>
      <c r="D674" s="210"/>
      <c r="E674" s="21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 ht="15.75" customHeight="1">
      <c r="A675" s="210"/>
      <c r="B675" s="210"/>
      <c r="C675" s="210"/>
      <c r="D675" s="210"/>
      <c r="E675" s="21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 ht="15.75" customHeight="1">
      <c r="A676" s="210"/>
      <c r="B676" s="210"/>
      <c r="C676" s="210"/>
      <c r="D676" s="210"/>
      <c r="E676" s="21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 ht="15.75" customHeight="1">
      <c r="A677" s="210"/>
      <c r="B677" s="210"/>
      <c r="C677" s="210"/>
      <c r="D677" s="210"/>
      <c r="E677" s="21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 ht="15.75" customHeight="1">
      <c r="A678" s="210"/>
      <c r="B678" s="210"/>
      <c r="C678" s="210"/>
      <c r="D678" s="210"/>
      <c r="E678" s="21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 ht="15.75" customHeight="1">
      <c r="A679" s="210"/>
      <c r="B679" s="210"/>
      <c r="C679" s="210"/>
      <c r="D679" s="210"/>
      <c r="E679" s="21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 ht="15.75" customHeight="1">
      <c r="A680" s="210"/>
      <c r="B680" s="210"/>
      <c r="C680" s="210"/>
      <c r="D680" s="210"/>
      <c r="E680" s="21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 ht="15.75" customHeight="1">
      <c r="A681" s="210"/>
      <c r="B681" s="210"/>
      <c r="C681" s="210"/>
      <c r="D681" s="210"/>
      <c r="E681" s="21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 ht="15.75" customHeight="1">
      <c r="A682" s="210"/>
      <c r="B682" s="210"/>
      <c r="C682" s="210"/>
      <c r="D682" s="210"/>
      <c r="E682" s="21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 ht="15.75" customHeight="1">
      <c r="A683" s="210"/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 ht="15.75" customHeight="1">
      <c r="A684" s="210"/>
      <c r="B684" s="210"/>
      <c r="C684" s="210"/>
      <c r="D684" s="210"/>
      <c r="E684" s="21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 ht="15.75" customHeight="1">
      <c r="A685" s="210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 ht="15.75" customHeight="1">
      <c r="A686" s="210"/>
      <c r="B686" s="210"/>
      <c r="C686" s="210"/>
      <c r="D686" s="210"/>
      <c r="E686" s="21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 ht="15.75" customHeight="1">
      <c r="A687" s="210"/>
      <c r="B687" s="210"/>
      <c r="C687" s="210"/>
      <c r="D687" s="210"/>
      <c r="E687" s="21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 ht="15.75" customHeight="1">
      <c r="A688" s="210"/>
      <c r="B688" s="210"/>
      <c r="C688" s="210"/>
      <c r="D688" s="210"/>
      <c r="E688" s="21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 ht="15.75" customHeight="1">
      <c r="A689" s="210"/>
      <c r="B689" s="210"/>
      <c r="C689" s="210"/>
      <c r="D689" s="210"/>
      <c r="E689" s="21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 ht="15.75" customHeight="1">
      <c r="A690" s="210"/>
      <c r="B690" s="210"/>
      <c r="C690" s="210"/>
      <c r="D690" s="210"/>
      <c r="E690" s="21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 ht="15.75" customHeight="1">
      <c r="A691" s="210"/>
      <c r="B691" s="210"/>
      <c r="C691" s="210"/>
      <c r="D691" s="210"/>
      <c r="E691" s="21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 ht="15.75" customHeight="1">
      <c r="A692" s="210"/>
      <c r="B692" s="210"/>
      <c r="C692" s="210"/>
      <c r="D692" s="210"/>
      <c r="E692" s="21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 ht="15.75" customHeight="1">
      <c r="A693" s="210"/>
      <c r="B693" s="210"/>
      <c r="C693" s="210"/>
      <c r="D693" s="210"/>
      <c r="E693" s="21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 ht="15.75" customHeight="1">
      <c r="A694" s="210"/>
      <c r="B694" s="210"/>
      <c r="C694" s="210"/>
      <c r="D694" s="210"/>
      <c r="E694" s="21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 ht="15.75" customHeight="1">
      <c r="A695" s="210"/>
      <c r="B695" s="210"/>
      <c r="C695" s="210"/>
      <c r="D695" s="210"/>
      <c r="E695" s="21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 ht="15.75" customHeight="1">
      <c r="A696" s="210"/>
      <c r="B696" s="210"/>
      <c r="C696" s="210"/>
      <c r="D696" s="210"/>
      <c r="E696" s="21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 ht="15.75" customHeight="1">
      <c r="A697" s="210"/>
      <c r="B697" s="210"/>
      <c r="C697" s="210"/>
      <c r="D697" s="210"/>
      <c r="E697" s="21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 ht="15.75" customHeight="1">
      <c r="A698" s="210"/>
      <c r="B698" s="210"/>
      <c r="C698" s="210"/>
      <c r="D698" s="210"/>
      <c r="E698" s="21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 ht="15.75" customHeight="1">
      <c r="A699" s="210"/>
      <c r="B699" s="210"/>
      <c r="C699" s="210"/>
      <c r="D699" s="210"/>
      <c r="E699" s="21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 ht="15.75" customHeight="1">
      <c r="A700" s="210"/>
      <c r="B700" s="210"/>
      <c r="C700" s="210"/>
      <c r="D700" s="210"/>
      <c r="E700" s="21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 ht="15.75" customHeight="1">
      <c r="A701" s="210"/>
      <c r="B701" s="210"/>
      <c r="C701" s="210"/>
      <c r="D701" s="210"/>
      <c r="E701" s="21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 ht="15.75" customHeight="1">
      <c r="A702" s="210"/>
      <c r="B702" s="210"/>
      <c r="C702" s="210"/>
      <c r="D702" s="210"/>
      <c r="E702" s="21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 ht="15.75" customHeight="1">
      <c r="A703" s="210"/>
      <c r="B703" s="210"/>
      <c r="C703" s="210"/>
      <c r="D703" s="210"/>
      <c r="E703" s="21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 ht="15.75" customHeight="1">
      <c r="A704" s="210"/>
      <c r="B704" s="210"/>
      <c r="C704" s="210"/>
      <c r="D704" s="210"/>
      <c r="E704" s="21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 ht="15.75" customHeight="1">
      <c r="A705" s="210"/>
      <c r="B705" s="210"/>
      <c r="C705" s="210"/>
      <c r="D705" s="210"/>
      <c r="E705" s="21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 ht="15.75" customHeight="1">
      <c r="A706" s="210"/>
      <c r="B706" s="210"/>
      <c r="C706" s="210"/>
      <c r="D706" s="210"/>
      <c r="E706" s="21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 ht="15.75" customHeight="1">
      <c r="A707" s="210"/>
      <c r="B707" s="210"/>
      <c r="C707" s="210"/>
      <c r="D707" s="210"/>
      <c r="E707" s="21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 ht="15.75" customHeight="1">
      <c r="A708" s="210"/>
      <c r="B708" s="210"/>
      <c r="C708" s="210"/>
      <c r="D708" s="210"/>
      <c r="E708" s="21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 ht="15.75" customHeight="1">
      <c r="A709" s="210"/>
      <c r="B709" s="210"/>
      <c r="C709" s="210"/>
      <c r="D709" s="210"/>
      <c r="E709" s="21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 ht="15.75" customHeight="1">
      <c r="A710" s="210"/>
      <c r="B710" s="210"/>
      <c r="C710" s="210"/>
      <c r="D710" s="210"/>
      <c r="E710" s="21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 ht="15.75" customHeight="1">
      <c r="A711" s="210"/>
      <c r="B711" s="210"/>
      <c r="C711" s="210"/>
      <c r="D711" s="210"/>
      <c r="E711" s="21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 ht="15.75" customHeight="1">
      <c r="A712" s="210"/>
      <c r="B712" s="210"/>
      <c r="C712" s="210"/>
      <c r="D712" s="210"/>
      <c r="E712" s="21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 ht="15.75" customHeight="1">
      <c r="A713" s="210"/>
      <c r="B713" s="210"/>
      <c r="C713" s="210"/>
      <c r="D713" s="210"/>
      <c r="E713" s="21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 ht="15.75" customHeight="1">
      <c r="A714" s="210"/>
      <c r="B714" s="210"/>
      <c r="C714" s="210"/>
      <c r="D714" s="210"/>
      <c r="E714" s="21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 ht="15.75" customHeight="1">
      <c r="A715" s="210"/>
      <c r="B715" s="210"/>
      <c r="C715" s="210"/>
      <c r="D715" s="210"/>
      <c r="E715" s="21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 ht="15.75" customHeight="1">
      <c r="A716" s="210"/>
      <c r="B716" s="210"/>
      <c r="C716" s="210"/>
      <c r="D716" s="210"/>
      <c r="E716" s="21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 ht="15.75" customHeight="1">
      <c r="A717" s="210"/>
      <c r="B717" s="210"/>
      <c r="C717" s="210"/>
      <c r="D717" s="210"/>
      <c r="E717" s="21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 ht="15.75" customHeight="1">
      <c r="A718" s="210"/>
      <c r="B718" s="210"/>
      <c r="C718" s="210"/>
      <c r="D718" s="210"/>
      <c r="E718" s="21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 ht="15.75" customHeight="1">
      <c r="A719" s="210"/>
      <c r="B719" s="210"/>
      <c r="C719" s="210"/>
      <c r="D719" s="210"/>
      <c r="E719" s="21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 ht="15.75" customHeight="1">
      <c r="A720" s="210"/>
      <c r="B720" s="210"/>
      <c r="C720" s="210"/>
      <c r="D720" s="210"/>
      <c r="E720" s="21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 ht="15.75" customHeight="1">
      <c r="A721" s="210"/>
      <c r="B721" s="210"/>
      <c r="C721" s="210"/>
      <c r="D721" s="210"/>
      <c r="E721" s="21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 ht="15.75" customHeight="1">
      <c r="A722" s="210"/>
      <c r="B722" s="210"/>
      <c r="C722" s="210"/>
      <c r="D722" s="210"/>
      <c r="E722" s="21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 ht="15.75" customHeight="1">
      <c r="A723" s="210"/>
      <c r="B723" s="210"/>
      <c r="C723" s="210"/>
      <c r="D723" s="210"/>
      <c r="E723" s="21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 ht="15.75" customHeight="1">
      <c r="A724" s="210"/>
      <c r="B724" s="210"/>
      <c r="C724" s="210"/>
      <c r="D724" s="210"/>
      <c r="E724" s="21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 ht="15.75" customHeight="1">
      <c r="A725" s="210"/>
      <c r="B725" s="210"/>
      <c r="C725" s="210"/>
      <c r="D725" s="210"/>
      <c r="E725" s="21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 ht="15.75" customHeight="1">
      <c r="A726" s="210"/>
      <c r="B726" s="210"/>
      <c r="C726" s="210"/>
      <c r="D726" s="210"/>
      <c r="E726" s="21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 ht="15.75" customHeight="1">
      <c r="A727" s="210"/>
      <c r="B727" s="210"/>
      <c r="C727" s="210"/>
      <c r="D727" s="210"/>
      <c r="E727" s="21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 ht="15.75" customHeight="1">
      <c r="A728" s="210"/>
      <c r="B728" s="210"/>
      <c r="C728" s="210"/>
      <c r="D728" s="210"/>
      <c r="E728" s="21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 ht="15.75" customHeight="1">
      <c r="A729" s="210"/>
      <c r="B729" s="210"/>
      <c r="C729" s="210"/>
      <c r="D729" s="210"/>
      <c r="E729" s="21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 ht="15.75" customHeight="1">
      <c r="A730" s="210"/>
      <c r="B730" s="210"/>
      <c r="C730" s="210"/>
      <c r="D730" s="210"/>
      <c r="E730" s="21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 ht="15.75" customHeight="1">
      <c r="A731" s="210"/>
      <c r="B731" s="210"/>
      <c r="C731" s="210"/>
      <c r="D731" s="210"/>
      <c r="E731" s="21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 ht="15.75" customHeight="1">
      <c r="A732" s="210"/>
      <c r="B732" s="210"/>
      <c r="C732" s="210"/>
      <c r="D732" s="210"/>
      <c r="E732" s="21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 ht="15.75" customHeight="1">
      <c r="A733" s="210"/>
      <c r="B733" s="210"/>
      <c r="C733" s="210"/>
      <c r="D733" s="210"/>
      <c r="E733" s="21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 ht="15.75" customHeight="1">
      <c r="A734" s="210"/>
      <c r="B734" s="210"/>
      <c r="C734" s="210"/>
      <c r="D734" s="210"/>
      <c r="E734" s="21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 ht="15.75" customHeight="1">
      <c r="A735" s="210"/>
      <c r="B735" s="210"/>
      <c r="C735" s="210"/>
      <c r="D735" s="210"/>
      <c r="E735" s="21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 ht="15.75" customHeight="1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 ht="15.75" customHeight="1">
      <c r="A737" s="210"/>
      <c r="B737" s="210"/>
      <c r="C737" s="210"/>
      <c r="D737" s="210"/>
      <c r="E737" s="21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 ht="15.75" customHeight="1">
      <c r="A738" s="210"/>
      <c r="B738" s="210"/>
      <c r="C738" s="210"/>
      <c r="D738" s="210"/>
      <c r="E738" s="21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 ht="15.75" customHeight="1">
      <c r="A739" s="210"/>
      <c r="B739" s="210"/>
      <c r="C739" s="210"/>
      <c r="D739" s="210"/>
      <c r="E739" s="21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 ht="15.75" customHeight="1">
      <c r="A740" s="210"/>
      <c r="B740" s="210"/>
      <c r="C740" s="210"/>
      <c r="D740" s="210"/>
      <c r="E740" s="21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 ht="15.75" customHeight="1">
      <c r="A741" s="210"/>
      <c r="B741" s="210"/>
      <c r="C741" s="210"/>
      <c r="D741" s="210"/>
      <c r="E741" s="21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 ht="15.75" customHeight="1">
      <c r="A742" s="210"/>
      <c r="B742" s="210"/>
      <c r="C742" s="210"/>
      <c r="D742" s="210"/>
      <c r="E742" s="21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 ht="15.75" customHeight="1">
      <c r="A743" s="210"/>
      <c r="B743" s="210"/>
      <c r="C743" s="210"/>
      <c r="D743" s="210"/>
      <c r="E743" s="21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 ht="15.75" customHeight="1">
      <c r="A744" s="210"/>
      <c r="B744" s="210"/>
      <c r="C744" s="210"/>
      <c r="D744" s="210"/>
      <c r="E744" s="21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 ht="15.75" customHeight="1">
      <c r="A745" s="210"/>
      <c r="B745" s="210"/>
      <c r="C745" s="210"/>
      <c r="D745" s="210"/>
      <c r="E745" s="21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 ht="15.75" customHeight="1">
      <c r="A746" s="210"/>
      <c r="B746" s="210"/>
      <c r="C746" s="210"/>
      <c r="D746" s="210"/>
      <c r="E746" s="21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 ht="15.75" customHeight="1">
      <c r="A747" s="210"/>
      <c r="B747" s="210"/>
      <c r="C747" s="210"/>
      <c r="D747" s="210"/>
      <c r="E747" s="21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 ht="15.75" customHeight="1">
      <c r="A748" s="210"/>
      <c r="B748" s="210"/>
      <c r="C748" s="210"/>
      <c r="D748" s="210"/>
      <c r="E748" s="21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 ht="15.75" customHeight="1">
      <c r="A749" s="210"/>
      <c r="B749" s="210"/>
      <c r="C749" s="210"/>
      <c r="D749" s="210"/>
      <c r="E749" s="21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 ht="15.75" customHeight="1">
      <c r="A750" s="210"/>
      <c r="B750" s="210"/>
      <c r="C750" s="210"/>
      <c r="D750" s="210"/>
      <c r="E750" s="21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 ht="15.75" customHeight="1">
      <c r="A751" s="210"/>
      <c r="B751" s="210"/>
      <c r="C751" s="210"/>
      <c r="D751" s="210"/>
      <c r="E751" s="21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 ht="15.75" customHeight="1">
      <c r="A752" s="210"/>
      <c r="B752" s="210"/>
      <c r="C752" s="210"/>
      <c r="D752" s="210"/>
      <c r="E752" s="21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 ht="15.75" customHeight="1">
      <c r="A753" s="210"/>
      <c r="B753" s="210"/>
      <c r="C753" s="210"/>
      <c r="D753" s="210"/>
      <c r="E753" s="21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 ht="15.75" customHeight="1">
      <c r="A754" s="210"/>
      <c r="B754" s="210"/>
      <c r="C754" s="210"/>
      <c r="D754" s="210"/>
      <c r="E754" s="21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 ht="15.75" customHeight="1">
      <c r="A755" s="210"/>
      <c r="B755" s="210"/>
      <c r="C755" s="210"/>
      <c r="D755" s="210"/>
      <c r="E755" s="21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 ht="15.75" customHeight="1">
      <c r="A756" s="210"/>
      <c r="B756" s="210"/>
      <c r="C756" s="210"/>
      <c r="D756" s="210"/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 ht="15.75" customHeight="1">
      <c r="A757" s="210"/>
      <c r="B757" s="210"/>
      <c r="C757" s="210"/>
      <c r="D757" s="210"/>
      <c r="E757" s="21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 ht="15.75" customHeight="1">
      <c r="A758" s="210"/>
      <c r="B758" s="210"/>
      <c r="C758" s="210"/>
      <c r="D758" s="210"/>
      <c r="E758" s="21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 ht="15.75" customHeight="1">
      <c r="A759" s="210"/>
      <c r="B759" s="210"/>
      <c r="C759" s="210"/>
      <c r="D759" s="210"/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 ht="15.75" customHeight="1">
      <c r="A760" s="210"/>
      <c r="B760" s="210"/>
      <c r="C760" s="210"/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 ht="15.75" customHeight="1">
      <c r="A761" s="210"/>
      <c r="B761" s="210"/>
      <c r="C761" s="210"/>
      <c r="D761" s="210"/>
      <c r="E761" s="21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 ht="15.75" customHeight="1">
      <c r="A762" s="210"/>
      <c r="B762" s="210"/>
      <c r="C762" s="210"/>
      <c r="D762" s="210"/>
      <c r="E762" s="21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 ht="15.75" customHeight="1">
      <c r="A763" s="210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 ht="15.75" customHeight="1">
      <c r="A764" s="210"/>
      <c r="B764" s="210"/>
      <c r="C764" s="210"/>
      <c r="D764" s="210"/>
      <c r="E764" s="21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 ht="15.75" customHeight="1">
      <c r="A765" s="210"/>
      <c r="B765" s="210"/>
      <c r="C765" s="210"/>
      <c r="D765" s="210"/>
      <c r="E765" s="21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 ht="15.75" customHeight="1">
      <c r="A766" s="210"/>
      <c r="B766" s="210"/>
      <c r="C766" s="210"/>
      <c r="D766" s="210"/>
      <c r="E766" s="21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 ht="15.75" customHeight="1">
      <c r="A767" s="210"/>
      <c r="B767" s="210"/>
      <c r="C767" s="210"/>
      <c r="D767" s="210"/>
      <c r="E767" s="21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 ht="15.75" customHeight="1">
      <c r="A768" s="210"/>
      <c r="B768" s="210"/>
      <c r="C768" s="210"/>
      <c r="D768" s="210"/>
      <c r="E768" s="21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 ht="15.75" customHeight="1">
      <c r="A769" s="210"/>
      <c r="B769" s="210"/>
      <c r="C769" s="210"/>
      <c r="D769" s="210"/>
      <c r="E769" s="21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 ht="15.75" customHeight="1">
      <c r="A770" s="210"/>
      <c r="B770" s="210"/>
      <c r="C770" s="210"/>
      <c r="D770" s="210"/>
      <c r="E770" s="21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 ht="15.75" customHeight="1">
      <c r="A771" s="210"/>
      <c r="B771" s="210"/>
      <c r="C771" s="210"/>
      <c r="D771" s="210"/>
      <c r="E771" s="21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 ht="15.75" customHeight="1">
      <c r="A772" s="210"/>
      <c r="B772" s="210"/>
      <c r="C772" s="210"/>
      <c r="D772" s="210"/>
      <c r="E772" s="21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 ht="15.75" customHeight="1">
      <c r="A773" s="210"/>
      <c r="B773" s="210"/>
      <c r="C773" s="210"/>
      <c r="D773" s="210"/>
      <c r="E773" s="21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 ht="15.75" customHeight="1">
      <c r="A774" s="210"/>
      <c r="B774" s="210"/>
      <c r="C774" s="210"/>
      <c r="D774" s="210"/>
      <c r="E774" s="21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 ht="15.75" customHeight="1">
      <c r="A775" s="210"/>
      <c r="B775" s="210"/>
      <c r="C775" s="210"/>
      <c r="D775" s="210"/>
      <c r="E775" s="21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 ht="15.75" customHeight="1">
      <c r="A776" s="210"/>
      <c r="B776" s="210"/>
      <c r="C776" s="210"/>
      <c r="D776" s="210"/>
      <c r="E776" s="21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 ht="15.75" customHeight="1">
      <c r="A777" s="210"/>
      <c r="B777" s="210"/>
      <c r="C777" s="210"/>
      <c r="D777" s="210"/>
      <c r="E777" s="21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 ht="15.75" customHeight="1">
      <c r="A778" s="210"/>
      <c r="B778" s="210"/>
      <c r="C778" s="210"/>
      <c r="D778" s="210"/>
      <c r="E778" s="21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 ht="15.75" customHeight="1">
      <c r="A779" s="210"/>
      <c r="B779" s="210"/>
      <c r="C779" s="210"/>
      <c r="D779" s="210"/>
      <c r="E779" s="21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 ht="15.75" customHeight="1">
      <c r="A780" s="210"/>
      <c r="B780" s="210"/>
      <c r="C780" s="210"/>
      <c r="D780" s="210"/>
      <c r="E780" s="21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 ht="15.75" customHeight="1">
      <c r="A781" s="210"/>
      <c r="B781" s="210"/>
      <c r="C781" s="210"/>
      <c r="D781" s="210"/>
      <c r="E781" s="21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 ht="15.75" customHeight="1">
      <c r="A782" s="210"/>
      <c r="B782" s="210"/>
      <c r="C782" s="210"/>
      <c r="D782" s="210"/>
      <c r="E782" s="21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 ht="15.75" customHeight="1">
      <c r="A783" s="210"/>
      <c r="B783" s="210"/>
      <c r="C783" s="210"/>
      <c r="D783" s="210"/>
      <c r="E783" s="21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 ht="15.75" customHeight="1">
      <c r="A784" s="210"/>
      <c r="B784" s="210"/>
      <c r="C784" s="210"/>
      <c r="D784" s="210"/>
      <c r="E784" s="21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 ht="15.75" customHeight="1">
      <c r="A785" s="210"/>
      <c r="B785" s="210"/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 ht="15.75" customHeight="1">
      <c r="A786" s="210"/>
      <c r="B786" s="210"/>
      <c r="C786" s="210"/>
      <c r="D786" s="210"/>
      <c r="E786" s="21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 ht="15.75" customHeight="1">
      <c r="A787" s="210"/>
      <c r="B787" s="210"/>
      <c r="C787" s="210"/>
      <c r="D787" s="210"/>
      <c r="E787" s="21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 ht="15.75" customHeight="1">
      <c r="A788" s="210"/>
      <c r="B788" s="210"/>
      <c r="C788" s="210"/>
      <c r="D788" s="210"/>
      <c r="E788" s="21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 ht="15.75" customHeight="1">
      <c r="A789" s="210"/>
      <c r="B789" s="210"/>
      <c r="C789" s="210"/>
      <c r="D789" s="210"/>
      <c r="E789" s="21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 ht="15.75" customHeight="1">
      <c r="A790" s="210"/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 ht="15.75" customHeight="1">
      <c r="A791" s="210"/>
      <c r="B791" s="210"/>
      <c r="C791" s="210"/>
      <c r="D791" s="210"/>
      <c r="E791" s="21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 ht="15.75" customHeight="1">
      <c r="A792" s="210"/>
      <c r="B792" s="210"/>
      <c r="C792" s="210"/>
      <c r="D792" s="210"/>
      <c r="E792" s="21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 ht="15.75" customHeight="1">
      <c r="A793" s="210"/>
      <c r="B793" s="210"/>
      <c r="C793" s="210"/>
      <c r="D793" s="210"/>
      <c r="E793" s="21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 ht="15.75" customHeight="1">
      <c r="A794" s="210"/>
      <c r="B794" s="210"/>
      <c r="C794" s="210"/>
      <c r="D794" s="210"/>
      <c r="E794" s="21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 ht="15.75" customHeight="1">
      <c r="A795" s="210"/>
      <c r="B795" s="210"/>
      <c r="C795" s="210"/>
      <c r="D795" s="210"/>
      <c r="E795" s="21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 ht="15.75" customHeight="1">
      <c r="A796" s="210"/>
      <c r="B796" s="210"/>
      <c r="C796" s="210"/>
      <c r="D796" s="210"/>
      <c r="E796" s="21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 ht="15.75" customHeight="1">
      <c r="A797" s="210"/>
      <c r="B797" s="210"/>
      <c r="C797" s="210"/>
      <c r="D797" s="210"/>
      <c r="E797" s="21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 ht="15.75" customHeight="1">
      <c r="A798" s="210"/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 ht="15.75" customHeight="1">
      <c r="A799" s="210"/>
      <c r="B799" s="210"/>
      <c r="C799" s="210"/>
      <c r="D799" s="210"/>
      <c r="E799" s="21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 ht="15.75" customHeight="1">
      <c r="A800" s="210"/>
      <c r="B800" s="210"/>
      <c r="C800" s="210"/>
      <c r="D800" s="210"/>
      <c r="E800" s="21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 ht="15.75" customHeight="1">
      <c r="A801" s="210"/>
      <c r="B801" s="210"/>
      <c r="C801" s="210"/>
      <c r="D801" s="210"/>
      <c r="E801" s="21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 ht="15.75" customHeight="1">
      <c r="A802" s="210"/>
      <c r="B802" s="210"/>
      <c r="C802" s="210"/>
      <c r="D802" s="210"/>
      <c r="E802" s="21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 ht="15.75" customHeight="1">
      <c r="A803" s="210"/>
      <c r="B803" s="210"/>
      <c r="C803" s="210"/>
      <c r="D803" s="210"/>
      <c r="E803" s="21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 ht="15.75" customHeight="1">
      <c r="A804" s="210"/>
      <c r="B804" s="210"/>
      <c r="C804" s="210"/>
      <c r="D804" s="210"/>
      <c r="E804" s="21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 ht="15.75" customHeight="1">
      <c r="A805" s="210"/>
      <c r="B805" s="210"/>
      <c r="C805" s="210"/>
      <c r="D805" s="210"/>
      <c r="E805" s="21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 ht="15.75" customHeight="1">
      <c r="A806" s="210"/>
      <c r="B806" s="210"/>
      <c r="C806" s="210"/>
      <c r="D806" s="210"/>
      <c r="E806" s="21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 ht="15.75" customHeight="1">
      <c r="A807" s="210"/>
      <c r="B807" s="210"/>
      <c r="C807" s="210"/>
      <c r="D807" s="210"/>
      <c r="E807" s="21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 ht="15.75" customHeight="1">
      <c r="A808" s="210"/>
      <c r="B808" s="210"/>
      <c r="C808" s="210"/>
      <c r="D808" s="210"/>
      <c r="E808" s="21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 ht="15.75" customHeight="1">
      <c r="A809" s="210"/>
      <c r="B809" s="210"/>
      <c r="C809" s="210"/>
      <c r="D809" s="210"/>
      <c r="E809" s="21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 ht="15.75" customHeight="1">
      <c r="A810" s="210"/>
      <c r="B810" s="210"/>
      <c r="C810" s="210"/>
      <c r="D810" s="210"/>
      <c r="E810" s="21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 ht="15.75" customHeight="1">
      <c r="A811" s="210"/>
      <c r="B811" s="210"/>
      <c r="C811" s="210"/>
      <c r="D811" s="210"/>
      <c r="E811" s="21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 ht="15.75" customHeight="1">
      <c r="A812" s="210"/>
      <c r="B812" s="210"/>
      <c r="C812" s="210"/>
      <c r="D812" s="210"/>
      <c r="E812" s="21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 ht="15.75" customHeight="1">
      <c r="A813" s="210"/>
      <c r="B813" s="210"/>
      <c r="C813" s="210"/>
      <c r="D813" s="210"/>
      <c r="E813" s="21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 ht="15.75" customHeight="1">
      <c r="A814" s="210"/>
      <c r="B814" s="210"/>
      <c r="C814" s="210"/>
      <c r="D814" s="210"/>
      <c r="E814" s="21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 ht="15.75" customHeight="1">
      <c r="A815" s="210"/>
      <c r="B815" s="210"/>
      <c r="C815" s="210"/>
      <c r="D815" s="210"/>
      <c r="E815" s="21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 ht="15.75" customHeight="1">
      <c r="A816" s="210"/>
      <c r="B816" s="210"/>
      <c r="C816" s="210"/>
      <c r="D816" s="210"/>
      <c r="E816" s="21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 ht="15.75" customHeight="1">
      <c r="A817" s="210"/>
      <c r="B817" s="210"/>
      <c r="C817" s="210"/>
      <c r="D817" s="210"/>
      <c r="E817" s="21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 ht="15.75" customHeight="1">
      <c r="A818" s="210"/>
      <c r="B818" s="210"/>
      <c r="C818" s="210"/>
      <c r="D818" s="210"/>
      <c r="E818" s="21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 ht="15.75" customHeight="1">
      <c r="A819" s="210"/>
      <c r="B819" s="210"/>
      <c r="C819" s="210"/>
      <c r="D819" s="210"/>
      <c r="E819" s="21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 ht="15.75" customHeight="1">
      <c r="A820" s="210"/>
      <c r="B820" s="210"/>
      <c r="C820" s="210"/>
      <c r="D820" s="210"/>
      <c r="E820" s="21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 ht="15.75" customHeight="1">
      <c r="A821" s="210"/>
      <c r="B821" s="210"/>
      <c r="C821" s="210"/>
      <c r="D821" s="210"/>
      <c r="E821" s="21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 ht="15.75" customHeight="1">
      <c r="A822" s="210"/>
      <c r="B822" s="210"/>
      <c r="C822" s="210"/>
      <c r="D822" s="210"/>
      <c r="E822" s="21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 ht="15.75" customHeight="1">
      <c r="A823" s="210"/>
      <c r="B823" s="210"/>
      <c r="C823" s="210"/>
      <c r="D823" s="210"/>
      <c r="E823" s="21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 ht="15.75" customHeight="1">
      <c r="A824" s="210"/>
      <c r="B824" s="210"/>
      <c r="C824" s="210"/>
      <c r="D824" s="210"/>
      <c r="E824" s="21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 ht="15.75" customHeight="1">
      <c r="A825" s="210"/>
      <c r="B825" s="210"/>
      <c r="C825" s="210"/>
      <c r="D825" s="210"/>
      <c r="E825" s="21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 ht="15.75" customHeight="1">
      <c r="A826" s="210"/>
      <c r="B826" s="210"/>
      <c r="C826" s="210"/>
      <c r="D826" s="210"/>
      <c r="E826" s="21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 ht="15.75" customHeight="1">
      <c r="A827" s="210"/>
      <c r="B827" s="210"/>
      <c r="C827" s="210"/>
      <c r="D827" s="210"/>
      <c r="E827" s="21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 ht="15.75" customHeight="1">
      <c r="A828" s="210"/>
      <c r="B828" s="210"/>
      <c r="C828" s="210"/>
      <c r="D828" s="210"/>
      <c r="E828" s="21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 ht="15.75" customHeight="1">
      <c r="A829" s="210"/>
      <c r="B829" s="210"/>
      <c r="C829" s="210"/>
      <c r="D829" s="210"/>
      <c r="E829" s="21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 ht="15.75" customHeight="1">
      <c r="A830" s="210"/>
      <c r="B830" s="210"/>
      <c r="C830" s="210"/>
      <c r="D830" s="210"/>
      <c r="E830" s="21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 ht="15.75" customHeight="1">
      <c r="A831" s="210"/>
      <c r="B831" s="210"/>
      <c r="C831" s="210"/>
      <c r="D831" s="210"/>
      <c r="E831" s="21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 ht="15.75" customHeight="1">
      <c r="A832" s="210"/>
      <c r="B832" s="210"/>
      <c r="C832" s="210"/>
      <c r="D832" s="210"/>
      <c r="E832" s="21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 ht="15.75" customHeight="1">
      <c r="A833" s="210"/>
      <c r="B833" s="210"/>
      <c r="C833" s="210"/>
      <c r="D833" s="210"/>
      <c r="E833" s="21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 ht="15.75" customHeight="1">
      <c r="A834" s="210"/>
      <c r="B834" s="210"/>
      <c r="C834" s="210"/>
      <c r="D834" s="210"/>
      <c r="E834" s="21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 ht="15.75" customHeight="1">
      <c r="A835" s="210"/>
      <c r="B835" s="210"/>
      <c r="C835" s="210"/>
      <c r="D835" s="210"/>
      <c r="E835" s="21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 ht="15.75" customHeight="1">
      <c r="A836" s="210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 ht="15.75" customHeight="1">
      <c r="A837" s="210"/>
      <c r="B837" s="210"/>
      <c r="C837" s="210"/>
      <c r="D837" s="210"/>
      <c r="E837" s="21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 ht="15.75" customHeight="1">
      <c r="A838" s="210"/>
      <c r="B838" s="210"/>
      <c r="C838" s="210"/>
      <c r="D838" s="210"/>
      <c r="E838" s="21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 ht="15.75" customHeight="1">
      <c r="A839" s="210"/>
      <c r="B839" s="210"/>
      <c r="C839" s="210"/>
      <c r="D839" s="210"/>
      <c r="E839" s="21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 ht="15.75" customHeight="1">
      <c r="A840" s="210"/>
      <c r="B840" s="210"/>
      <c r="C840" s="210"/>
      <c r="D840" s="210"/>
      <c r="E840" s="21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 ht="15.75" customHeight="1">
      <c r="A841" s="210"/>
      <c r="B841" s="210"/>
      <c r="C841" s="210"/>
      <c r="D841" s="210"/>
      <c r="E841" s="21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 ht="15.75" customHeight="1">
      <c r="A842" s="210"/>
      <c r="B842" s="210"/>
      <c r="C842" s="210"/>
      <c r="D842" s="210"/>
      <c r="E842" s="21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 ht="15.75" customHeight="1">
      <c r="A843" s="210"/>
      <c r="B843" s="210"/>
      <c r="C843" s="210"/>
      <c r="D843" s="210"/>
      <c r="E843" s="21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 ht="15.75" customHeight="1">
      <c r="A844" s="210"/>
      <c r="B844" s="210"/>
      <c r="C844" s="210"/>
      <c r="D844" s="210"/>
      <c r="E844" s="21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 ht="15.75" customHeight="1">
      <c r="A845" s="210"/>
      <c r="B845" s="210"/>
      <c r="C845" s="210"/>
      <c r="D845" s="210"/>
      <c r="E845" s="21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 ht="15.75" customHeight="1">
      <c r="A846" s="210"/>
      <c r="B846" s="210"/>
      <c r="C846" s="210"/>
      <c r="D846" s="210"/>
      <c r="E846" s="21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 ht="15.75" customHeight="1">
      <c r="A847" s="210"/>
      <c r="B847" s="210"/>
      <c r="C847" s="210"/>
      <c r="D847" s="210"/>
      <c r="E847" s="21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 ht="15.75" customHeight="1">
      <c r="A848" s="210"/>
      <c r="B848" s="210"/>
      <c r="C848" s="210"/>
      <c r="D848" s="210"/>
      <c r="E848" s="21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 ht="15.75" customHeight="1">
      <c r="A849" s="210"/>
      <c r="B849" s="210"/>
      <c r="C849" s="210"/>
      <c r="D849" s="210"/>
      <c r="E849" s="21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 ht="15.75" customHeight="1">
      <c r="A850" s="210"/>
      <c r="B850" s="210"/>
      <c r="C850" s="210"/>
      <c r="D850" s="210"/>
      <c r="E850" s="21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 ht="15.75" customHeight="1">
      <c r="A851" s="210"/>
      <c r="B851" s="210"/>
      <c r="C851" s="210"/>
      <c r="D851" s="210"/>
      <c r="E851" s="21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 ht="15.75" customHeight="1">
      <c r="A852" s="210"/>
      <c r="B852" s="210"/>
      <c r="C852" s="210"/>
      <c r="D852" s="210"/>
      <c r="E852" s="21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 ht="15.75" customHeight="1">
      <c r="A853" s="210"/>
      <c r="B853" s="210"/>
      <c r="C853" s="210"/>
      <c r="D853" s="210"/>
      <c r="E853" s="21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 ht="15.75" customHeight="1">
      <c r="A854" s="210"/>
      <c r="B854" s="210"/>
      <c r="C854" s="210"/>
      <c r="D854" s="210"/>
      <c r="E854" s="21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 ht="15.75" customHeight="1">
      <c r="A855" s="210"/>
      <c r="B855" s="210"/>
      <c r="C855" s="210"/>
      <c r="D855" s="210"/>
      <c r="E855" s="21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 ht="15.75" customHeight="1">
      <c r="A856" s="210"/>
      <c r="B856" s="210"/>
      <c r="C856" s="210"/>
      <c r="D856" s="210"/>
      <c r="E856" s="21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 ht="15.75" customHeight="1">
      <c r="A857" s="210"/>
      <c r="B857" s="210"/>
      <c r="C857" s="210"/>
      <c r="D857" s="210"/>
      <c r="E857" s="21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 ht="15.75" customHeight="1">
      <c r="A858" s="210"/>
      <c r="B858" s="210"/>
      <c r="C858" s="210"/>
      <c r="D858" s="210"/>
      <c r="E858" s="21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 ht="15.75" customHeight="1">
      <c r="A859" s="210"/>
      <c r="B859" s="210"/>
      <c r="C859" s="210"/>
      <c r="D859" s="210"/>
      <c r="E859" s="21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 ht="15.75" customHeight="1">
      <c r="A860" s="210"/>
      <c r="B860" s="210"/>
      <c r="C860" s="210"/>
      <c r="D860" s="210"/>
      <c r="E860" s="21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 ht="15.75" customHeight="1">
      <c r="A861" s="210"/>
      <c r="B861" s="210"/>
      <c r="C861" s="210"/>
      <c r="D861" s="210"/>
      <c r="E861" s="21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 ht="15.75" customHeight="1">
      <c r="A862" s="210"/>
      <c r="B862" s="210"/>
      <c r="C862" s="210"/>
      <c r="D862" s="210"/>
      <c r="E862" s="21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 ht="15.75" customHeight="1">
      <c r="A863" s="210"/>
      <c r="B863" s="210"/>
      <c r="C863" s="210"/>
      <c r="D863" s="210"/>
      <c r="E863" s="21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 ht="15.75" customHeight="1">
      <c r="A864" s="210"/>
      <c r="B864" s="210"/>
      <c r="C864" s="210"/>
      <c r="D864" s="210"/>
      <c r="E864" s="21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 ht="15.75" customHeight="1">
      <c r="A865" s="210"/>
      <c r="B865" s="210"/>
      <c r="C865" s="210"/>
      <c r="D865" s="210"/>
      <c r="E865" s="21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 ht="15.75" customHeight="1">
      <c r="A866" s="210"/>
      <c r="B866" s="210"/>
      <c r="C866" s="210"/>
      <c r="D866" s="210"/>
      <c r="E866" s="21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 ht="15.75" customHeight="1">
      <c r="A867" s="210"/>
      <c r="B867" s="210"/>
      <c r="C867" s="210"/>
      <c r="D867" s="210"/>
      <c r="E867" s="21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 ht="15.75" customHeight="1">
      <c r="A868" s="210"/>
      <c r="B868" s="210"/>
      <c r="C868" s="210"/>
      <c r="D868" s="210"/>
      <c r="E868" s="21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 ht="15.75" customHeight="1">
      <c r="A869" s="210"/>
      <c r="B869" s="210"/>
      <c r="C869" s="210"/>
      <c r="D869" s="210"/>
      <c r="E869" s="21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 ht="15.75" customHeight="1">
      <c r="A870" s="210"/>
      <c r="B870" s="210"/>
      <c r="C870" s="210"/>
      <c r="D870" s="210"/>
      <c r="E870" s="21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 ht="15.75" customHeight="1">
      <c r="A871" s="210"/>
      <c r="B871" s="210"/>
      <c r="C871" s="210"/>
      <c r="D871" s="210"/>
      <c r="E871" s="21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 ht="15.75" customHeight="1">
      <c r="A872" s="210"/>
      <c r="B872" s="210"/>
      <c r="C872" s="210"/>
      <c r="D872" s="210"/>
      <c r="E872" s="21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 ht="15.75" customHeight="1">
      <c r="A873" s="210"/>
      <c r="B873" s="210"/>
      <c r="C873" s="210"/>
      <c r="D873" s="210"/>
      <c r="E873" s="21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 ht="15.75" customHeight="1">
      <c r="A874" s="210"/>
      <c r="B874" s="210"/>
      <c r="C874" s="210"/>
      <c r="D874" s="210"/>
      <c r="E874" s="21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 ht="15.75" customHeight="1">
      <c r="A875" s="210"/>
      <c r="B875" s="210"/>
      <c r="C875" s="210"/>
      <c r="D875" s="210"/>
      <c r="E875" s="21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 ht="15.75" customHeight="1">
      <c r="A876" s="210"/>
      <c r="B876" s="210"/>
      <c r="C876" s="210"/>
      <c r="D876" s="210"/>
      <c r="E876" s="21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 ht="15.75" customHeight="1">
      <c r="A877" s="210"/>
      <c r="B877" s="210"/>
      <c r="C877" s="210"/>
      <c r="D877" s="210"/>
      <c r="E877" s="21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 ht="15.75" customHeight="1">
      <c r="A878" s="210"/>
      <c r="B878" s="210"/>
      <c r="C878" s="210"/>
      <c r="D878" s="210"/>
      <c r="E878" s="21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 ht="15.75" customHeight="1">
      <c r="A879" s="210"/>
      <c r="B879" s="210"/>
      <c r="C879" s="210"/>
      <c r="D879" s="210"/>
      <c r="E879" s="21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 ht="15.75" customHeight="1">
      <c r="A880" s="210"/>
      <c r="B880" s="210"/>
      <c r="C880" s="210"/>
      <c r="D880" s="210"/>
      <c r="E880" s="21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 ht="15.75" customHeight="1">
      <c r="A881" s="210"/>
      <c r="B881" s="210"/>
      <c r="C881" s="210"/>
      <c r="D881" s="210"/>
      <c r="E881" s="21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 ht="15.75" customHeight="1">
      <c r="A882" s="210"/>
      <c r="B882" s="210"/>
      <c r="C882" s="210"/>
      <c r="D882" s="210"/>
      <c r="E882" s="21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 ht="15.75" customHeight="1">
      <c r="A883" s="210"/>
      <c r="B883" s="210"/>
      <c r="C883" s="210"/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 ht="15.75" customHeight="1">
      <c r="A884" s="210"/>
      <c r="B884" s="210"/>
      <c r="C884" s="210"/>
      <c r="D884" s="210"/>
      <c r="E884" s="21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 ht="15.75" customHeight="1">
      <c r="A885" s="210"/>
      <c r="B885" s="210"/>
      <c r="C885" s="210"/>
      <c r="D885" s="210"/>
      <c r="E885" s="21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 ht="15.75" customHeight="1">
      <c r="A886" s="210"/>
      <c r="B886" s="210"/>
      <c r="C886" s="210"/>
      <c r="D886" s="210"/>
      <c r="E886" s="21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 ht="15.75" customHeight="1">
      <c r="A887" s="210"/>
      <c r="B887" s="210"/>
      <c r="C887" s="210"/>
      <c r="D887" s="210"/>
      <c r="E887" s="21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 ht="15.75" customHeight="1">
      <c r="A888" s="210"/>
      <c r="B888" s="210"/>
      <c r="C888" s="210"/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 ht="15.75" customHeight="1">
      <c r="A889" s="210"/>
      <c r="B889" s="210"/>
      <c r="C889" s="210"/>
      <c r="D889" s="210"/>
      <c r="E889" s="21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 ht="15.75" customHeight="1">
      <c r="A890" s="210"/>
      <c r="B890" s="210"/>
      <c r="C890" s="210"/>
      <c r="D890" s="210"/>
      <c r="E890" s="21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 ht="15.75" customHeight="1">
      <c r="A891" s="210"/>
      <c r="B891" s="210"/>
      <c r="C891" s="210"/>
      <c r="D891" s="210"/>
      <c r="E891" s="21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 ht="15.75" customHeight="1">
      <c r="A892" s="210"/>
      <c r="B892" s="210"/>
      <c r="C892" s="210"/>
      <c r="D892" s="210"/>
      <c r="E892" s="21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 ht="15.75" customHeight="1">
      <c r="A893" s="210"/>
      <c r="B893" s="210"/>
      <c r="C893" s="210"/>
      <c r="D893" s="210"/>
      <c r="E893" s="21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 ht="15.75" customHeight="1">
      <c r="A894" s="210"/>
      <c r="B894" s="210"/>
      <c r="C894" s="210"/>
      <c r="D894" s="210"/>
      <c r="E894" s="21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 ht="15.75" customHeight="1">
      <c r="A895" s="210"/>
      <c r="B895" s="210"/>
      <c r="C895" s="210"/>
      <c r="D895" s="210"/>
      <c r="E895" s="21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 ht="15.75" customHeight="1">
      <c r="A896" s="210"/>
      <c r="B896" s="210"/>
      <c r="C896" s="210"/>
      <c r="D896" s="210"/>
      <c r="E896" s="21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 ht="15.75" customHeight="1">
      <c r="A897" s="210"/>
      <c r="B897" s="210"/>
      <c r="C897" s="210"/>
      <c r="D897" s="210"/>
      <c r="E897" s="21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 ht="15.75" customHeight="1">
      <c r="A898" s="210"/>
      <c r="B898" s="210"/>
      <c r="C898" s="210"/>
      <c r="D898" s="210"/>
      <c r="E898" s="21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 ht="15.75" customHeight="1">
      <c r="A899" s="210"/>
      <c r="B899" s="210"/>
      <c r="C899" s="210"/>
      <c r="D899" s="210"/>
      <c r="E899" s="21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 ht="15.75" customHeight="1">
      <c r="A900" s="210"/>
      <c r="B900" s="210"/>
      <c r="C900" s="210"/>
      <c r="D900" s="210"/>
      <c r="E900" s="21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 ht="15.75" customHeight="1">
      <c r="A901" s="210"/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 ht="15.75" customHeight="1">
      <c r="A902" s="210"/>
      <c r="B902" s="210"/>
      <c r="C902" s="210"/>
      <c r="D902" s="210"/>
      <c r="E902" s="21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 ht="15.75" customHeight="1">
      <c r="A903" s="210"/>
      <c r="B903" s="210"/>
      <c r="C903" s="210"/>
      <c r="D903" s="210"/>
      <c r="E903" s="21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 ht="15.75" customHeight="1">
      <c r="A904" s="210"/>
      <c r="B904" s="210"/>
      <c r="C904" s="210"/>
      <c r="D904" s="210"/>
      <c r="E904" s="21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 ht="15.75" customHeight="1">
      <c r="A905" s="210"/>
      <c r="B905" s="210"/>
      <c r="C905" s="210"/>
      <c r="D905" s="210"/>
      <c r="E905" s="21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 ht="15.75" customHeight="1">
      <c r="A906" s="210"/>
      <c r="B906" s="210"/>
      <c r="C906" s="210"/>
      <c r="D906" s="210"/>
      <c r="E906" s="21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 ht="15.75" customHeight="1">
      <c r="A907" s="210"/>
      <c r="B907" s="210"/>
      <c r="C907" s="210"/>
      <c r="D907" s="210"/>
      <c r="E907" s="21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 ht="15.75" customHeight="1">
      <c r="A908" s="210"/>
      <c r="B908" s="210"/>
      <c r="C908" s="210"/>
      <c r="D908" s="210"/>
      <c r="E908" s="21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 ht="15.75" customHeight="1">
      <c r="A909" s="210"/>
      <c r="B909" s="210"/>
      <c r="C909" s="210"/>
      <c r="D909" s="210"/>
      <c r="E909" s="21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 ht="15.75" customHeight="1">
      <c r="A910" s="210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 ht="15.75" customHeight="1">
      <c r="A911" s="210"/>
      <c r="B911" s="210"/>
      <c r="C911" s="210"/>
      <c r="D911" s="210"/>
      <c r="E911" s="21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 ht="15.75" customHeight="1">
      <c r="A912" s="210"/>
      <c r="B912" s="210"/>
      <c r="C912" s="210"/>
      <c r="D912" s="210"/>
      <c r="E912" s="21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 ht="15.75" customHeight="1">
      <c r="A913" s="210"/>
      <c r="B913" s="210"/>
      <c r="C913" s="210"/>
      <c r="D913" s="210"/>
      <c r="E913" s="21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 ht="15.75" customHeight="1">
      <c r="A914" s="210"/>
      <c r="B914" s="210"/>
      <c r="C914" s="210"/>
      <c r="D914" s="210"/>
      <c r="E914" s="21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 ht="15.75" customHeight="1">
      <c r="A915" s="210"/>
      <c r="B915" s="210"/>
      <c r="C915" s="210"/>
      <c r="D915" s="210"/>
      <c r="E915" s="21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 ht="15.75" customHeight="1">
      <c r="A916" s="210"/>
      <c r="B916" s="210"/>
      <c r="C916" s="210"/>
      <c r="D916" s="210"/>
      <c r="E916" s="21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 ht="15.75" customHeight="1">
      <c r="A917" s="210"/>
      <c r="B917" s="210"/>
      <c r="C917" s="210"/>
      <c r="D917" s="210"/>
      <c r="E917" s="21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 ht="15.75" customHeight="1">
      <c r="A918" s="210"/>
      <c r="B918" s="210"/>
      <c r="C918" s="210"/>
      <c r="D918" s="210"/>
      <c r="E918" s="21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 ht="15.75" customHeight="1">
      <c r="A919" s="210"/>
      <c r="B919" s="210"/>
      <c r="C919" s="210"/>
      <c r="D919" s="210"/>
      <c r="E919" s="21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 ht="15.75" customHeight="1">
      <c r="A920" s="210"/>
      <c r="B920" s="210"/>
      <c r="C920" s="210"/>
      <c r="D920" s="210"/>
      <c r="E920" s="21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 ht="15.75" customHeight="1">
      <c r="A921" s="210"/>
      <c r="B921" s="210"/>
      <c r="C921" s="210"/>
      <c r="D921" s="210"/>
      <c r="E921" s="21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 ht="15.75" customHeight="1">
      <c r="A922" s="210"/>
      <c r="B922" s="210"/>
      <c r="C922" s="210"/>
      <c r="D922" s="210"/>
      <c r="E922" s="21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 ht="15.75" customHeight="1">
      <c r="A923" s="210"/>
      <c r="B923" s="210"/>
      <c r="C923" s="210"/>
      <c r="D923" s="210"/>
      <c r="E923" s="21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 ht="15.75" customHeight="1">
      <c r="A924" s="210"/>
      <c r="B924" s="210"/>
      <c r="C924" s="210"/>
      <c r="D924" s="210"/>
      <c r="E924" s="21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 ht="15.75" customHeight="1">
      <c r="A925" s="210"/>
      <c r="B925" s="210"/>
      <c r="C925" s="210"/>
      <c r="D925" s="210"/>
      <c r="E925" s="21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 ht="15.75" customHeight="1">
      <c r="A926" s="210"/>
      <c r="B926" s="210"/>
      <c r="C926" s="210"/>
      <c r="D926" s="210"/>
      <c r="E926" s="21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 ht="15.75" customHeight="1">
      <c r="A927" s="210"/>
      <c r="B927" s="210"/>
      <c r="C927" s="210"/>
      <c r="D927" s="210"/>
      <c r="E927" s="21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 ht="15.75" customHeight="1">
      <c r="A928" s="210"/>
      <c r="B928" s="210"/>
      <c r="C928" s="210"/>
      <c r="D928" s="210"/>
      <c r="E928" s="21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 ht="15.75" customHeight="1">
      <c r="A929" s="210"/>
      <c r="B929" s="210"/>
      <c r="C929" s="210"/>
      <c r="D929" s="210"/>
      <c r="E929" s="21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 ht="15.75" customHeight="1">
      <c r="A930" s="210"/>
      <c r="B930" s="210"/>
      <c r="C930" s="210"/>
      <c r="D930" s="210"/>
      <c r="E930" s="21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 ht="15.75" customHeight="1">
      <c r="A931" s="210"/>
      <c r="B931" s="210"/>
      <c r="C931" s="210"/>
      <c r="D931" s="210"/>
      <c r="E931" s="21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 ht="15.75" customHeight="1">
      <c r="A932" s="210"/>
      <c r="B932" s="210"/>
      <c r="C932" s="210"/>
      <c r="D932" s="210"/>
      <c r="E932" s="21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 ht="15.75" customHeight="1">
      <c r="A933" s="210"/>
      <c r="B933" s="210"/>
      <c r="C933" s="210"/>
      <c r="D933" s="210"/>
      <c r="E933" s="21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 ht="15.75" customHeight="1">
      <c r="A934" s="210"/>
      <c r="B934" s="210"/>
      <c r="C934" s="210"/>
      <c r="D934" s="210"/>
      <c r="E934" s="21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 ht="15.75" customHeight="1">
      <c r="A935" s="210"/>
      <c r="B935" s="210"/>
      <c r="C935" s="210"/>
      <c r="D935" s="210"/>
      <c r="E935" s="21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 ht="15.75" customHeight="1">
      <c r="A936" s="210"/>
      <c r="B936" s="210"/>
      <c r="C936" s="210"/>
      <c r="D936" s="210"/>
      <c r="E936" s="21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 ht="15.75" customHeight="1">
      <c r="A937" s="210"/>
      <c r="B937" s="210"/>
      <c r="C937" s="210"/>
      <c r="D937" s="210"/>
      <c r="E937" s="21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 ht="15.75" customHeight="1">
      <c r="A938" s="210"/>
      <c r="B938" s="210"/>
      <c r="C938" s="210"/>
      <c r="D938" s="210"/>
      <c r="E938" s="21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 ht="15.75" customHeight="1">
      <c r="A939" s="210"/>
      <c r="B939" s="210"/>
      <c r="C939" s="210"/>
      <c r="D939" s="210"/>
      <c r="E939" s="21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 ht="15.75" customHeight="1">
      <c r="A940" s="210"/>
      <c r="B940" s="210"/>
      <c r="C940" s="210"/>
      <c r="D940" s="210"/>
      <c r="E940" s="21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 ht="15.75" customHeight="1">
      <c r="A941" s="210"/>
      <c r="B941" s="210"/>
      <c r="C941" s="210"/>
      <c r="D941" s="210"/>
      <c r="E941" s="21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 ht="15.75" customHeight="1">
      <c r="A942" s="210"/>
      <c r="B942" s="210"/>
      <c r="C942" s="210"/>
      <c r="D942" s="210"/>
      <c r="E942" s="21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 ht="15.75" customHeight="1">
      <c r="A943" s="210"/>
      <c r="B943" s="210"/>
      <c r="C943" s="210"/>
      <c r="D943" s="210"/>
      <c r="E943" s="21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 ht="15.75" customHeight="1">
      <c r="A944" s="210"/>
      <c r="B944" s="210"/>
      <c r="C944" s="210"/>
      <c r="D944" s="210"/>
      <c r="E944" s="21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 ht="15.75" customHeight="1">
      <c r="A945" s="210"/>
      <c r="B945" s="210"/>
      <c r="C945" s="210"/>
      <c r="D945" s="210"/>
      <c r="E945" s="210"/>
      <c r="F945" s="210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 ht="15.75" customHeight="1">
      <c r="A946" s="210"/>
      <c r="B946" s="210"/>
      <c r="C946" s="210"/>
      <c r="D946" s="210"/>
      <c r="E946" s="210"/>
      <c r="F946" s="210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 ht="15.75" customHeight="1">
      <c r="A947" s="210"/>
      <c r="B947" s="210"/>
      <c r="C947" s="210"/>
      <c r="D947" s="210"/>
      <c r="E947" s="21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 ht="15.75" customHeight="1">
      <c r="A948" s="210"/>
      <c r="B948" s="210"/>
      <c r="C948" s="210"/>
      <c r="D948" s="210"/>
      <c r="E948" s="210"/>
      <c r="F948" s="210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 ht="15.75" customHeight="1">
      <c r="A949" s="210"/>
      <c r="B949" s="210"/>
      <c r="C949" s="210"/>
      <c r="D949" s="210"/>
      <c r="E949" s="210"/>
      <c r="F949" s="210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 ht="15.75" customHeight="1">
      <c r="A950" s="210"/>
      <c r="B950" s="210"/>
      <c r="C950" s="210"/>
      <c r="D950" s="210"/>
      <c r="E950" s="210"/>
      <c r="F950" s="210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 ht="15.75" customHeight="1">
      <c r="A951" s="210"/>
      <c r="B951" s="210"/>
      <c r="C951" s="210"/>
      <c r="D951" s="210"/>
      <c r="E951" s="210"/>
      <c r="F951" s="210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 ht="15.75" customHeight="1">
      <c r="A952" s="210"/>
      <c r="B952" s="210"/>
      <c r="C952" s="210"/>
      <c r="D952" s="210"/>
      <c r="E952" s="210"/>
      <c r="F952" s="210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 ht="15.75" customHeight="1">
      <c r="A953" s="210"/>
      <c r="B953" s="210"/>
      <c r="C953" s="210"/>
      <c r="D953" s="210"/>
      <c r="E953" s="210"/>
      <c r="F953" s="210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 ht="15.75" customHeight="1">
      <c r="A954" s="210"/>
      <c r="B954" s="210"/>
      <c r="C954" s="210"/>
      <c r="D954" s="210"/>
      <c r="E954" s="210"/>
      <c r="F954" s="210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 ht="15.75" customHeight="1">
      <c r="A955" s="210"/>
      <c r="B955" s="210"/>
      <c r="C955" s="210"/>
      <c r="D955" s="210"/>
      <c r="E955" s="210"/>
      <c r="F955" s="210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 ht="15.75" customHeight="1">
      <c r="A956" s="210"/>
      <c r="B956" s="210"/>
      <c r="C956" s="210"/>
      <c r="D956" s="210"/>
      <c r="E956" s="210"/>
      <c r="F956" s="210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 ht="15.75" customHeight="1">
      <c r="A957" s="210"/>
      <c r="B957" s="210"/>
      <c r="C957" s="210"/>
      <c r="D957" s="210"/>
      <c r="E957" s="210"/>
      <c r="F957" s="210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 ht="15.75" customHeight="1">
      <c r="A958" s="210"/>
      <c r="B958" s="210"/>
      <c r="C958" s="210"/>
      <c r="D958" s="210"/>
      <c r="E958" s="210"/>
      <c r="F958" s="210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 ht="15.75" customHeight="1">
      <c r="A959" s="210"/>
      <c r="B959" s="210"/>
      <c r="C959" s="210"/>
      <c r="D959" s="210"/>
      <c r="E959" s="210"/>
      <c r="F959" s="210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 ht="15.75" customHeight="1">
      <c r="A960" s="210"/>
      <c r="B960" s="210"/>
      <c r="C960" s="210"/>
      <c r="D960" s="210"/>
      <c r="E960" s="210"/>
      <c r="F960" s="210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 ht="15.75" customHeight="1">
      <c r="A961" s="210"/>
      <c r="B961" s="210"/>
      <c r="C961" s="210"/>
      <c r="D961" s="210"/>
      <c r="E961" s="210"/>
      <c r="F961" s="210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 ht="15.75" customHeight="1">
      <c r="A962" s="210"/>
      <c r="B962" s="210"/>
      <c r="C962" s="210"/>
      <c r="D962" s="210"/>
      <c r="E962" s="210"/>
      <c r="F962" s="210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 ht="15.75" customHeight="1">
      <c r="A963" s="210"/>
      <c r="B963" s="210"/>
      <c r="C963" s="210"/>
      <c r="D963" s="210"/>
      <c r="E963" s="210"/>
      <c r="F963" s="210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 ht="15.75" customHeight="1">
      <c r="A964" s="210"/>
      <c r="B964" s="210"/>
      <c r="C964" s="210"/>
      <c r="D964" s="210"/>
      <c r="E964" s="210"/>
      <c r="F964" s="210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 ht="15.75" customHeight="1">
      <c r="A965" s="210"/>
      <c r="B965" s="210"/>
      <c r="C965" s="210"/>
      <c r="D965" s="210"/>
      <c r="E965" s="210"/>
      <c r="F965" s="210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 ht="15.75" customHeight="1">
      <c r="A966" s="210"/>
      <c r="B966" s="210"/>
      <c r="C966" s="210"/>
      <c r="D966" s="210"/>
      <c r="E966" s="210"/>
      <c r="F966" s="210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 ht="15.75" customHeight="1">
      <c r="A967" s="210"/>
      <c r="B967" s="210"/>
      <c r="C967" s="210"/>
      <c r="D967" s="210"/>
      <c r="E967" s="210"/>
      <c r="F967" s="210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 ht="15.75" customHeight="1">
      <c r="A968" s="210"/>
      <c r="B968" s="210"/>
      <c r="C968" s="210"/>
      <c r="D968" s="210"/>
      <c r="E968" s="210"/>
      <c r="F968" s="210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 ht="15.75" customHeight="1">
      <c r="A969" s="210"/>
      <c r="B969" s="210"/>
      <c r="C969" s="210"/>
      <c r="D969" s="210"/>
      <c r="E969" s="210"/>
      <c r="F969" s="210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 ht="15.75" customHeight="1">
      <c r="A970" s="210"/>
      <c r="B970" s="210"/>
      <c r="C970" s="210"/>
      <c r="D970" s="210"/>
      <c r="E970" s="210"/>
      <c r="F970" s="210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 ht="15.75" customHeight="1">
      <c r="A971" s="210"/>
      <c r="B971" s="210"/>
      <c r="C971" s="210"/>
      <c r="D971" s="210"/>
      <c r="E971" s="210"/>
      <c r="F971" s="210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 ht="15.75" customHeight="1">
      <c r="A972" s="210"/>
      <c r="B972" s="210"/>
      <c r="C972" s="210"/>
      <c r="D972" s="210"/>
      <c r="E972" s="210"/>
      <c r="F972" s="210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 ht="15.75" customHeight="1">
      <c r="A973" s="210"/>
      <c r="B973" s="210"/>
      <c r="C973" s="210"/>
      <c r="D973" s="210"/>
      <c r="E973" s="210"/>
      <c r="F973" s="210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 ht="15.75" customHeight="1">
      <c r="A974" s="210"/>
      <c r="B974" s="210"/>
      <c r="C974" s="210"/>
      <c r="D974" s="210"/>
      <c r="E974" s="210"/>
      <c r="F974" s="210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 ht="15.75" customHeight="1">
      <c r="A975" s="210"/>
      <c r="B975" s="210"/>
      <c r="C975" s="210"/>
      <c r="D975" s="210"/>
      <c r="E975" s="210"/>
      <c r="F975" s="210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 ht="15.75" customHeight="1">
      <c r="A976" s="210"/>
      <c r="B976" s="210"/>
      <c r="C976" s="210"/>
      <c r="D976" s="210"/>
      <c r="E976" s="210"/>
      <c r="F976" s="210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  <row r="977" ht="15.75" customHeight="1">
      <c r="A977" s="210"/>
      <c r="B977" s="210"/>
      <c r="C977" s="210"/>
      <c r="D977" s="210"/>
      <c r="E977" s="210"/>
      <c r="F977" s="210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</row>
    <row r="978" ht="15.75" customHeight="1">
      <c r="A978" s="210"/>
      <c r="B978" s="210"/>
      <c r="C978" s="210"/>
      <c r="D978" s="210"/>
      <c r="E978" s="210"/>
      <c r="F978" s="210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</row>
    <row r="979" ht="15.75" customHeight="1">
      <c r="A979" s="210"/>
      <c r="B979" s="210"/>
      <c r="C979" s="210"/>
      <c r="D979" s="210"/>
      <c r="E979" s="210"/>
      <c r="F979" s="210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</row>
    <row r="980" ht="15.75" customHeight="1">
      <c r="A980" s="210"/>
      <c r="B980" s="210"/>
      <c r="C980" s="210"/>
      <c r="D980" s="210"/>
      <c r="E980" s="210"/>
      <c r="F980" s="210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</row>
    <row r="981" ht="15.75" customHeight="1">
      <c r="A981" s="210"/>
      <c r="B981" s="210"/>
      <c r="C981" s="210"/>
      <c r="D981" s="210"/>
      <c r="E981" s="210"/>
      <c r="F981" s="210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</row>
    <row r="982" ht="15.75" customHeight="1">
      <c r="A982" s="210"/>
      <c r="B982" s="210"/>
      <c r="C982" s="210"/>
      <c r="D982" s="210"/>
      <c r="E982" s="210"/>
      <c r="F982" s="210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</row>
    <row r="983" ht="15.75" customHeight="1">
      <c r="A983" s="210"/>
      <c r="B983" s="210"/>
      <c r="C983" s="210"/>
      <c r="D983" s="210"/>
      <c r="E983" s="210"/>
      <c r="F983" s="210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</row>
    <row r="984" ht="15.75" customHeight="1">
      <c r="A984" s="210"/>
      <c r="B984" s="210"/>
      <c r="C984" s="210"/>
      <c r="D984" s="210"/>
      <c r="E984" s="210"/>
      <c r="F984" s="210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</row>
    <row r="985" ht="15.75" customHeight="1">
      <c r="A985" s="210"/>
      <c r="B985" s="210"/>
      <c r="C985" s="210"/>
      <c r="D985" s="210"/>
      <c r="E985" s="210"/>
      <c r="F985" s="210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</row>
    <row r="986" ht="15.75" customHeight="1">
      <c r="A986" s="210"/>
      <c r="B986" s="210"/>
      <c r="C986" s="210"/>
      <c r="D986" s="210"/>
      <c r="E986" s="210"/>
      <c r="F986" s="210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</row>
    <row r="987" ht="15.75" customHeight="1">
      <c r="A987" s="210"/>
      <c r="B987" s="210"/>
      <c r="C987" s="210"/>
      <c r="D987" s="210"/>
      <c r="E987" s="210"/>
      <c r="F987" s="210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</row>
    <row r="988" ht="15.75" customHeight="1">
      <c r="A988" s="210"/>
      <c r="B988" s="210"/>
      <c r="C988" s="210"/>
      <c r="D988" s="210"/>
      <c r="E988" s="210"/>
      <c r="F988" s="210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</row>
    <row r="989" ht="15.75" customHeight="1">
      <c r="A989" s="210"/>
      <c r="B989" s="210"/>
      <c r="C989" s="210"/>
      <c r="D989" s="210"/>
      <c r="E989" s="210"/>
      <c r="F989" s="210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</row>
    <row r="990" ht="15.75" customHeight="1">
      <c r="A990" s="210"/>
      <c r="B990" s="210"/>
      <c r="C990" s="210"/>
      <c r="D990" s="210"/>
      <c r="E990" s="210"/>
      <c r="F990" s="210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</row>
    <row r="991" ht="15.75" customHeight="1">
      <c r="A991" s="210"/>
      <c r="B991" s="210"/>
      <c r="C991" s="210"/>
      <c r="D991" s="210"/>
      <c r="E991" s="210"/>
      <c r="F991" s="210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</row>
    <row r="992" ht="15.75" customHeight="1">
      <c r="A992" s="210"/>
      <c r="B992" s="210"/>
      <c r="C992" s="210"/>
      <c r="D992" s="210"/>
      <c r="E992" s="210"/>
      <c r="F992" s="210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</row>
    <row r="993" ht="15.75" customHeight="1">
      <c r="A993" s="210"/>
      <c r="B993" s="210"/>
      <c r="C993" s="210"/>
      <c r="D993" s="210"/>
      <c r="E993" s="210"/>
      <c r="F993" s="210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</row>
    <row r="994" ht="15.75" customHeight="1">
      <c r="A994" s="210"/>
      <c r="B994" s="210"/>
      <c r="C994" s="210"/>
      <c r="D994" s="210"/>
      <c r="E994" s="210"/>
      <c r="F994" s="210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</row>
    <row r="995" ht="15.75" customHeight="1">
      <c r="A995" s="210"/>
      <c r="B995" s="210"/>
      <c r="C995" s="210"/>
      <c r="D995" s="210"/>
      <c r="E995" s="210"/>
      <c r="F995" s="210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</row>
    <row r="996" ht="15.75" customHeight="1">
      <c r="A996" s="210"/>
      <c r="B996" s="210"/>
      <c r="C996" s="210"/>
      <c r="D996" s="210"/>
      <c r="E996" s="210"/>
      <c r="F996" s="210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</row>
    <row r="997" ht="15.75" customHeight="1">
      <c r="A997" s="210"/>
      <c r="B997" s="210"/>
      <c r="C997" s="210"/>
      <c r="D997" s="210"/>
      <c r="E997" s="210"/>
      <c r="F997" s="210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</row>
    <row r="998" ht="15.75" customHeight="1">
      <c r="A998" s="210"/>
      <c r="B998" s="210"/>
      <c r="C998" s="210"/>
      <c r="D998" s="210"/>
      <c r="E998" s="210"/>
      <c r="F998" s="210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</row>
    <row r="999" ht="15.75" customHeight="1">
      <c r="A999" s="210"/>
      <c r="B999" s="210"/>
      <c r="C999" s="210"/>
      <c r="D999" s="210"/>
      <c r="E999" s="210"/>
      <c r="F999" s="210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</row>
    <row r="1000" ht="15.75" customHeight="1">
      <c r="A1000" s="210"/>
      <c r="B1000" s="210"/>
      <c r="C1000" s="210"/>
      <c r="D1000" s="210"/>
      <c r="E1000" s="210"/>
      <c r="F1000" s="210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49:E49"/>
    <mergeCell ref="B52:J5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7.38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22"/>
      <c r="B1" s="223"/>
      <c r="C1" s="223"/>
      <c r="D1" s="223"/>
      <c r="E1" s="222"/>
      <c r="F1" s="222"/>
      <c r="G1" s="224"/>
      <c r="H1" s="224"/>
      <c r="I1" s="224"/>
      <c r="J1" s="224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</row>
    <row r="2" ht="15.75" customHeight="1">
      <c r="A2" s="222"/>
      <c r="B2" s="225"/>
      <c r="C2" s="225"/>
      <c r="D2" s="225"/>
      <c r="E2" s="222"/>
      <c r="F2" s="222"/>
      <c r="G2" s="226" t="s">
        <v>151</v>
      </c>
      <c r="H2" s="106"/>
      <c r="I2" s="106"/>
      <c r="J2" s="107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</row>
    <row r="3" ht="15.75" customHeight="1">
      <c r="A3" s="222"/>
      <c r="B3" s="227" t="s">
        <v>152</v>
      </c>
      <c r="C3" s="228" t="s">
        <v>153</v>
      </c>
      <c r="D3" s="229" t="s">
        <v>154</v>
      </c>
      <c r="E3" s="222"/>
      <c r="F3" s="222"/>
      <c r="G3" s="230" t="s">
        <v>155</v>
      </c>
      <c r="H3" s="229" t="s">
        <v>153</v>
      </c>
      <c r="I3" s="230" t="s">
        <v>156</v>
      </c>
      <c r="J3" s="230" t="s">
        <v>157</v>
      </c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</row>
    <row r="4" ht="15.75" customHeight="1">
      <c r="A4" s="231"/>
      <c r="B4" s="232" t="s">
        <v>77</v>
      </c>
      <c r="C4" s="233">
        <v>7.3143608E7</v>
      </c>
      <c r="D4" s="234">
        <f t="shared" ref="D4:D9" si="1">C4/$C$10</f>
        <v>0.3176957482</v>
      </c>
      <c r="E4" s="235"/>
      <c r="F4" s="222"/>
      <c r="G4" s="236" t="s">
        <v>158</v>
      </c>
      <c r="H4" s="237">
        <f>'Cash Report'!F28</f>
        <v>162649523.1</v>
      </c>
      <c r="I4" s="238">
        <v>1.0</v>
      </c>
      <c r="J4" s="239">
        <f t="shared" ref="J4:J6" si="2">H4*I4</f>
        <v>162649523.1</v>
      </c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</row>
    <row r="5" ht="15.75" customHeight="1">
      <c r="A5" s="231"/>
      <c r="B5" s="232" t="s">
        <v>64</v>
      </c>
      <c r="C5" s="233">
        <v>5020.0</v>
      </c>
      <c r="D5" s="234">
        <f t="shared" si="1"/>
        <v>0.00002180412888</v>
      </c>
      <c r="E5" s="235"/>
      <c r="F5" s="222"/>
      <c r="G5" s="236" t="s">
        <v>159</v>
      </c>
      <c r="H5" s="240">
        <f>'Cash Report'!D39</f>
        <v>871709.5</v>
      </c>
      <c r="I5" s="241">
        <f>'Cash Report'!$E$31</f>
        <v>1393.69</v>
      </c>
      <c r="J5" s="239">
        <f t="shared" si="2"/>
        <v>1214892813</v>
      </c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</row>
    <row r="6" ht="15.75" customHeight="1">
      <c r="A6" s="231"/>
      <c r="B6" s="242" t="s">
        <v>78</v>
      </c>
      <c r="C6" s="233">
        <v>11483.5</v>
      </c>
      <c r="D6" s="234">
        <f t="shared" si="1"/>
        <v>0.00004987803068</v>
      </c>
      <c r="E6" s="235"/>
      <c r="F6" s="222"/>
      <c r="G6" s="236" t="s">
        <v>160</v>
      </c>
      <c r="H6" s="243">
        <v>2525.0</v>
      </c>
      <c r="I6" s="244">
        <f>'Cash Report'!E30</f>
        <v>1862.92</v>
      </c>
      <c r="J6" s="239">
        <f t="shared" si="2"/>
        <v>4703873</v>
      </c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</row>
    <row r="7" ht="15.75" customHeight="1">
      <c r="A7" s="231"/>
      <c r="B7" s="242" t="s">
        <v>68</v>
      </c>
      <c r="C7" s="233">
        <v>1.56735E8</v>
      </c>
      <c r="D7" s="234">
        <f t="shared" si="1"/>
        <v>0.6807709443</v>
      </c>
      <c r="E7" s="235"/>
      <c r="F7" s="222"/>
      <c r="G7" s="245"/>
      <c r="H7" s="239"/>
      <c r="I7" s="224"/>
      <c r="J7" s="246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</row>
    <row r="8" ht="15.75" customHeight="1">
      <c r="A8" s="231"/>
      <c r="B8" s="242" t="s">
        <v>79</v>
      </c>
      <c r="C8" s="233">
        <v>195000.0</v>
      </c>
      <c r="D8" s="234">
        <f t="shared" si="1"/>
        <v>0.0008469731339</v>
      </c>
      <c r="E8" s="235"/>
      <c r="F8" s="222"/>
      <c r="G8" s="245" t="s">
        <v>161</v>
      </c>
      <c r="H8" s="239"/>
      <c r="I8" s="224"/>
      <c r="J8" s="246">
        <f>J4+J5+J6</f>
        <v>1382246209</v>
      </c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</row>
    <row r="9" ht="15.75" customHeight="1">
      <c r="A9" s="231"/>
      <c r="B9" s="247" t="s">
        <v>71</v>
      </c>
      <c r="C9" s="248">
        <v>141512.3841</v>
      </c>
      <c r="D9" s="234">
        <f t="shared" si="1"/>
        <v>0.0006146522433</v>
      </c>
      <c r="E9" s="235"/>
      <c r="F9" s="222"/>
      <c r="G9" s="249"/>
      <c r="H9" s="250"/>
      <c r="I9" s="249"/>
      <c r="J9" s="249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</row>
    <row r="10" ht="15.75" customHeight="1">
      <c r="A10" s="231"/>
      <c r="B10" s="251" t="s">
        <v>162</v>
      </c>
      <c r="C10" s="246">
        <f>sum(C4:C9)</f>
        <v>230231623.9</v>
      </c>
      <c r="D10" s="246">
        <f>C10/$C$10*100</f>
        <v>100</v>
      </c>
      <c r="E10" s="235"/>
      <c r="F10" s="222"/>
      <c r="G10" s="252" t="s">
        <v>163</v>
      </c>
      <c r="H10" s="229" t="s">
        <v>153</v>
      </c>
      <c r="I10" s="229" t="s">
        <v>154</v>
      </c>
      <c r="J10" s="253"/>
      <c r="K10" s="235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</row>
    <row r="11" ht="15.75" customHeight="1">
      <c r="A11" s="231"/>
      <c r="B11" s="249"/>
      <c r="C11" s="254"/>
      <c r="D11" s="239"/>
      <c r="E11" s="235"/>
      <c r="F11" s="231"/>
      <c r="G11" s="255" t="s">
        <v>77</v>
      </c>
      <c r="H11" s="233">
        <v>7.3143608E7</v>
      </c>
      <c r="I11" s="234">
        <v>0.3176957481602134</v>
      </c>
      <c r="J11" s="224"/>
      <c r="K11" s="235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</row>
    <row r="12" ht="15.75" customHeight="1">
      <c r="A12" s="231"/>
      <c r="B12" s="251" t="s">
        <v>28</v>
      </c>
      <c r="C12" s="230" t="s">
        <v>153</v>
      </c>
      <c r="D12" s="229" t="s">
        <v>154</v>
      </c>
      <c r="E12" s="235"/>
      <c r="F12" s="231"/>
      <c r="G12" s="255" t="s">
        <v>64</v>
      </c>
      <c r="H12" s="256">
        <v>5020.0</v>
      </c>
      <c r="I12" s="234">
        <v>2.1804128882516587E-5</v>
      </c>
      <c r="J12" s="224"/>
      <c r="K12" s="235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</row>
    <row r="13" ht="15.75" customHeight="1">
      <c r="A13" s="231"/>
      <c r="B13" s="257" t="s">
        <v>32</v>
      </c>
      <c r="C13" s="258">
        <v>1.511511517E7</v>
      </c>
      <c r="D13" s="239">
        <f t="shared" ref="D13:D22" si="3">C13/C$23*100</f>
        <v>1.956149791</v>
      </c>
      <c r="E13" s="235"/>
      <c r="F13" s="231"/>
      <c r="G13" s="259" t="s">
        <v>78</v>
      </c>
      <c r="H13" s="260">
        <v>11483.5</v>
      </c>
      <c r="I13" s="234">
        <v>4.987803068174885E-5</v>
      </c>
      <c r="J13" s="224"/>
      <c r="K13" s="235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</row>
    <row r="14" ht="15.75" customHeight="1">
      <c r="A14" s="231"/>
      <c r="B14" s="257" t="s">
        <v>16</v>
      </c>
      <c r="C14" s="233">
        <v>2955236.0236000004</v>
      </c>
      <c r="D14" s="239">
        <f t="shared" si="3"/>
        <v>0.3824571805</v>
      </c>
      <c r="E14" s="235"/>
      <c r="F14" s="231"/>
      <c r="G14" s="259" t="s">
        <v>68</v>
      </c>
      <c r="H14" s="260">
        <v>1.56735E8</v>
      </c>
      <c r="I14" s="234">
        <v>0.6807709443030353</v>
      </c>
      <c r="J14" s="261"/>
      <c r="K14" s="235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</row>
    <row r="15" ht="15.75" customHeight="1">
      <c r="A15" s="231"/>
      <c r="B15" s="257" t="s">
        <v>11</v>
      </c>
      <c r="C15" s="258">
        <v>4775676.5049</v>
      </c>
      <c r="D15" s="239">
        <f t="shared" si="3"/>
        <v>0.6180527566</v>
      </c>
      <c r="E15" s="235"/>
      <c r="F15" s="231"/>
      <c r="G15" s="259" t="s">
        <v>79</v>
      </c>
      <c r="H15" s="260">
        <v>195000.0</v>
      </c>
      <c r="I15" s="234">
        <v>8.469731338826164E-4</v>
      </c>
      <c r="J15" s="261"/>
      <c r="K15" s="235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</row>
    <row r="16" ht="15.75" customHeight="1">
      <c r="A16" s="231"/>
      <c r="B16" s="242" t="s">
        <v>36</v>
      </c>
      <c r="C16" s="233">
        <v>30322.5</v>
      </c>
      <c r="D16" s="239">
        <f t="shared" si="3"/>
        <v>0.003924240826</v>
      </c>
      <c r="E16" s="235"/>
      <c r="F16" s="231"/>
      <c r="G16" s="247" t="s">
        <v>71</v>
      </c>
      <c r="H16" s="248">
        <v>141512.3841</v>
      </c>
      <c r="I16" s="234">
        <v>6.146522433045002E-4</v>
      </c>
      <c r="J16" s="261"/>
      <c r="K16" s="235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</row>
    <row r="17" ht="15.75" customHeight="1">
      <c r="A17" s="231"/>
      <c r="B17" s="242" t="s">
        <v>38</v>
      </c>
      <c r="C17" s="233">
        <v>8.19626998465E7</v>
      </c>
      <c r="D17" s="239">
        <f t="shared" si="3"/>
        <v>10.60735009</v>
      </c>
      <c r="E17" s="235"/>
      <c r="F17" s="222"/>
      <c r="G17" s="262"/>
      <c r="H17" s="263">
        <f>SUM(H11:H16)</f>
        <v>230231623.9</v>
      </c>
      <c r="I17" s="264">
        <f>sum(I11:I16)</f>
        <v>1</v>
      </c>
      <c r="J17" s="265">
        <f>H17</f>
        <v>230231623.9</v>
      </c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</row>
    <row r="18" ht="15.75" customHeight="1">
      <c r="A18" s="231"/>
      <c r="B18" s="247" t="s">
        <v>164</v>
      </c>
      <c r="C18" s="248">
        <v>6.4806585E8</v>
      </c>
      <c r="D18" s="239">
        <f t="shared" si="3"/>
        <v>83.87060653</v>
      </c>
      <c r="E18" s="235"/>
      <c r="F18" s="222"/>
      <c r="G18" s="266" t="s">
        <v>165</v>
      </c>
      <c r="H18" s="239"/>
      <c r="I18" s="224"/>
      <c r="J18" s="267">
        <f>SUM(J8:J17)</f>
        <v>1612477833</v>
      </c>
      <c r="K18" s="235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</row>
    <row r="19" ht="15.75" customHeight="1">
      <c r="A19" s="231"/>
      <c r="B19" s="242" t="s">
        <v>20</v>
      </c>
      <c r="C19" s="233">
        <v>1087078.2</v>
      </c>
      <c r="D19" s="239">
        <f t="shared" si="3"/>
        <v>0.1406861787</v>
      </c>
      <c r="E19" s="235"/>
      <c r="F19" s="222"/>
      <c r="G19" s="245"/>
      <c r="H19" s="239"/>
      <c r="I19" s="224"/>
      <c r="J19" s="267"/>
      <c r="K19" s="235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</row>
    <row r="20" ht="15.75" customHeight="1">
      <c r="A20" s="231"/>
      <c r="B20" s="242" t="s">
        <v>14</v>
      </c>
      <c r="C20" s="233">
        <v>209053.5</v>
      </c>
      <c r="D20" s="239">
        <f t="shared" si="3"/>
        <v>0.02705503437</v>
      </c>
      <c r="E20" s="235"/>
      <c r="F20" s="222"/>
      <c r="G20" s="245" t="s">
        <v>28</v>
      </c>
      <c r="H20" s="268"/>
      <c r="I20" s="229" t="s">
        <v>154</v>
      </c>
      <c r="J20" s="224"/>
      <c r="K20" s="235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</row>
    <row r="21" ht="15.75" customHeight="1">
      <c r="A21" s="231"/>
      <c r="B21" s="242" t="s">
        <v>42</v>
      </c>
      <c r="C21" s="258">
        <v>1.77211021248E7</v>
      </c>
      <c r="D21" s="239">
        <f t="shared" si="3"/>
        <v>2.293408276</v>
      </c>
      <c r="E21" s="235"/>
      <c r="F21" s="231"/>
      <c r="G21" s="257" t="s">
        <v>32</v>
      </c>
      <c r="H21" s="258">
        <v>1.511511517E7</v>
      </c>
      <c r="I21" s="239">
        <v>1.9561497911404313</v>
      </c>
      <c r="J21" s="224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</row>
    <row r="22" ht="15.75" customHeight="1">
      <c r="A22" s="222"/>
      <c r="B22" s="242" t="s">
        <v>44</v>
      </c>
      <c r="C22" s="233">
        <v>775092.0000000001</v>
      </c>
      <c r="D22" s="239">
        <f t="shared" si="3"/>
        <v>0.100309924</v>
      </c>
      <c r="E22" s="222"/>
      <c r="F22" s="231"/>
      <c r="G22" s="257" t="s">
        <v>16</v>
      </c>
      <c r="H22" s="233">
        <v>2955236.0236000004</v>
      </c>
      <c r="I22" s="239">
        <v>0.38245718046591765</v>
      </c>
      <c r="J22" s="224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</row>
    <row r="23" ht="13.5" customHeight="1">
      <c r="A23" s="222"/>
      <c r="B23" s="224" t="s">
        <v>166</v>
      </c>
      <c r="C23" s="269">
        <f t="shared" ref="C23:D23" si="4">SUM(C13:C22)</f>
        <v>772697225.9</v>
      </c>
      <c r="D23" s="246">
        <f t="shared" si="4"/>
        <v>100</v>
      </c>
      <c r="E23" s="222"/>
      <c r="F23" s="231"/>
      <c r="G23" s="257" t="s">
        <v>11</v>
      </c>
      <c r="H23" s="258">
        <v>4775676.5049</v>
      </c>
      <c r="I23" s="239">
        <v>0.6180527566310565</v>
      </c>
      <c r="J23" s="224"/>
      <c r="K23" s="235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</row>
    <row r="24" ht="13.5" customHeight="1">
      <c r="A24" s="222"/>
      <c r="B24" s="270" t="s">
        <v>167</v>
      </c>
      <c r="C24" s="271">
        <f>C10-C23</f>
        <v>-542465602</v>
      </c>
      <c r="D24" s="224"/>
      <c r="E24" s="222"/>
      <c r="F24" s="231"/>
      <c r="G24" s="242" t="s">
        <v>36</v>
      </c>
      <c r="H24" s="233">
        <v>30322.5</v>
      </c>
      <c r="I24" s="239">
        <v>0.003924240826135613</v>
      </c>
      <c r="J24" s="224"/>
      <c r="K24" s="235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</row>
    <row r="25" ht="13.5" customHeight="1">
      <c r="A25" s="222"/>
      <c r="B25" s="225"/>
      <c r="C25" s="225"/>
      <c r="D25" s="272"/>
      <c r="E25" s="222"/>
      <c r="F25" s="231"/>
      <c r="G25" s="242" t="s">
        <v>38</v>
      </c>
      <c r="H25" s="233">
        <v>8.19626998465E7</v>
      </c>
      <c r="I25" s="239">
        <v>10.607350085182105</v>
      </c>
      <c r="J25" s="267"/>
      <c r="K25" s="235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</row>
    <row r="26" ht="13.5" customHeight="1">
      <c r="A26" s="222"/>
      <c r="B26" s="225"/>
      <c r="C26" s="225"/>
      <c r="D26" s="272"/>
      <c r="E26" s="222"/>
      <c r="F26" s="231"/>
      <c r="G26" s="242" t="s">
        <v>164</v>
      </c>
      <c r="H26" s="233">
        <v>6.4806585E8</v>
      </c>
      <c r="I26" s="239">
        <v>83.87060653291378</v>
      </c>
      <c r="J26" s="267"/>
      <c r="K26" s="235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</row>
    <row r="27" ht="13.5" customHeight="1">
      <c r="A27" s="222"/>
      <c r="B27" s="225"/>
      <c r="C27" s="225"/>
      <c r="D27" s="272"/>
      <c r="E27" s="222"/>
      <c r="F27" s="231"/>
      <c r="G27" s="242" t="s">
        <v>20</v>
      </c>
      <c r="H27" s="233">
        <v>1087078.2</v>
      </c>
      <c r="I27" s="239">
        <v>0.1406861787003715</v>
      </c>
      <c r="J27" s="267"/>
      <c r="K27" s="235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</row>
    <row r="28" ht="13.5" customHeight="1">
      <c r="A28" s="222"/>
      <c r="B28" s="225"/>
      <c r="C28" s="225"/>
      <c r="D28" s="272"/>
      <c r="E28" s="222"/>
      <c r="F28" s="231"/>
      <c r="G28" s="242" t="s">
        <v>14</v>
      </c>
      <c r="H28" s="233">
        <v>209053.5</v>
      </c>
      <c r="I28" s="239">
        <v>0.02705503436545606</v>
      </c>
      <c r="J28" s="267"/>
      <c r="K28" s="235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</row>
    <row r="29" ht="13.5" customHeight="1">
      <c r="A29" s="222"/>
      <c r="B29" s="225"/>
      <c r="C29" s="225"/>
      <c r="D29" s="272"/>
      <c r="E29" s="222"/>
      <c r="F29" s="231"/>
      <c r="G29" s="242" t="s">
        <v>42</v>
      </c>
      <c r="H29" s="258">
        <v>1.77211021248E7</v>
      </c>
      <c r="I29" s="239">
        <v>2.2934082757773506</v>
      </c>
      <c r="J29" s="267"/>
      <c r="K29" s="235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</row>
    <row r="30" ht="13.5" customHeight="1">
      <c r="A30" s="222"/>
      <c r="B30" s="225"/>
      <c r="C30" s="225"/>
      <c r="D30" s="272"/>
      <c r="E30" s="222"/>
      <c r="F30" s="231"/>
      <c r="G30" s="242" t="s">
        <v>44</v>
      </c>
      <c r="H30" s="233">
        <v>775092.0000000001</v>
      </c>
      <c r="I30" s="239">
        <v>0.10030992399739813</v>
      </c>
      <c r="J30" s="267"/>
      <c r="K30" s="235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</row>
    <row r="31" ht="15.75" customHeight="1">
      <c r="A31" s="222"/>
      <c r="B31" s="225"/>
      <c r="C31" s="225"/>
      <c r="D31" s="222"/>
      <c r="E31" s="222"/>
      <c r="F31" s="231"/>
      <c r="G31" s="224"/>
      <c r="H31" s="246">
        <f>SUM(H21:H30)</f>
        <v>772697225.9</v>
      </c>
      <c r="I31" s="267">
        <f>sum(I21:I30)</f>
        <v>100</v>
      </c>
      <c r="J31" s="267">
        <f>H31</f>
        <v>772697225.9</v>
      </c>
      <c r="K31" s="235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</row>
    <row r="32" ht="15.75" customHeight="1">
      <c r="A32" s="222"/>
      <c r="B32" s="225"/>
      <c r="C32" s="225"/>
      <c r="D32" s="222"/>
      <c r="E32" s="222"/>
      <c r="F32" s="231"/>
      <c r="G32" s="273" t="s">
        <v>168</v>
      </c>
      <c r="H32" s="246"/>
      <c r="I32" s="224"/>
      <c r="J32" s="267">
        <f>J18-J31</f>
        <v>839780607.2</v>
      </c>
      <c r="K32" s="235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</row>
    <row r="33" ht="15.75" customHeight="1">
      <c r="A33" s="222"/>
      <c r="B33" s="222"/>
      <c r="C33" s="222"/>
      <c r="D33" s="222"/>
      <c r="E33" s="222"/>
      <c r="F33" s="231"/>
      <c r="G33" s="224"/>
      <c r="H33" s="246"/>
      <c r="I33" s="224"/>
      <c r="J33" s="267"/>
      <c r="K33" s="235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 ht="15.75" customHeight="1">
      <c r="A34" s="222"/>
      <c r="B34" s="222"/>
      <c r="C34" s="222"/>
      <c r="D34" s="222"/>
      <c r="E34" s="222"/>
      <c r="F34" s="231"/>
      <c r="G34" s="274" t="s">
        <v>169</v>
      </c>
      <c r="H34" s="275"/>
      <c r="I34" s="276"/>
      <c r="J34" s="267"/>
      <c r="K34" s="235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 ht="15.75" customHeight="1">
      <c r="A35" s="222"/>
      <c r="B35" s="222"/>
      <c r="C35" s="222"/>
      <c r="D35" s="222"/>
      <c r="E35" s="222"/>
      <c r="F35" s="231"/>
      <c r="G35" s="277" t="s">
        <v>170</v>
      </c>
      <c r="H35" s="278">
        <v>768.9400000000005</v>
      </c>
      <c r="I35" s="279">
        <f>'Cash Report'!$E$31</f>
        <v>1393.69</v>
      </c>
      <c r="J35" s="280">
        <f>H35*I35</f>
        <v>1071663.989</v>
      </c>
      <c r="K35" s="235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 ht="15.75" customHeight="1">
      <c r="A36" s="222"/>
      <c r="B36" s="222"/>
      <c r="C36" s="222"/>
      <c r="D36" s="222"/>
      <c r="E36" s="222"/>
      <c r="F36" s="231"/>
      <c r="G36" s="281"/>
      <c r="H36" s="282"/>
      <c r="I36" s="283"/>
      <c r="J36" s="284"/>
      <c r="K36" s="235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 ht="15.75" customHeight="1">
      <c r="A37" s="222"/>
      <c r="B37" s="222"/>
      <c r="C37" s="222"/>
      <c r="D37" s="222"/>
      <c r="E37" s="222"/>
      <c r="F37" s="231"/>
      <c r="G37" s="285" t="s">
        <v>171</v>
      </c>
      <c r="H37" s="278">
        <f>SUM(H35)</f>
        <v>768.94</v>
      </c>
      <c r="I37" s="279">
        <f>'Cash Report'!$E$31</f>
        <v>1393.69</v>
      </c>
      <c r="J37" s="267">
        <f>H37*I37</f>
        <v>1071663.989</v>
      </c>
      <c r="K37" s="235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 ht="15.75" customHeight="1">
      <c r="A38" s="222"/>
      <c r="B38" s="222"/>
      <c r="C38" s="222"/>
      <c r="D38" s="222"/>
      <c r="E38" s="222"/>
      <c r="F38" s="231"/>
      <c r="G38" s="223"/>
      <c r="H38" s="223"/>
      <c r="I38" s="223"/>
      <c r="J38" s="223"/>
      <c r="K38" s="235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  <row r="39" ht="15.75" customHeight="1">
      <c r="A39" s="222"/>
      <c r="B39" s="222"/>
      <c r="C39" s="222"/>
      <c r="D39" s="222"/>
      <c r="E39" s="222"/>
      <c r="F39" s="231"/>
      <c r="G39" s="223"/>
      <c r="H39" s="223"/>
      <c r="I39" s="223"/>
      <c r="J39" s="223"/>
      <c r="K39" s="235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</row>
    <row r="40" ht="15.75" customHeight="1">
      <c r="A40" s="222"/>
      <c r="B40" s="222"/>
      <c r="C40" s="222"/>
      <c r="D40" s="222"/>
      <c r="E40" s="222"/>
      <c r="F40" s="231"/>
      <c r="G40" s="286" t="s">
        <v>172</v>
      </c>
      <c r="H40" s="106"/>
      <c r="I40" s="106"/>
      <c r="J40" s="287"/>
      <c r="K40" s="235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</row>
    <row r="41" ht="15.75" customHeight="1">
      <c r="A41" s="222"/>
      <c r="B41" s="222"/>
      <c r="C41" s="222"/>
      <c r="D41" s="222"/>
      <c r="E41" s="222"/>
      <c r="F41" s="231"/>
      <c r="G41" s="288" t="s">
        <v>173</v>
      </c>
      <c r="H41" s="288" t="s">
        <v>174</v>
      </c>
      <c r="I41" s="286" t="s">
        <v>175</v>
      </c>
      <c r="J41" s="287"/>
      <c r="K41" s="235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</row>
    <row r="42" ht="15.75" customHeight="1">
      <c r="A42" s="222"/>
      <c r="B42" s="222"/>
      <c r="C42" s="222"/>
      <c r="D42" s="222"/>
      <c r="E42" s="222"/>
      <c r="F42" s="231"/>
      <c r="G42" s="289" t="s">
        <v>176</v>
      </c>
      <c r="H42" s="290">
        <v>64700.0</v>
      </c>
      <c r="I42" s="291" t="s">
        <v>177</v>
      </c>
      <c r="J42" s="292"/>
      <c r="K42" s="235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</row>
    <row r="43" ht="15.75" customHeight="1">
      <c r="A43" s="222"/>
      <c r="B43" s="222"/>
      <c r="C43" s="222"/>
      <c r="D43" s="222"/>
      <c r="E43" s="222"/>
      <c r="F43" s="231"/>
      <c r="G43" s="289" t="s">
        <v>176</v>
      </c>
      <c r="H43" s="290">
        <v>53900.0</v>
      </c>
      <c r="I43" s="293" t="s">
        <v>178</v>
      </c>
      <c r="J43" s="292"/>
      <c r="K43" s="235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</row>
    <row r="44" ht="15.75" customHeight="1">
      <c r="A44" s="222"/>
      <c r="B44" s="222"/>
      <c r="C44" s="222"/>
      <c r="D44" s="222"/>
      <c r="E44" s="222"/>
      <c r="F44" s="231"/>
      <c r="G44" s="289" t="s">
        <v>179</v>
      </c>
      <c r="H44" s="290">
        <v>160000.0</v>
      </c>
      <c r="I44" s="294" t="s">
        <v>180</v>
      </c>
      <c r="J44" s="292"/>
      <c r="K44" s="235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</row>
    <row r="45" ht="15.75" customHeight="1">
      <c r="A45" s="222"/>
      <c r="B45" s="222"/>
      <c r="C45" s="222"/>
      <c r="D45" s="222"/>
      <c r="E45" s="222"/>
      <c r="F45" s="231"/>
      <c r="G45" s="295" t="s">
        <v>181</v>
      </c>
      <c r="H45" s="290">
        <v>600.0</v>
      </c>
      <c r="I45" s="295" t="s">
        <v>182</v>
      </c>
      <c r="J45" s="296"/>
      <c r="K45" s="235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</row>
    <row r="46" ht="15.75" customHeight="1">
      <c r="A46" s="222"/>
      <c r="B46" s="222"/>
      <c r="C46" s="222"/>
      <c r="D46" s="222"/>
      <c r="E46" s="222"/>
      <c r="F46" s="231"/>
      <c r="G46" s="289" t="s">
        <v>183</v>
      </c>
      <c r="H46" s="290">
        <v>12772.32</v>
      </c>
      <c r="I46" s="295" t="s">
        <v>184</v>
      </c>
      <c r="J46" s="296"/>
      <c r="K46" s="235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</row>
    <row r="47" ht="15.75" customHeight="1">
      <c r="A47" s="222"/>
      <c r="B47" s="222"/>
      <c r="C47" s="222"/>
      <c r="D47" s="222"/>
      <c r="E47" s="222"/>
      <c r="F47" s="231"/>
      <c r="G47" s="295" t="s">
        <v>185</v>
      </c>
      <c r="H47" s="290">
        <v>150000.0</v>
      </c>
      <c r="I47" s="295" t="s">
        <v>186</v>
      </c>
      <c r="J47" s="296"/>
      <c r="K47" s="235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</row>
    <row r="48" ht="15.75" customHeight="1">
      <c r="A48" s="222"/>
      <c r="B48" s="222"/>
      <c r="C48" s="222"/>
      <c r="D48" s="222"/>
      <c r="E48" s="222"/>
      <c r="F48" s="231"/>
      <c r="G48" s="295" t="s">
        <v>187</v>
      </c>
      <c r="H48" s="290">
        <v>70000.0</v>
      </c>
      <c r="I48" s="295" t="s">
        <v>188</v>
      </c>
      <c r="J48" s="296"/>
      <c r="K48" s="235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</row>
    <row r="49" ht="15.75" customHeight="1">
      <c r="A49" s="222"/>
      <c r="B49" s="222"/>
      <c r="C49" s="222"/>
      <c r="D49" s="222"/>
      <c r="E49" s="222"/>
      <c r="F49" s="231"/>
      <c r="G49" s="297" t="s">
        <v>189</v>
      </c>
      <c r="H49" s="290">
        <v>100000.0</v>
      </c>
      <c r="I49" s="295" t="s">
        <v>190</v>
      </c>
      <c r="J49" s="296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</row>
    <row r="50" ht="15.75" customHeight="1">
      <c r="A50" s="222"/>
      <c r="B50" s="222"/>
      <c r="C50" s="222"/>
      <c r="D50" s="222"/>
      <c r="E50" s="222"/>
      <c r="F50" s="231"/>
      <c r="G50" s="298" t="s">
        <v>191</v>
      </c>
      <c r="H50" s="290">
        <v>136152.66</v>
      </c>
      <c r="I50" s="299" t="s">
        <v>192</v>
      </c>
      <c r="J50" s="300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</row>
    <row r="51" ht="15.75" customHeight="1">
      <c r="A51" s="222"/>
      <c r="B51" s="223"/>
      <c r="C51" s="223"/>
      <c r="D51" s="223"/>
      <c r="E51" s="222"/>
      <c r="F51" s="231"/>
      <c r="G51" s="301" t="s">
        <v>193</v>
      </c>
      <c r="H51" s="290">
        <v>92450.0</v>
      </c>
      <c r="I51" s="301" t="s">
        <v>194</v>
      </c>
      <c r="J51" s="225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</row>
    <row r="52" ht="15.75" customHeight="1">
      <c r="A52" s="223"/>
      <c r="B52" s="223"/>
      <c r="C52" s="223"/>
      <c r="D52" s="223"/>
      <c r="E52" s="223"/>
      <c r="F52" s="223"/>
      <c r="G52" s="301" t="s">
        <v>179</v>
      </c>
      <c r="H52" s="290">
        <v>32000.0</v>
      </c>
      <c r="I52" s="302" t="s">
        <v>195</v>
      </c>
      <c r="J52" s="225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</row>
    <row r="53" ht="15.75" customHeight="1">
      <c r="A53" s="223"/>
      <c r="B53" s="223"/>
      <c r="C53" s="223"/>
      <c r="D53" s="223"/>
      <c r="E53" s="223"/>
      <c r="F53" s="223"/>
      <c r="G53" s="303" t="s">
        <v>176</v>
      </c>
      <c r="H53" s="290">
        <v>168560.0</v>
      </c>
      <c r="I53" s="304" t="s">
        <v>196</v>
      </c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</row>
    <row r="54" ht="15.75" customHeight="1">
      <c r="A54" s="223"/>
      <c r="B54" s="223"/>
      <c r="C54" s="223"/>
      <c r="D54" s="223"/>
      <c r="E54" s="223"/>
      <c r="F54" s="223"/>
      <c r="G54" s="305" t="s">
        <v>197</v>
      </c>
      <c r="H54" s="290">
        <v>819437.19</v>
      </c>
      <c r="I54" s="306" t="s">
        <v>198</v>
      </c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</row>
    <row r="55" ht="15.75" customHeight="1">
      <c r="A55" s="223"/>
      <c r="B55" s="223"/>
      <c r="C55" s="223"/>
      <c r="D55" s="223"/>
      <c r="E55" s="223"/>
      <c r="F55" s="223"/>
      <c r="G55" s="307" t="s">
        <v>199</v>
      </c>
      <c r="H55" s="290">
        <v>512500.0</v>
      </c>
      <c r="I55" s="302" t="s">
        <v>200</v>
      </c>
      <c r="J55" s="225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</row>
    <row r="56" ht="15.75" customHeight="1">
      <c r="A56" s="223"/>
      <c r="B56" s="223"/>
      <c r="C56" s="223"/>
      <c r="D56" s="223"/>
      <c r="E56" s="223"/>
      <c r="F56" s="223"/>
      <c r="G56" s="299" t="s">
        <v>201</v>
      </c>
      <c r="H56" s="290">
        <v>14700.0</v>
      </c>
      <c r="I56" s="302" t="s">
        <v>202</v>
      </c>
      <c r="J56" s="225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</row>
    <row r="57" ht="15.75" customHeight="1">
      <c r="A57" s="223"/>
      <c r="B57" s="223"/>
      <c r="C57" s="223"/>
      <c r="D57" s="223"/>
      <c r="E57" s="223"/>
      <c r="F57" s="223"/>
      <c r="G57" s="299" t="s">
        <v>201</v>
      </c>
      <c r="H57" s="290">
        <v>88200.0</v>
      </c>
      <c r="I57" s="302" t="s">
        <v>203</v>
      </c>
      <c r="J57" s="225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</row>
    <row r="58" ht="15.75" customHeight="1">
      <c r="A58" s="223"/>
      <c r="B58" s="223"/>
      <c r="C58" s="223"/>
      <c r="D58" s="223"/>
      <c r="E58" s="223"/>
      <c r="F58" s="223"/>
      <c r="G58" s="307" t="s">
        <v>204</v>
      </c>
      <c r="H58" s="290">
        <v>132300.0</v>
      </c>
      <c r="I58" s="302" t="s">
        <v>205</v>
      </c>
      <c r="J58" s="225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</row>
    <row r="59" ht="15.75" customHeight="1">
      <c r="A59" s="223"/>
      <c r="B59" s="223"/>
      <c r="C59" s="223"/>
      <c r="D59" s="223"/>
      <c r="E59" s="223"/>
      <c r="F59" s="223"/>
      <c r="G59" s="307" t="s">
        <v>189</v>
      </c>
      <c r="H59" s="290">
        <v>60000.0</v>
      </c>
      <c r="I59" s="302" t="s">
        <v>206</v>
      </c>
      <c r="J59" s="225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</row>
    <row r="60" ht="15.75" customHeight="1">
      <c r="A60" s="223"/>
      <c r="B60" s="223"/>
      <c r="C60" s="223"/>
      <c r="D60" s="223"/>
      <c r="E60" s="223"/>
      <c r="F60" s="223"/>
      <c r="G60" s="307" t="s">
        <v>207</v>
      </c>
      <c r="H60" s="290">
        <v>1.2124643E7</v>
      </c>
      <c r="I60" s="302" t="s">
        <v>208</v>
      </c>
      <c r="J60" s="225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</row>
    <row r="61" ht="15.75" customHeight="1">
      <c r="A61" s="223"/>
      <c r="B61" s="223"/>
      <c r="C61" s="223"/>
      <c r="D61" s="223"/>
      <c r="E61" s="223"/>
      <c r="F61" s="223"/>
      <c r="G61" s="301"/>
      <c r="H61" s="44">
        <v>322200.0</v>
      </c>
      <c r="I61" s="299"/>
      <c r="J61" s="225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</row>
    <row r="62" ht="15.75" customHeight="1">
      <c r="A62" s="223"/>
      <c r="B62" s="223"/>
      <c r="C62" s="223"/>
      <c r="D62" s="223"/>
      <c r="E62" s="223"/>
      <c r="F62" s="223"/>
      <c r="G62" s="249"/>
      <c r="H62" s="308">
        <f>sum(H42:H61)</f>
        <v>15115115.17</v>
      </c>
      <c r="I62" s="249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</row>
    <row r="68" ht="15.75" customHeight="1">
      <c r="A68" s="223"/>
      <c r="B68" s="225"/>
      <c r="C68" s="225"/>
      <c r="D68" s="225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</row>
    <row r="69" ht="15.75" customHeight="1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</row>
    <row r="70" ht="15.75" customHeight="1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</row>
    <row r="71" ht="15.75" customHeight="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</row>
    <row r="72" ht="15.75" customHeight="1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</row>
    <row r="73" ht="15.75" customHeight="1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</row>
    <row r="74" ht="15.75" customHeight="1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</row>
    <row r="75" ht="15.75" customHeight="1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</row>
    <row r="76" ht="15.75" customHeight="1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</row>
    <row r="77" ht="15.75" customHeight="1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</row>
    <row r="78" ht="15.75" customHeight="1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</row>
    <row r="79" ht="15.75" customHeight="1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</row>
    <row r="80" ht="15.75" customHeight="1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</row>
    <row r="81" ht="15.75" customHeight="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</row>
    <row r="82" ht="15.75" customHeight="1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</row>
    <row r="83" ht="15.75" customHeight="1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</row>
    <row r="84" ht="15.75" customHeight="1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</row>
    <row r="85" ht="15.75" customHeight="1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</row>
    <row r="86" ht="15.75" customHeight="1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</row>
    <row r="87" ht="15.75" customHeight="1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</row>
    <row r="88" ht="15.75" customHeight="1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</row>
    <row r="89" ht="15.75" customHeight="1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</row>
    <row r="90" ht="15.75" customHeight="1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</row>
    <row r="91" ht="15.75" customHeight="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</row>
    <row r="92" ht="15.75" customHeight="1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</row>
    <row r="93" ht="15.75" customHeight="1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</row>
    <row r="94" ht="15.75" customHeight="1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</row>
    <row r="95" ht="15.75" customHeight="1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</row>
    <row r="96" ht="15.75" customHeight="1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</row>
    <row r="97" ht="15.75" customHeight="1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</row>
    <row r="98" ht="15.75" customHeight="1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</row>
    <row r="99" ht="15.75" customHeight="1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</row>
    <row r="100" ht="15.75" customHeight="1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</row>
    <row r="101" ht="15.75" customHeight="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</row>
    <row r="102" ht="15.75" customHeight="1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</row>
    <row r="103" ht="15.75" customHeight="1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</row>
    <row r="104" ht="15.75" customHeight="1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</row>
    <row r="105" ht="15.75" customHeight="1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</row>
    <row r="106" ht="15.75" customHeight="1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</row>
    <row r="107" ht="15.75" customHeight="1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</row>
    <row r="108" ht="15.75" customHeight="1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</row>
    <row r="109" ht="15.75" customHeight="1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</row>
    <row r="110" ht="15.75" customHeight="1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</row>
    <row r="111" ht="15.75" customHeight="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</row>
    <row r="112" ht="15.75" customHeight="1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</row>
    <row r="113" ht="15.75" customHeight="1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</row>
    <row r="114" ht="15.75" customHeight="1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</row>
    <row r="115" ht="15.75" customHeight="1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</row>
    <row r="116" ht="15.75" customHeight="1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</row>
    <row r="117" ht="15.75" customHeight="1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</row>
    <row r="118" ht="15.75" customHeight="1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</row>
    <row r="119" ht="15.75" customHeight="1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</row>
    <row r="120" ht="15.75" customHeight="1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</row>
    <row r="121" ht="15.75" customHeight="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</row>
    <row r="122" ht="15.75" customHeight="1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</row>
    <row r="123" ht="15.75" customHeight="1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</row>
    <row r="124" ht="15.75" customHeight="1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</row>
    <row r="125" ht="15.75" customHeight="1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</row>
    <row r="126" ht="15.75" customHeight="1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</row>
    <row r="127" ht="15.75" customHeight="1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</row>
    <row r="128" ht="15.75" customHeight="1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</row>
    <row r="129" ht="15.75" customHeight="1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</row>
    <row r="130" ht="15.75" customHeight="1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</row>
    <row r="131" ht="15.75" customHeight="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</row>
    <row r="132" ht="15.75" customHeight="1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</row>
    <row r="133" ht="15.75" customHeight="1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</row>
    <row r="134" ht="15.75" customHeight="1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</row>
    <row r="135" ht="15.75" customHeight="1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</row>
    <row r="136" ht="15.75" customHeight="1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</row>
    <row r="137" ht="15.75" customHeight="1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</row>
    <row r="138" ht="15.75" customHeight="1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</row>
    <row r="139" ht="15.75" customHeight="1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</row>
    <row r="140" ht="15.75" customHeight="1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</row>
    <row r="141" ht="15.75" customHeight="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</row>
    <row r="142" ht="15.75" customHeight="1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</row>
    <row r="143" ht="15.75" customHeight="1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</row>
    <row r="144" ht="15.75" customHeight="1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</row>
    <row r="145" ht="15.75" customHeight="1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</row>
    <row r="146" ht="15.75" customHeight="1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</row>
    <row r="147" ht="15.75" customHeight="1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</row>
    <row r="148" ht="15.75" customHeight="1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</row>
    <row r="149" ht="15.75" customHeight="1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</row>
    <row r="150" ht="15.75" customHeight="1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</row>
    <row r="151" ht="15.75" customHeight="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</row>
    <row r="152" ht="15.75" customHeight="1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</row>
    <row r="153" ht="15.75" customHeight="1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</row>
    <row r="154" ht="15.75" customHeight="1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</row>
    <row r="155" ht="15.75" customHeight="1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</row>
    <row r="156" ht="15.75" customHeight="1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</row>
    <row r="157" ht="15.75" customHeight="1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</row>
    <row r="158" ht="15.75" customHeight="1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</row>
    <row r="159" ht="15.75" customHeight="1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</row>
    <row r="160" ht="15.75" customHeight="1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</row>
    <row r="161" ht="15.75" customHeight="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</row>
    <row r="162" ht="15.75" customHeight="1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</row>
    <row r="163" ht="15.75" customHeight="1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</row>
    <row r="164" ht="15.75" customHeight="1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</row>
    <row r="165" ht="15.75" customHeight="1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</row>
    <row r="166" ht="15.75" customHeight="1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</row>
    <row r="167" ht="15.75" customHeight="1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</row>
    <row r="168" ht="15.75" customHeight="1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</row>
    <row r="169" ht="15.75" customHeight="1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</row>
    <row r="170" ht="15.75" customHeight="1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</row>
    <row r="171" ht="15.75" customHeight="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</row>
    <row r="172" ht="15.75" customHeight="1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</row>
    <row r="173" ht="15.75" customHeight="1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</row>
    <row r="174" ht="15.75" customHeight="1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</row>
    <row r="175" ht="15.75" customHeight="1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</row>
    <row r="176" ht="15.75" customHeight="1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</row>
    <row r="177" ht="15.75" customHeight="1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</row>
    <row r="178" ht="15.75" customHeight="1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</row>
    <row r="179" ht="15.75" customHeight="1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</row>
    <row r="180" ht="15.75" customHeight="1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</row>
    <row r="181" ht="15.75" customHeight="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</row>
    <row r="182" ht="15.75" customHeight="1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</row>
    <row r="183" ht="15.75" customHeight="1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</row>
    <row r="184" ht="15.75" customHeight="1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</row>
    <row r="185" ht="15.75" customHeight="1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</row>
    <row r="186" ht="15.75" customHeight="1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</row>
    <row r="187" ht="15.75" customHeight="1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</row>
    <row r="188" ht="15.75" customHeight="1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</row>
    <row r="189" ht="15.75" customHeight="1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</row>
    <row r="190" ht="15.75" customHeight="1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</row>
    <row r="191" ht="15.75" customHeight="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</row>
    <row r="192" ht="15.75" customHeight="1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</row>
    <row r="193" ht="15.75" customHeight="1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</row>
    <row r="194" ht="15.75" customHeight="1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</row>
    <row r="195" ht="15.75" customHeight="1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</row>
    <row r="196" ht="15.75" customHeight="1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</row>
    <row r="197" ht="15.75" customHeight="1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</row>
    <row r="198" ht="15.75" customHeight="1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</row>
    <row r="199" ht="15.75" customHeight="1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</row>
    <row r="200" ht="15.75" customHeight="1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</row>
    <row r="201" ht="15.75" customHeight="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</row>
    <row r="202" ht="15.75" customHeight="1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</row>
    <row r="203" ht="15.75" customHeight="1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</row>
    <row r="204" ht="15.75" customHeight="1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</row>
    <row r="205" ht="15.75" customHeight="1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</row>
    <row r="206" ht="15.75" customHeight="1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</row>
    <row r="207" ht="15.75" customHeight="1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</row>
    <row r="208" ht="15.75" customHeight="1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</row>
    <row r="209" ht="15.75" customHeight="1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</row>
    <row r="210" ht="15.75" customHeight="1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</row>
    <row r="211" ht="15.75" customHeight="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</row>
    <row r="212" ht="15.75" customHeight="1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</row>
    <row r="213" ht="15.7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</row>
    <row r="214" ht="15.7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</row>
    <row r="215" ht="15.75" customHeight="1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</row>
    <row r="216" ht="15.75" customHeight="1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</row>
    <row r="217" ht="15.75" customHeight="1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</row>
    <row r="218" ht="15.75" customHeight="1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</row>
    <row r="219" ht="15.75" customHeight="1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</row>
    <row r="220" ht="15.75" customHeight="1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</row>
    <row r="221" ht="15.75" customHeight="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</row>
    <row r="222" ht="15.75" customHeight="1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</row>
    <row r="223" ht="15.75" customHeight="1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</row>
    <row r="224" ht="15.75" customHeight="1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</row>
    <row r="225" ht="15.75" customHeight="1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</row>
    <row r="226" ht="15.75" customHeight="1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</row>
    <row r="227" ht="15.75" customHeight="1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</row>
    <row r="228" ht="15.75" customHeight="1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</row>
    <row r="229" ht="15.75" customHeight="1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</row>
    <row r="230" ht="15.75" customHeight="1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</row>
    <row r="231" ht="15.75" customHeight="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</row>
    <row r="232" ht="15.75" customHeight="1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</row>
    <row r="233" ht="15.75" customHeight="1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</row>
    <row r="234" ht="15.75" customHeight="1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</row>
    <row r="235" ht="15.75" customHeight="1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</row>
    <row r="236" ht="15.75" customHeight="1">
      <c r="A236" s="225"/>
      <c r="B236" s="225"/>
      <c r="C236" s="225"/>
      <c r="D236" s="225"/>
      <c r="E236" s="225"/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</row>
    <row r="237" ht="15.75" customHeight="1">
      <c r="A237" s="225"/>
      <c r="B237" s="225"/>
      <c r="C237" s="225"/>
      <c r="D237" s="225"/>
      <c r="E237" s="225"/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</row>
    <row r="238" ht="15.75" customHeight="1">
      <c r="A238" s="225"/>
      <c r="B238" s="225"/>
      <c r="C238" s="225"/>
      <c r="D238" s="225"/>
      <c r="E238" s="225"/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</row>
    <row r="239" ht="15.75" customHeight="1">
      <c r="A239" s="225"/>
      <c r="B239" s="225"/>
      <c r="C239" s="225"/>
      <c r="D239" s="225"/>
      <c r="E239" s="225"/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</row>
    <row r="240" ht="15.75" customHeight="1">
      <c r="A240" s="225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</row>
    <row r="241" ht="15.75" customHeight="1">
      <c r="A241" s="225"/>
      <c r="B241" s="225"/>
      <c r="C241" s="225"/>
      <c r="D241" s="225"/>
      <c r="E241" s="225"/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</row>
    <row r="242" ht="15.75" customHeight="1">
      <c r="A242" s="225"/>
      <c r="B242" s="225"/>
      <c r="C242" s="225"/>
      <c r="D242" s="225"/>
      <c r="E242" s="225"/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</row>
    <row r="243" ht="15.75" customHeight="1">
      <c r="A243" s="225"/>
      <c r="B243" s="225"/>
      <c r="C243" s="225"/>
      <c r="D243" s="225"/>
      <c r="E243" s="225"/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</row>
    <row r="244" ht="15.75" customHeight="1">
      <c r="A244" s="225"/>
      <c r="B244" s="225"/>
      <c r="C244" s="225"/>
      <c r="D244" s="225"/>
      <c r="E244" s="225"/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</row>
    <row r="245" ht="15.75" customHeight="1">
      <c r="A245" s="225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</row>
    <row r="246" ht="15.75" customHeight="1">
      <c r="A246" s="225"/>
      <c r="B246" s="225"/>
      <c r="C246" s="225"/>
      <c r="D246" s="225"/>
      <c r="E246" s="225"/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</row>
    <row r="247" ht="15.75" customHeight="1">
      <c r="A247" s="225"/>
      <c r="B247" s="225"/>
      <c r="C247" s="225"/>
      <c r="D247" s="225"/>
      <c r="E247" s="225"/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</row>
    <row r="248" ht="15.75" customHeight="1">
      <c r="A248" s="225"/>
      <c r="B248" s="225"/>
      <c r="C248" s="225"/>
      <c r="D248" s="225"/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</row>
    <row r="249" ht="15.75" customHeight="1">
      <c r="A249" s="225"/>
      <c r="B249" s="225"/>
      <c r="C249" s="225"/>
      <c r="D249" s="225"/>
      <c r="E249" s="225"/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</row>
    <row r="250" ht="15.75" customHeight="1">
      <c r="A250" s="225"/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</row>
    <row r="251" ht="15.75" customHeight="1">
      <c r="A251" s="225"/>
      <c r="B251" s="225"/>
      <c r="C251" s="225"/>
      <c r="D251" s="225"/>
      <c r="E251" s="225"/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</row>
    <row r="252" ht="15.75" customHeight="1">
      <c r="A252" s="225"/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</row>
    <row r="253" ht="15.75" customHeight="1">
      <c r="A253" s="225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</row>
    <row r="254" ht="15.75" customHeight="1">
      <c r="A254" s="225"/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</row>
    <row r="255" ht="15.75" customHeight="1">
      <c r="A255" s="225"/>
      <c r="B255" s="225"/>
      <c r="C255" s="225"/>
      <c r="D255" s="225"/>
      <c r="E255" s="225"/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</row>
    <row r="256" ht="15.75" customHeight="1">
      <c r="A256" s="225"/>
      <c r="B256" s="225"/>
      <c r="C256" s="225"/>
      <c r="D256" s="225"/>
      <c r="E256" s="225"/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</row>
    <row r="257" ht="15.75" customHeight="1">
      <c r="A257" s="225"/>
      <c r="B257" s="225"/>
      <c r="C257" s="225"/>
      <c r="D257" s="225"/>
      <c r="E257" s="225"/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</row>
    <row r="258" ht="15.75" customHeight="1">
      <c r="A258" s="225"/>
      <c r="B258" s="225"/>
      <c r="C258" s="225"/>
      <c r="D258" s="225"/>
      <c r="E258" s="225"/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</row>
    <row r="259" ht="15.75" customHeight="1">
      <c r="A259" s="225"/>
      <c r="B259" s="225"/>
      <c r="C259" s="225"/>
      <c r="D259" s="225"/>
      <c r="E259" s="225"/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</row>
    <row r="260" ht="15.75" customHeight="1">
      <c r="A260" s="225"/>
      <c r="B260" s="225"/>
      <c r="C260" s="225"/>
      <c r="D260" s="225"/>
      <c r="E260" s="225"/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</row>
    <row r="261" ht="15.75" customHeight="1">
      <c r="A261" s="225"/>
      <c r="B261" s="225"/>
      <c r="C261" s="225"/>
      <c r="D261" s="225"/>
      <c r="E261" s="225"/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</row>
    <row r="262" ht="15.75" customHeight="1">
      <c r="A262" s="225"/>
      <c r="B262" s="225"/>
      <c r="C262" s="225"/>
      <c r="D262" s="225"/>
      <c r="E262" s="225"/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</row>
    <row r="263" ht="15.75" customHeight="1">
      <c r="A263" s="225"/>
      <c r="B263" s="225"/>
      <c r="C263" s="225"/>
      <c r="D263" s="225"/>
      <c r="E263" s="225"/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</row>
    <row r="264" ht="15.75" customHeight="1">
      <c r="A264" s="225"/>
      <c r="B264" s="225"/>
      <c r="C264" s="225"/>
      <c r="D264" s="225"/>
      <c r="E264" s="225"/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</row>
    <row r="265" ht="15.75" customHeight="1">
      <c r="A265" s="225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</row>
    <row r="266" ht="15.75" customHeight="1">
      <c r="A266" s="225"/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</row>
    <row r="267" ht="15.75" customHeight="1">
      <c r="A267" s="225"/>
      <c r="B267" s="225"/>
      <c r="C267" s="225"/>
      <c r="D267" s="225"/>
      <c r="E267" s="225"/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</row>
    <row r="268" ht="15.75" customHeight="1">
      <c r="A268" s="225"/>
      <c r="B268" s="225"/>
      <c r="C268" s="225"/>
      <c r="D268" s="225"/>
      <c r="E268" s="225"/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</row>
    <row r="269" ht="15.75" customHeight="1">
      <c r="A269" s="225"/>
      <c r="B269" s="225"/>
      <c r="C269" s="225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</row>
    <row r="270" ht="15.75" customHeight="1">
      <c r="A270" s="225"/>
      <c r="B270" s="225"/>
      <c r="C270" s="225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</row>
    <row r="271" ht="15.75" customHeight="1">
      <c r="A271" s="225"/>
      <c r="B271" s="225"/>
      <c r="C271" s="225"/>
      <c r="D271" s="225"/>
      <c r="E271" s="225"/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</row>
    <row r="272" ht="15.75" customHeight="1">
      <c r="A272" s="225"/>
      <c r="B272" s="225"/>
      <c r="C272" s="225"/>
      <c r="D272" s="225"/>
      <c r="E272" s="225"/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</row>
    <row r="273" ht="15.75" customHeight="1">
      <c r="A273" s="225"/>
      <c r="B273" s="225"/>
      <c r="C273" s="225"/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</row>
    <row r="274" ht="15.75" customHeight="1">
      <c r="A274" s="225"/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</row>
    <row r="275" ht="15.75" customHeight="1">
      <c r="A275" s="225"/>
      <c r="B275" s="225"/>
      <c r="C275" s="225"/>
      <c r="D275" s="225"/>
      <c r="E275" s="225"/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</row>
    <row r="276" ht="15.75" customHeight="1">
      <c r="A276" s="225"/>
      <c r="B276" s="225"/>
      <c r="C276" s="225"/>
      <c r="D276" s="225"/>
      <c r="E276" s="225"/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</row>
    <row r="277" ht="15.75" customHeight="1">
      <c r="A277" s="225"/>
      <c r="B277" s="225"/>
      <c r="C277" s="225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</row>
    <row r="278" ht="15.75" customHeight="1">
      <c r="A278" s="225"/>
      <c r="B278" s="225"/>
      <c r="C278" s="225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</row>
    <row r="279" ht="15.75" customHeight="1">
      <c r="A279" s="225"/>
      <c r="B279" s="225"/>
      <c r="C279" s="225"/>
      <c r="D279" s="225"/>
      <c r="E279" s="225"/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</row>
    <row r="280" ht="15.75" customHeight="1">
      <c r="A280" s="225"/>
      <c r="B280" s="225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</row>
    <row r="281" ht="15.75" customHeight="1">
      <c r="A281" s="225"/>
      <c r="B281" s="225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</row>
    <row r="282" ht="15.75" customHeight="1">
      <c r="A282" s="225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</row>
    <row r="283" ht="15.75" customHeight="1">
      <c r="A283" s="225"/>
      <c r="B283" s="225"/>
      <c r="C283" s="225"/>
      <c r="D283" s="225"/>
      <c r="E283" s="225"/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</row>
    <row r="284" ht="15.75" customHeight="1">
      <c r="A284" s="225"/>
      <c r="B284" s="225"/>
      <c r="C284" s="225"/>
      <c r="D284" s="225"/>
      <c r="E284" s="225"/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</row>
    <row r="285" ht="15.75" customHeight="1">
      <c r="A285" s="225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</row>
    <row r="286" ht="15.75" customHeight="1">
      <c r="A286" s="225"/>
      <c r="B286" s="225"/>
      <c r="C286" s="225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</row>
    <row r="287" ht="15.75" customHeight="1">
      <c r="A287" s="225"/>
      <c r="B287" s="225"/>
      <c r="C287" s="225"/>
      <c r="D287" s="225"/>
      <c r="E287" s="225"/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</row>
    <row r="288" ht="15.75" customHeight="1">
      <c r="A288" s="225"/>
      <c r="B288" s="225"/>
      <c r="C288" s="225"/>
      <c r="D288" s="225"/>
      <c r="E288" s="225"/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</row>
    <row r="289" ht="15.75" customHeight="1">
      <c r="A289" s="225"/>
      <c r="B289" s="225"/>
      <c r="C289" s="225"/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</row>
    <row r="290" ht="15.75" customHeight="1">
      <c r="A290" s="225"/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</row>
    <row r="291" ht="15.75" customHeight="1">
      <c r="A291" s="225"/>
      <c r="B291" s="225"/>
      <c r="C291" s="225"/>
      <c r="D291" s="225"/>
      <c r="E291" s="225"/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</row>
    <row r="292" ht="15.75" customHeight="1">
      <c r="A292" s="225"/>
      <c r="B292" s="225"/>
      <c r="C292" s="225"/>
      <c r="D292" s="225"/>
      <c r="E292" s="225"/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</row>
    <row r="293" ht="15.75" customHeight="1">
      <c r="A293" s="225"/>
      <c r="B293" s="225"/>
      <c r="C293" s="225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</row>
    <row r="294" ht="15.75" customHeight="1">
      <c r="A294" s="225"/>
      <c r="B294" s="225"/>
      <c r="C294" s="225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</row>
    <row r="295" ht="15.75" customHeight="1">
      <c r="A295" s="225"/>
      <c r="B295" s="225"/>
      <c r="C295" s="225"/>
      <c r="D295" s="225"/>
      <c r="E295" s="225"/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</row>
    <row r="296" ht="15.75" customHeight="1">
      <c r="A296" s="225"/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</row>
    <row r="297" ht="15.75" customHeight="1">
      <c r="A297" s="225"/>
      <c r="B297" s="225"/>
      <c r="C297" s="225"/>
      <c r="D297" s="225"/>
      <c r="E297" s="225"/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</row>
    <row r="298" ht="15.75" customHeight="1">
      <c r="A298" s="225"/>
      <c r="B298" s="225"/>
      <c r="C298" s="225"/>
      <c r="D298" s="225"/>
      <c r="E298" s="225"/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</row>
    <row r="299" ht="15.75" customHeight="1">
      <c r="A299" s="225"/>
      <c r="B299" s="225"/>
      <c r="C299" s="225"/>
      <c r="D299" s="225"/>
      <c r="E299" s="225"/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</row>
    <row r="300" ht="15.75" customHeight="1">
      <c r="A300" s="225"/>
      <c r="B300" s="225"/>
      <c r="C300" s="225"/>
      <c r="D300" s="225"/>
      <c r="E300" s="225"/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</row>
    <row r="301" ht="15.75" customHeight="1">
      <c r="A301" s="225"/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</row>
    <row r="302" ht="15.75" customHeight="1">
      <c r="A302" s="225"/>
      <c r="B302" s="225"/>
      <c r="C302" s="225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</row>
    <row r="303" ht="15.75" customHeight="1">
      <c r="A303" s="225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</row>
    <row r="304" ht="15.75" customHeight="1">
      <c r="A304" s="225"/>
      <c r="B304" s="225"/>
      <c r="C304" s="225"/>
      <c r="D304" s="225"/>
      <c r="E304" s="225"/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</row>
    <row r="305" ht="15.75" customHeight="1">
      <c r="A305" s="225"/>
      <c r="B305" s="225"/>
      <c r="C305" s="225"/>
      <c r="D305" s="225"/>
      <c r="E305" s="225"/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</row>
    <row r="306" ht="15.75" customHeight="1">
      <c r="A306" s="225"/>
      <c r="B306" s="225"/>
      <c r="C306" s="225"/>
      <c r="D306" s="225"/>
      <c r="E306" s="225"/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</row>
    <row r="307" ht="15.75" customHeight="1">
      <c r="A307" s="225"/>
      <c r="B307" s="225"/>
      <c r="C307" s="225"/>
      <c r="D307" s="225"/>
      <c r="E307" s="225"/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</row>
    <row r="308" ht="15.75" customHeight="1">
      <c r="A308" s="225"/>
      <c r="B308" s="225"/>
      <c r="C308" s="225"/>
      <c r="D308" s="225"/>
      <c r="E308" s="225"/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</row>
    <row r="309" ht="15.75" customHeight="1">
      <c r="A309" s="225"/>
      <c r="B309" s="225"/>
      <c r="C309" s="225"/>
      <c r="D309" s="225"/>
      <c r="E309" s="225"/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</row>
    <row r="310" ht="15.75" customHeight="1">
      <c r="A310" s="225"/>
      <c r="B310" s="225"/>
      <c r="C310" s="225"/>
      <c r="D310" s="225"/>
      <c r="E310" s="225"/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</row>
    <row r="311" ht="15.75" customHeight="1">
      <c r="A311" s="225"/>
      <c r="B311" s="225"/>
      <c r="C311" s="225"/>
      <c r="D311" s="225"/>
      <c r="E311" s="225"/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</row>
    <row r="312" ht="15.75" customHeight="1">
      <c r="A312" s="225"/>
      <c r="B312" s="225"/>
      <c r="C312" s="225"/>
      <c r="D312" s="225"/>
      <c r="E312" s="225"/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</row>
    <row r="313" ht="15.75" customHeight="1">
      <c r="A313" s="225"/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</row>
    <row r="314" ht="15.75" customHeight="1">
      <c r="A314" s="225"/>
      <c r="B314" s="225"/>
      <c r="C314" s="225"/>
      <c r="D314" s="225"/>
      <c r="E314" s="225"/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</row>
    <row r="315" ht="15.75" customHeight="1">
      <c r="A315" s="225"/>
      <c r="B315" s="225"/>
      <c r="C315" s="225"/>
      <c r="D315" s="225"/>
      <c r="E315" s="225"/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</row>
    <row r="316" ht="15.75" customHeight="1">
      <c r="A316" s="225"/>
      <c r="B316" s="225"/>
      <c r="C316" s="225"/>
      <c r="D316" s="225"/>
      <c r="E316" s="225"/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</row>
    <row r="317" ht="15.75" customHeight="1">
      <c r="A317" s="225"/>
      <c r="B317" s="225"/>
      <c r="C317" s="225"/>
      <c r="D317" s="225"/>
      <c r="E317" s="225"/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</row>
    <row r="318" ht="15.75" customHeight="1">
      <c r="A318" s="225"/>
      <c r="B318" s="225"/>
      <c r="C318" s="225"/>
      <c r="D318" s="225"/>
      <c r="E318" s="225"/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</row>
    <row r="319" ht="15.75" customHeight="1">
      <c r="A319" s="225"/>
      <c r="B319" s="225"/>
      <c r="C319" s="225"/>
      <c r="D319" s="225"/>
      <c r="E319" s="225"/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</row>
    <row r="320" ht="15.75" customHeight="1">
      <c r="A320" s="225"/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</row>
    <row r="321" ht="15.75" customHeight="1">
      <c r="A321" s="225"/>
      <c r="B321" s="225"/>
      <c r="C321" s="225"/>
      <c r="D321" s="225"/>
      <c r="E321" s="225"/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</row>
    <row r="322" ht="15.75" customHeight="1">
      <c r="A322" s="225"/>
      <c r="B322" s="225"/>
      <c r="C322" s="225"/>
      <c r="D322" s="225"/>
      <c r="E322" s="225"/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</row>
    <row r="323" ht="15.75" customHeight="1">
      <c r="A323" s="225"/>
      <c r="B323" s="225"/>
      <c r="C323" s="225"/>
      <c r="D323" s="225"/>
      <c r="E323" s="225"/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</row>
    <row r="324" ht="15.75" customHeight="1">
      <c r="A324" s="225"/>
      <c r="B324" s="225"/>
      <c r="C324" s="225"/>
      <c r="D324" s="225"/>
      <c r="E324" s="225"/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</row>
    <row r="325" ht="15.75" customHeight="1">
      <c r="A325" s="225"/>
      <c r="B325" s="225"/>
      <c r="C325" s="225"/>
      <c r="D325" s="225"/>
      <c r="E325" s="225"/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</row>
    <row r="326" ht="15.75" customHeight="1">
      <c r="A326" s="225"/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</row>
    <row r="327" ht="15.75" customHeight="1">
      <c r="A327" s="225"/>
      <c r="B327" s="225"/>
      <c r="C327" s="225"/>
      <c r="D327" s="225"/>
      <c r="E327" s="225"/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</row>
    <row r="328" ht="15.75" customHeight="1">
      <c r="A328" s="225"/>
      <c r="B328" s="225"/>
      <c r="C328" s="225"/>
      <c r="D328" s="225"/>
      <c r="E328" s="225"/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</row>
    <row r="329" ht="15.75" customHeight="1">
      <c r="A329" s="225"/>
      <c r="B329" s="225"/>
      <c r="C329" s="225"/>
      <c r="D329" s="225"/>
      <c r="E329" s="225"/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</row>
    <row r="330" ht="15.75" customHeight="1">
      <c r="A330" s="225"/>
      <c r="B330" s="225"/>
      <c r="C330" s="225"/>
      <c r="D330" s="225"/>
      <c r="E330" s="225"/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</row>
    <row r="331" ht="15.75" customHeight="1">
      <c r="A331" s="225"/>
      <c r="B331" s="225"/>
      <c r="C331" s="225"/>
      <c r="D331" s="225"/>
      <c r="E331" s="225"/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</row>
    <row r="332" ht="15.75" customHeight="1">
      <c r="A332" s="225"/>
      <c r="B332" s="225"/>
      <c r="C332" s="225"/>
      <c r="D332" s="225"/>
      <c r="E332" s="225"/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</row>
    <row r="333" ht="15.75" customHeight="1">
      <c r="A333" s="225"/>
      <c r="B333" s="225"/>
      <c r="C333" s="225"/>
      <c r="D333" s="225"/>
      <c r="E333" s="225"/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</row>
    <row r="334" ht="15.75" customHeight="1">
      <c r="A334" s="225"/>
      <c r="B334" s="225"/>
      <c r="C334" s="225"/>
      <c r="D334" s="225"/>
      <c r="E334" s="225"/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</row>
    <row r="335" ht="15.75" customHeight="1">
      <c r="A335" s="225"/>
      <c r="B335" s="225"/>
      <c r="C335" s="225"/>
      <c r="D335" s="225"/>
      <c r="E335" s="225"/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</row>
    <row r="336" ht="15.75" customHeight="1">
      <c r="A336" s="225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</row>
    <row r="337" ht="15.75" customHeight="1">
      <c r="A337" s="225"/>
      <c r="B337" s="225"/>
      <c r="C337" s="225"/>
      <c r="D337" s="225"/>
      <c r="E337" s="225"/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</row>
    <row r="338" ht="15.75" customHeight="1">
      <c r="A338" s="225"/>
      <c r="B338" s="225"/>
      <c r="C338" s="225"/>
      <c r="D338" s="225"/>
      <c r="E338" s="225"/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</row>
    <row r="339" ht="15.75" customHeight="1">
      <c r="A339" s="225"/>
      <c r="B339" s="225"/>
      <c r="C339" s="225"/>
      <c r="D339" s="225"/>
      <c r="E339" s="225"/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</row>
    <row r="340" ht="15.75" customHeight="1">
      <c r="A340" s="225"/>
      <c r="B340" s="225"/>
      <c r="C340" s="225"/>
      <c r="D340" s="225"/>
      <c r="E340" s="225"/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</row>
    <row r="341" ht="15.75" customHeight="1">
      <c r="A341" s="225"/>
      <c r="B341" s="225"/>
      <c r="C341" s="225"/>
      <c r="D341" s="225"/>
      <c r="E341" s="225"/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</row>
    <row r="342" ht="15.75" customHeight="1">
      <c r="A342" s="225"/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</row>
    <row r="343" ht="15.75" customHeight="1">
      <c r="A343" s="225"/>
      <c r="B343" s="225"/>
      <c r="C343" s="225"/>
      <c r="D343" s="225"/>
      <c r="E343" s="225"/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</row>
    <row r="344" ht="15.75" customHeight="1">
      <c r="A344" s="225"/>
      <c r="B344" s="225"/>
      <c r="C344" s="225"/>
      <c r="D344" s="225"/>
      <c r="E344" s="225"/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</row>
    <row r="345" ht="15.75" customHeight="1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</row>
    <row r="346" ht="15.75" customHeight="1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</row>
    <row r="347" ht="15.75" customHeight="1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</row>
    <row r="348" ht="15.75" customHeight="1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</row>
    <row r="349" ht="15.75" customHeight="1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</row>
    <row r="350" ht="15.75" customHeight="1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</row>
    <row r="351" ht="15.75" customHeight="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</row>
    <row r="352" ht="15.75" customHeight="1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</row>
    <row r="353" ht="15.75" customHeight="1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</row>
    <row r="354" ht="15.75" customHeight="1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</row>
    <row r="355" ht="15.75" customHeight="1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</row>
    <row r="356" ht="15.75" customHeight="1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</row>
    <row r="357" ht="15.75" customHeight="1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</row>
    <row r="358" ht="15.75" customHeight="1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</row>
    <row r="359" ht="15.75" customHeight="1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</row>
    <row r="360" ht="15.75" customHeight="1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</row>
    <row r="361" ht="15.75" customHeight="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</row>
    <row r="362" ht="15.75" customHeight="1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</row>
    <row r="363" ht="15.75" customHeight="1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</row>
    <row r="364" ht="15.75" customHeight="1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</row>
    <row r="365" ht="15.75" customHeight="1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</row>
    <row r="366" ht="15.75" customHeight="1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</row>
    <row r="367" ht="15.75" customHeight="1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</row>
    <row r="368" ht="15.75" customHeight="1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</row>
    <row r="369" ht="15.75" customHeight="1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</row>
    <row r="370" ht="15.75" customHeight="1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</row>
    <row r="371" ht="15.75" customHeight="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</row>
    <row r="372" ht="15.75" customHeight="1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</row>
    <row r="373" ht="15.75" customHeight="1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</row>
    <row r="374" ht="15.75" customHeight="1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</row>
    <row r="375" ht="15.75" customHeight="1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</row>
    <row r="376" ht="15.75" customHeight="1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</row>
    <row r="377" ht="15.75" customHeight="1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</row>
    <row r="378" ht="15.75" customHeight="1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</row>
    <row r="379" ht="15.75" customHeight="1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</row>
    <row r="380" ht="15.75" customHeight="1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</row>
    <row r="381" ht="15.75" customHeight="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</row>
    <row r="382" ht="15.75" customHeight="1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</row>
    <row r="383" ht="15.75" customHeight="1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</row>
    <row r="384" ht="15.75" customHeight="1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</row>
    <row r="385" ht="15.75" customHeight="1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</row>
    <row r="386" ht="15.75" customHeight="1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</row>
    <row r="387" ht="15.75" customHeight="1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</row>
    <row r="388" ht="15.75" customHeight="1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</row>
    <row r="389" ht="15.75" customHeight="1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</row>
    <row r="390" ht="15.75" customHeight="1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</row>
    <row r="391" ht="15.75" customHeight="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</row>
    <row r="392" ht="15.75" customHeight="1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</row>
    <row r="393" ht="15.75" customHeight="1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</row>
    <row r="394" ht="15.75" customHeight="1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</row>
    <row r="395" ht="15.75" customHeight="1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</row>
    <row r="396" ht="15.75" customHeight="1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</row>
    <row r="397" ht="15.75" customHeight="1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</row>
    <row r="398" ht="15.75" customHeight="1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</row>
    <row r="399" ht="15.75" customHeight="1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</row>
    <row r="400" ht="15.75" customHeight="1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</row>
    <row r="401" ht="15.75" customHeight="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</row>
    <row r="402" ht="15.75" customHeight="1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</row>
    <row r="403" ht="15.75" customHeight="1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</row>
    <row r="404" ht="15.75" customHeight="1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</row>
    <row r="405" ht="15.75" customHeight="1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</row>
    <row r="406" ht="15.75" customHeight="1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</row>
    <row r="407" ht="15.75" customHeight="1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</row>
    <row r="408" ht="15.75" customHeight="1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</row>
    <row r="409" ht="15.75" customHeight="1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</row>
    <row r="410" ht="15.75" customHeight="1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</row>
    <row r="411" ht="15.75" customHeight="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</row>
    <row r="412" ht="15.75" customHeight="1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</row>
    <row r="413" ht="15.75" customHeight="1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</row>
    <row r="414" ht="15.75" customHeight="1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</row>
    <row r="415" ht="15.75" customHeight="1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</row>
    <row r="416" ht="15.75" customHeight="1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</row>
    <row r="417" ht="15.75" customHeight="1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</row>
    <row r="418" ht="15.75" customHeight="1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</row>
    <row r="419" ht="15.75" customHeight="1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</row>
    <row r="420" ht="15.75" customHeight="1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</row>
    <row r="421" ht="15.75" customHeight="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</row>
    <row r="422" ht="15.75" customHeight="1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</row>
    <row r="423" ht="15.75" customHeight="1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</row>
    <row r="424" ht="15.75" customHeight="1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</row>
    <row r="425" ht="15.75" customHeight="1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</row>
    <row r="426" ht="15.75" customHeight="1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</row>
    <row r="427" ht="15.75" customHeight="1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</row>
    <row r="428" ht="15.75" customHeight="1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</row>
    <row r="429" ht="15.75" customHeight="1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</row>
    <row r="430" ht="15.75" customHeight="1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</row>
    <row r="431" ht="15.75" customHeight="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</row>
    <row r="432" ht="15.75" customHeight="1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</row>
    <row r="433" ht="15.75" customHeight="1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</row>
    <row r="434" ht="15.75" customHeight="1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</row>
    <row r="435" ht="15.75" customHeight="1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</row>
    <row r="436" ht="15.75" customHeight="1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</row>
    <row r="437" ht="15.75" customHeight="1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</row>
    <row r="438" ht="15.75" customHeight="1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</row>
    <row r="439" ht="15.75" customHeight="1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</row>
    <row r="440" ht="15.75" customHeight="1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</row>
    <row r="441" ht="15.75" customHeight="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</row>
    <row r="442" ht="15.75" customHeight="1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</row>
    <row r="443" ht="15.75" customHeight="1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</row>
    <row r="444" ht="15.75" customHeight="1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</row>
    <row r="445" ht="15.75" customHeight="1">
      <c r="A445" s="225"/>
      <c r="B445" s="225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</row>
    <row r="446" ht="15.75" customHeight="1">
      <c r="A446" s="225"/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</row>
    <row r="447" ht="15.75" customHeight="1">
      <c r="A447" s="225"/>
      <c r="B447" s="225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</row>
    <row r="448" ht="15.75" customHeight="1">
      <c r="A448" s="225"/>
      <c r="B448" s="225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</row>
    <row r="449" ht="15.75" customHeight="1">
      <c r="A449" s="225"/>
      <c r="B449" s="225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</row>
    <row r="450" ht="15.75" customHeight="1">
      <c r="A450" s="225"/>
      <c r="B450" s="225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</row>
    <row r="451" ht="15.75" customHeight="1">
      <c r="A451" s="225"/>
      <c r="B451" s="225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</row>
    <row r="452" ht="15.75" customHeight="1">
      <c r="A452" s="225"/>
      <c r="B452" s="225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</row>
    <row r="453" ht="15.75" customHeight="1">
      <c r="A453" s="225"/>
      <c r="B453" s="225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</row>
    <row r="454" ht="15.75" customHeight="1">
      <c r="A454" s="225"/>
      <c r="B454" s="225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</row>
    <row r="455" ht="15.75" customHeight="1">
      <c r="A455" s="225"/>
      <c r="B455" s="225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</row>
    <row r="456" ht="15.75" customHeight="1">
      <c r="A456" s="225"/>
      <c r="B456" s="225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</row>
    <row r="457" ht="15.75" customHeight="1">
      <c r="A457" s="225"/>
      <c r="B457" s="225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</row>
    <row r="458" ht="15.75" customHeight="1">
      <c r="A458" s="225"/>
      <c r="B458" s="225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</row>
    <row r="459" ht="15.75" customHeight="1">
      <c r="A459" s="225"/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</row>
    <row r="460" ht="15.75" customHeight="1">
      <c r="A460" s="225"/>
      <c r="B460" s="225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</row>
    <row r="461" ht="15.75" customHeight="1">
      <c r="A461" s="225"/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</row>
    <row r="462" ht="15.75" customHeight="1">
      <c r="A462" s="225"/>
      <c r="B462" s="225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</row>
    <row r="463" ht="15.75" customHeight="1">
      <c r="A463" s="225"/>
      <c r="B463" s="225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</row>
    <row r="464" ht="15.75" customHeight="1">
      <c r="A464" s="225"/>
      <c r="B464" s="225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</row>
    <row r="465" ht="15.75" customHeight="1">
      <c r="A465" s="225"/>
      <c r="B465" s="225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</row>
    <row r="466" ht="15.75" customHeight="1">
      <c r="A466" s="225"/>
      <c r="B466" s="225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</row>
    <row r="467" ht="15.75" customHeight="1">
      <c r="A467" s="225"/>
      <c r="B467" s="225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</row>
    <row r="468" ht="15.75" customHeight="1">
      <c r="A468" s="225"/>
      <c r="B468" s="225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</row>
    <row r="469" ht="15.75" customHeight="1">
      <c r="A469" s="225"/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</row>
    <row r="470" ht="15.75" customHeight="1">
      <c r="A470" s="225"/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</row>
    <row r="471" ht="15.75" customHeight="1">
      <c r="A471" s="225"/>
      <c r="B471" s="225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</row>
    <row r="472" ht="15.75" customHeight="1">
      <c r="A472" s="225"/>
      <c r="B472" s="225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</row>
    <row r="473" ht="15.75" customHeight="1">
      <c r="A473" s="225"/>
      <c r="B473" s="225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</row>
    <row r="474" ht="15.75" customHeight="1">
      <c r="A474" s="225"/>
      <c r="B474" s="225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</row>
    <row r="475" ht="15.75" customHeight="1">
      <c r="A475" s="225"/>
      <c r="B475" s="225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</row>
    <row r="476" ht="15.75" customHeight="1">
      <c r="A476" s="225"/>
      <c r="B476" s="225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</row>
    <row r="477" ht="15.75" customHeight="1">
      <c r="A477" s="225"/>
      <c r="B477" s="225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</row>
    <row r="478" ht="15.75" customHeight="1">
      <c r="A478" s="225"/>
      <c r="B478" s="225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</row>
    <row r="479" ht="15.75" customHeight="1">
      <c r="A479" s="225"/>
      <c r="B479" s="225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</row>
    <row r="480" ht="15.75" customHeight="1">
      <c r="A480" s="225"/>
      <c r="B480" s="225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</row>
    <row r="481" ht="15.75" customHeight="1">
      <c r="A481" s="225"/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</row>
    <row r="482" ht="15.75" customHeight="1">
      <c r="A482" s="225"/>
      <c r="B482" s="225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</row>
    <row r="483" ht="15.75" customHeight="1">
      <c r="A483" s="225"/>
      <c r="B483" s="225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</row>
    <row r="484" ht="15.75" customHeight="1">
      <c r="A484" s="225"/>
      <c r="B484" s="225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</row>
    <row r="485" ht="15.75" customHeight="1">
      <c r="A485" s="225"/>
      <c r="B485" s="225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</row>
    <row r="486" ht="15.75" customHeight="1">
      <c r="A486" s="225"/>
      <c r="B486" s="225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</row>
    <row r="487" ht="15.75" customHeight="1">
      <c r="A487" s="225"/>
      <c r="B487" s="225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</row>
    <row r="488" ht="15.75" customHeight="1">
      <c r="A488" s="225"/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</row>
    <row r="489" ht="15.75" customHeight="1">
      <c r="A489" s="225"/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</row>
    <row r="490" ht="15.75" customHeight="1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</row>
    <row r="491" ht="15.75" customHeight="1">
      <c r="A491" s="225"/>
      <c r="B491" s="225"/>
      <c r="C491" s="225"/>
      <c r="D491" s="225"/>
      <c r="E491" s="225"/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</row>
    <row r="492" ht="15.75" customHeight="1">
      <c r="A492" s="225"/>
      <c r="B492" s="225"/>
      <c r="C492" s="225"/>
      <c r="D492" s="225"/>
      <c r="E492" s="225"/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</row>
    <row r="493" ht="15.75" customHeight="1">
      <c r="A493" s="225"/>
      <c r="B493" s="225"/>
      <c r="C493" s="225"/>
      <c r="D493" s="225"/>
      <c r="E493" s="225"/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</row>
    <row r="494" ht="15.75" customHeight="1">
      <c r="A494" s="225"/>
      <c r="B494" s="225"/>
      <c r="C494" s="225"/>
      <c r="D494" s="225"/>
      <c r="E494" s="225"/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</row>
    <row r="495" ht="15.75" customHeight="1">
      <c r="A495" s="225"/>
      <c r="B495" s="225"/>
      <c r="C495" s="225"/>
      <c r="D495" s="225"/>
      <c r="E495" s="225"/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</row>
    <row r="496" ht="15.75" customHeight="1">
      <c r="A496" s="225"/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</row>
    <row r="497" ht="15.75" customHeight="1">
      <c r="A497" s="225"/>
      <c r="B497" s="225"/>
      <c r="C497" s="225"/>
      <c r="D497" s="225"/>
      <c r="E497" s="225"/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</row>
    <row r="498" ht="15.75" customHeight="1">
      <c r="A498" s="225"/>
      <c r="B498" s="225"/>
      <c r="C498" s="225"/>
      <c r="D498" s="225"/>
      <c r="E498" s="225"/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</row>
    <row r="499" ht="15.75" customHeight="1">
      <c r="A499" s="225"/>
      <c r="B499" s="225"/>
      <c r="C499" s="225"/>
      <c r="D499" s="225"/>
      <c r="E499" s="225"/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</row>
    <row r="500" ht="15.75" customHeight="1">
      <c r="A500" s="225"/>
      <c r="B500" s="225"/>
      <c r="C500" s="225"/>
      <c r="D500" s="225"/>
      <c r="E500" s="225"/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</row>
    <row r="501" ht="15.75" customHeight="1">
      <c r="A501" s="225"/>
      <c r="B501" s="225"/>
      <c r="C501" s="225"/>
      <c r="D501" s="225"/>
      <c r="E501" s="225"/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</row>
    <row r="502" ht="15.75" customHeight="1">
      <c r="A502" s="225"/>
      <c r="B502" s="225"/>
      <c r="C502" s="225"/>
      <c r="D502" s="225"/>
      <c r="E502" s="225"/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</row>
    <row r="503" ht="15.75" customHeight="1">
      <c r="A503" s="225"/>
      <c r="B503" s="225"/>
      <c r="C503" s="225"/>
      <c r="D503" s="225"/>
      <c r="E503" s="225"/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</row>
    <row r="504" ht="15.75" customHeight="1">
      <c r="A504" s="225"/>
      <c r="B504" s="225"/>
      <c r="C504" s="225"/>
      <c r="D504" s="225"/>
      <c r="E504" s="225"/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</row>
    <row r="505" ht="15.75" customHeight="1">
      <c r="A505" s="225"/>
      <c r="B505" s="225"/>
      <c r="C505" s="225"/>
      <c r="D505" s="225"/>
      <c r="E505" s="225"/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</row>
    <row r="506" ht="15.75" customHeight="1">
      <c r="A506" s="225"/>
      <c r="B506" s="225"/>
      <c r="C506" s="225"/>
      <c r="D506" s="225"/>
      <c r="E506" s="225"/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</row>
    <row r="507" ht="15.75" customHeight="1">
      <c r="A507" s="225"/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</row>
    <row r="508" ht="15.75" customHeight="1">
      <c r="A508" s="225"/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</row>
    <row r="509" ht="15.75" customHeight="1">
      <c r="A509" s="225"/>
      <c r="B509" s="225"/>
      <c r="C509" s="225"/>
      <c r="D509" s="225"/>
      <c r="E509" s="225"/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</row>
    <row r="510" ht="15.75" customHeight="1">
      <c r="A510" s="225"/>
      <c r="B510" s="225"/>
      <c r="C510" s="225"/>
      <c r="D510" s="225"/>
      <c r="E510" s="225"/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</row>
    <row r="511" ht="15.75" customHeight="1">
      <c r="A511" s="225"/>
      <c r="B511" s="225"/>
      <c r="C511" s="225"/>
      <c r="D511" s="225"/>
      <c r="E511" s="225"/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</row>
    <row r="512" ht="15.75" customHeight="1">
      <c r="A512" s="225"/>
      <c r="B512" s="225"/>
      <c r="C512" s="225"/>
      <c r="D512" s="225"/>
      <c r="E512" s="225"/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</row>
    <row r="513" ht="15.75" customHeight="1">
      <c r="A513" s="225"/>
      <c r="B513" s="225"/>
      <c r="C513" s="225"/>
      <c r="D513" s="225"/>
      <c r="E513" s="225"/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</row>
    <row r="514" ht="15.75" customHeight="1">
      <c r="A514" s="225"/>
      <c r="B514" s="225"/>
      <c r="C514" s="225"/>
      <c r="D514" s="225"/>
      <c r="E514" s="225"/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</row>
    <row r="515" ht="15.75" customHeight="1">
      <c r="A515" s="225"/>
      <c r="B515" s="225"/>
      <c r="C515" s="225"/>
      <c r="D515" s="225"/>
      <c r="E515" s="225"/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</row>
    <row r="516" ht="15.75" customHeight="1">
      <c r="A516" s="225"/>
      <c r="B516" s="225"/>
      <c r="C516" s="225"/>
      <c r="D516" s="225"/>
      <c r="E516" s="225"/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</row>
    <row r="517" ht="15.75" customHeight="1">
      <c r="A517" s="225"/>
      <c r="B517" s="225"/>
      <c r="C517" s="225"/>
      <c r="D517" s="225"/>
      <c r="E517" s="225"/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</row>
    <row r="518" ht="15.75" customHeight="1">
      <c r="A518" s="225"/>
      <c r="B518" s="225"/>
      <c r="C518" s="225"/>
      <c r="D518" s="225"/>
      <c r="E518" s="225"/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</row>
    <row r="519" ht="15.75" customHeight="1">
      <c r="A519" s="225"/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</row>
    <row r="520" ht="15.75" customHeight="1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</row>
    <row r="521" ht="15.75" customHeight="1">
      <c r="A521" s="225"/>
      <c r="B521" s="225"/>
      <c r="C521" s="225"/>
      <c r="D521" s="225"/>
      <c r="E521" s="225"/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</row>
    <row r="522" ht="15.75" customHeight="1">
      <c r="A522" s="225"/>
      <c r="B522" s="225"/>
      <c r="C522" s="225"/>
      <c r="D522" s="225"/>
      <c r="E522" s="225"/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</row>
    <row r="523" ht="15.75" customHeight="1">
      <c r="A523" s="225"/>
      <c r="B523" s="225"/>
      <c r="C523" s="225"/>
      <c r="D523" s="225"/>
      <c r="E523" s="225"/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</row>
    <row r="524" ht="15.75" customHeight="1">
      <c r="A524" s="225"/>
      <c r="B524" s="225"/>
      <c r="C524" s="225"/>
      <c r="D524" s="225"/>
      <c r="E524" s="225"/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</row>
    <row r="525" ht="15.75" customHeight="1">
      <c r="A525" s="225"/>
      <c r="B525" s="225"/>
      <c r="C525" s="225"/>
      <c r="D525" s="225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</row>
    <row r="526" ht="15.75" customHeight="1">
      <c r="A526" s="225"/>
      <c r="B526" s="225"/>
      <c r="C526" s="225"/>
      <c r="D526" s="225"/>
      <c r="E526" s="225"/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</row>
    <row r="527" ht="15.75" customHeight="1">
      <c r="A527" s="225"/>
      <c r="B527" s="225"/>
      <c r="C527" s="225"/>
      <c r="D527" s="225"/>
      <c r="E527" s="225"/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</row>
    <row r="528" ht="15.75" customHeight="1">
      <c r="A528" s="225"/>
      <c r="B528" s="225"/>
      <c r="C528" s="225"/>
      <c r="D528" s="225"/>
      <c r="E528" s="225"/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</row>
    <row r="529" ht="15.75" customHeight="1">
      <c r="A529" s="225"/>
      <c r="B529" s="225"/>
      <c r="C529" s="225"/>
      <c r="D529" s="225"/>
      <c r="E529" s="225"/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</row>
    <row r="530" ht="15.75" customHeight="1">
      <c r="A530" s="225"/>
      <c r="B530" s="225"/>
      <c r="C530" s="225"/>
      <c r="D530" s="225"/>
      <c r="E530" s="225"/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</row>
    <row r="531" ht="15.75" customHeight="1">
      <c r="A531" s="225"/>
      <c r="B531" s="225"/>
      <c r="C531" s="225"/>
      <c r="D531" s="225"/>
      <c r="E531" s="225"/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</row>
    <row r="532" ht="15.75" customHeight="1">
      <c r="A532" s="225"/>
      <c r="B532" s="225"/>
      <c r="C532" s="225"/>
      <c r="D532" s="225"/>
      <c r="E532" s="225"/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</row>
    <row r="533" ht="15.75" customHeight="1">
      <c r="A533" s="225"/>
      <c r="B533" s="225"/>
      <c r="C533" s="225"/>
      <c r="D533" s="225"/>
      <c r="E533" s="225"/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</row>
    <row r="534" ht="15.75" customHeight="1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</row>
    <row r="535" ht="15.75" customHeight="1">
      <c r="A535" s="225"/>
      <c r="B535" s="225"/>
      <c r="C535" s="225"/>
      <c r="D535" s="225"/>
      <c r="E535" s="225"/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</row>
    <row r="536" ht="15.75" customHeight="1">
      <c r="A536" s="225"/>
      <c r="B536" s="225"/>
      <c r="C536" s="225"/>
      <c r="D536" s="225"/>
      <c r="E536" s="225"/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</row>
    <row r="537" ht="15.75" customHeight="1">
      <c r="A537" s="225"/>
      <c r="B537" s="225"/>
      <c r="C537" s="225"/>
      <c r="D537" s="225"/>
      <c r="E537" s="225"/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</row>
    <row r="538" ht="15.75" customHeight="1">
      <c r="A538" s="225"/>
      <c r="B538" s="225"/>
      <c r="C538" s="225"/>
      <c r="D538" s="225"/>
      <c r="E538" s="225"/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</row>
    <row r="539" ht="15.75" customHeight="1">
      <c r="A539" s="225"/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</row>
    <row r="540" ht="15.75" customHeight="1">
      <c r="A540" s="225"/>
      <c r="B540" s="225"/>
      <c r="C540" s="225"/>
      <c r="D540" s="225"/>
      <c r="E540" s="225"/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</row>
    <row r="541" ht="15.75" customHeight="1">
      <c r="A541" s="225"/>
      <c r="B541" s="225"/>
      <c r="C541" s="225"/>
      <c r="D541" s="225"/>
      <c r="E541" s="225"/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</row>
    <row r="542" ht="15.75" customHeight="1">
      <c r="A542" s="225"/>
      <c r="B542" s="225"/>
      <c r="C542" s="225"/>
      <c r="D542" s="225"/>
      <c r="E542" s="225"/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</row>
    <row r="543" ht="15.75" customHeight="1">
      <c r="A543" s="225"/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</row>
    <row r="544" ht="15.75" customHeight="1">
      <c r="A544" s="225"/>
      <c r="B544" s="225"/>
      <c r="C544" s="225"/>
      <c r="D544" s="225"/>
      <c r="E544" s="225"/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</row>
    <row r="545" ht="15.75" customHeight="1">
      <c r="A545" s="225"/>
      <c r="B545" s="225"/>
      <c r="C545" s="225"/>
      <c r="D545" s="225"/>
      <c r="E545" s="225"/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</row>
    <row r="546" ht="15.75" customHeight="1">
      <c r="A546" s="225"/>
      <c r="B546" s="225"/>
      <c r="C546" s="225"/>
      <c r="D546" s="225"/>
      <c r="E546" s="225"/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</row>
    <row r="547" ht="15.75" customHeight="1">
      <c r="A547" s="225"/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</row>
    <row r="548" ht="15.75" customHeight="1">
      <c r="A548" s="225"/>
      <c r="B548" s="225"/>
      <c r="C548" s="225"/>
      <c r="D548" s="225"/>
      <c r="E548" s="225"/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</row>
    <row r="549" ht="15.75" customHeight="1">
      <c r="A549" s="225"/>
      <c r="B549" s="225"/>
      <c r="C549" s="225"/>
      <c r="D549" s="225"/>
      <c r="E549" s="225"/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</row>
    <row r="550" ht="15.75" customHeight="1">
      <c r="A550" s="225"/>
      <c r="B550" s="225"/>
      <c r="C550" s="225"/>
      <c r="D550" s="225"/>
      <c r="E550" s="225"/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</row>
    <row r="551" ht="15.75" customHeight="1">
      <c r="A551" s="225"/>
      <c r="B551" s="225"/>
      <c r="C551" s="225"/>
      <c r="D551" s="225"/>
      <c r="E551" s="225"/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</row>
    <row r="552" ht="15.75" customHeight="1">
      <c r="A552" s="225"/>
      <c r="B552" s="225"/>
      <c r="C552" s="225"/>
      <c r="D552" s="225"/>
      <c r="E552" s="225"/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</row>
    <row r="553" ht="15.75" customHeight="1">
      <c r="A553" s="225"/>
      <c r="B553" s="225"/>
      <c r="C553" s="225"/>
      <c r="D553" s="225"/>
      <c r="E553" s="225"/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</row>
    <row r="554" ht="15.75" customHeight="1">
      <c r="A554" s="225"/>
      <c r="B554" s="225"/>
      <c r="C554" s="225"/>
      <c r="D554" s="225"/>
      <c r="E554" s="225"/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</row>
    <row r="555" ht="15.75" customHeight="1">
      <c r="A555" s="225"/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</row>
    <row r="556" ht="15.75" customHeight="1">
      <c r="A556" s="225"/>
      <c r="B556" s="225"/>
      <c r="C556" s="225"/>
      <c r="D556" s="225"/>
      <c r="E556" s="225"/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</row>
    <row r="557" ht="15.75" customHeight="1">
      <c r="A557" s="225"/>
      <c r="B557" s="225"/>
      <c r="C557" s="225"/>
      <c r="D557" s="225"/>
      <c r="E557" s="225"/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</row>
    <row r="558" ht="15.75" customHeight="1">
      <c r="A558" s="225"/>
      <c r="B558" s="225"/>
      <c r="C558" s="225"/>
      <c r="D558" s="225"/>
      <c r="E558" s="225"/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</row>
    <row r="559" ht="15.75" customHeight="1">
      <c r="A559" s="225"/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</row>
    <row r="560" ht="15.75" customHeight="1">
      <c r="A560" s="225"/>
      <c r="B560" s="225"/>
      <c r="C560" s="225"/>
      <c r="D560" s="225"/>
      <c r="E560" s="225"/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</row>
    <row r="561" ht="15.75" customHeight="1">
      <c r="A561" s="225"/>
      <c r="B561" s="225"/>
      <c r="C561" s="225"/>
      <c r="D561" s="225"/>
      <c r="E561" s="225"/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</row>
    <row r="562" ht="15.75" customHeight="1">
      <c r="A562" s="225"/>
      <c r="B562" s="225"/>
      <c r="C562" s="225"/>
      <c r="D562" s="225"/>
      <c r="E562" s="225"/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</row>
    <row r="563" ht="15.75" customHeight="1">
      <c r="A563" s="225"/>
      <c r="B563" s="225"/>
      <c r="C563" s="225"/>
      <c r="D563" s="225"/>
      <c r="E563" s="225"/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</row>
    <row r="564" ht="15.75" customHeight="1">
      <c r="A564" s="225"/>
      <c r="B564" s="225"/>
      <c r="C564" s="225"/>
      <c r="D564" s="225"/>
      <c r="E564" s="225"/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</row>
    <row r="565" ht="15.75" customHeight="1">
      <c r="A565" s="225"/>
      <c r="B565" s="225"/>
      <c r="C565" s="225"/>
      <c r="D565" s="225"/>
      <c r="E565" s="225"/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</row>
    <row r="566" ht="15.75" customHeight="1">
      <c r="A566" s="225"/>
      <c r="B566" s="225"/>
      <c r="C566" s="225"/>
      <c r="D566" s="225"/>
      <c r="E566" s="225"/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</row>
    <row r="567" ht="15.75" customHeight="1">
      <c r="A567" s="225"/>
      <c r="B567" s="225"/>
      <c r="C567" s="225"/>
      <c r="D567" s="225"/>
      <c r="E567" s="225"/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</row>
    <row r="568" ht="15.75" customHeight="1">
      <c r="A568" s="225"/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</row>
    <row r="569" ht="15.75" customHeight="1">
      <c r="A569" s="225"/>
      <c r="B569" s="225"/>
      <c r="C569" s="225"/>
      <c r="D569" s="225"/>
      <c r="E569" s="225"/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</row>
    <row r="570" ht="15.75" customHeight="1">
      <c r="A570" s="225"/>
      <c r="B570" s="225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</row>
    <row r="571" ht="15.75" customHeight="1">
      <c r="A571" s="225"/>
      <c r="B571" s="225"/>
      <c r="C571" s="225"/>
      <c r="D571" s="225"/>
      <c r="E571" s="225"/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</row>
    <row r="572" ht="15.75" customHeight="1">
      <c r="A572" s="225"/>
      <c r="B572" s="225"/>
      <c r="C572" s="225"/>
      <c r="D572" s="225"/>
      <c r="E572" s="225"/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</row>
    <row r="573" ht="15.75" customHeight="1">
      <c r="A573" s="225"/>
      <c r="B573" s="225"/>
      <c r="C573" s="225"/>
      <c r="D573" s="225"/>
      <c r="E573" s="225"/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</row>
    <row r="574" ht="15.75" customHeight="1">
      <c r="A574" s="225"/>
      <c r="B574" s="225"/>
      <c r="C574" s="225"/>
      <c r="D574" s="225"/>
      <c r="E574" s="225"/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</row>
    <row r="575" ht="15.75" customHeight="1">
      <c r="A575" s="225"/>
      <c r="B575" s="225"/>
      <c r="C575" s="225"/>
      <c r="D575" s="225"/>
      <c r="E575" s="225"/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</row>
    <row r="576" ht="15.75" customHeight="1">
      <c r="A576" s="225"/>
      <c r="B576" s="225"/>
      <c r="C576" s="225"/>
      <c r="D576" s="225"/>
      <c r="E576" s="225"/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</row>
    <row r="577" ht="15.75" customHeight="1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</row>
    <row r="578" ht="15.75" customHeight="1">
      <c r="A578" s="225"/>
      <c r="B578" s="225"/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</row>
    <row r="579" ht="15.75" customHeight="1">
      <c r="A579" s="225"/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</row>
    <row r="580" ht="15.75" customHeight="1">
      <c r="A580" s="225"/>
      <c r="B580" s="225"/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</row>
    <row r="581" ht="15.75" customHeight="1">
      <c r="A581" s="225"/>
      <c r="B581" s="225"/>
      <c r="C581" s="225"/>
      <c r="D581" s="225"/>
      <c r="E581" s="225"/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</row>
    <row r="582" ht="15.75" customHeight="1">
      <c r="A582" s="225"/>
      <c r="B582" s="225"/>
      <c r="C582" s="225"/>
      <c r="D582" s="225"/>
      <c r="E582" s="225"/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</row>
    <row r="583" ht="15.75" customHeight="1">
      <c r="A583" s="225"/>
      <c r="B583" s="225"/>
      <c r="C583" s="225"/>
      <c r="D583" s="225"/>
      <c r="E583" s="225"/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</row>
    <row r="584" ht="15.75" customHeight="1">
      <c r="A584" s="225"/>
      <c r="B584" s="225"/>
      <c r="C584" s="225"/>
      <c r="D584" s="225"/>
      <c r="E584" s="225"/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</row>
    <row r="585" ht="15.75" customHeight="1">
      <c r="A585" s="225"/>
      <c r="B585" s="225"/>
      <c r="C585" s="225"/>
      <c r="D585" s="225"/>
      <c r="E585" s="225"/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</row>
    <row r="586" ht="15.75" customHeight="1">
      <c r="A586" s="225"/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</row>
    <row r="587" ht="15.75" customHeight="1">
      <c r="A587" s="225"/>
      <c r="B587" s="225"/>
      <c r="C587" s="225"/>
      <c r="D587" s="225"/>
      <c r="E587" s="225"/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</row>
    <row r="588" ht="15.75" customHeight="1">
      <c r="A588" s="225"/>
      <c r="B588" s="225"/>
      <c r="C588" s="225"/>
      <c r="D588" s="225"/>
      <c r="E588" s="225"/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</row>
    <row r="589" ht="15.75" customHeight="1">
      <c r="A589" s="225"/>
      <c r="B589" s="225"/>
      <c r="C589" s="225"/>
      <c r="D589" s="225"/>
      <c r="E589" s="225"/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</row>
    <row r="590" ht="15.75" customHeight="1">
      <c r="A590" s="225"/>
      <c r="B590" s="225"/>
      <c r="C590" s="225"/>
      <c r="D590" s="225"/>
      <c r="E590" s="225"/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</row>
    <row r="591" ht="15.75" customHeight="1">
      <c r="A591" s="225"/>
      <c r="B591" s="225"/>
      <c r="C591" s="225"/>
      <c r="D591" s="225"/>
      <c r="E591" s="225"/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</row>
    <row r="592" ht="15.75" customHeight="1">
      <c r="A592" s="225"/>
      <c r="B592" s="225"/>
      <c r="C592" s="225"/>
      <c r="D592" s="225"/>
      <c r="E592" s="225"/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</row>
    <row r="593" ht="15.75" customHeight="1">
      <c r="A593" s="225"/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</row>
    <row r="594" ht="15.75" customHeight="1">
      <c r="A594" s="225"/>
      <c r="B594" s="225"/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</row>
    <row r="595" ht="15.75" customHeight="1">
      <c r="A595" s="225"/>
      <c r="B595" s="225"/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</row>
    <row r="596" ht="15.75" customHeight="1">
      <c r="A596" s="225"/>
      <c r="B596" s="225"/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</row>
    <row r="597" ht="15.75" customHeight="1">
      <c r="A597" s="225"/>
      <c r="B597" s="225"/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</row>
    <row r="598" ht="15.75" customHeight="1">
      <c r="A598" s="225"/>
      <c r="B598" s="225"/>
      <c r="C598" s="225"/>
      <c r="D598" s="225"/>
      <c r="E598" s="225"/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</row>
    <row r="599" ht="15.75" customHeight="1">
      <c r="A599" s="225"/>
      <c r="B599" s="225"/>
      <c r="C599" s="225"/>
      <c r="D599" s="225"/>
      <c r="E599" s="225"/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</row>
    <row r="600" ht="15.75" customHeight="1">
      <c r="A600" s="225"/>
      <c r="B600" s="225"/>
      <c r="C600" s="225"/>
      <c r="D600" s="225"/>
      <c r="E600" s="225"/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</row>
    <row r="601" ht="15.75" customHeight="1">
      <c r="A601" s="225"/>
      <c r="B601" s="225"/>
      <c r="C601" s="225"/>
      <c r="D601" s="225"/>
      <c r="E601" s="225"/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</row>
    <row r="602" ht="15.75" customHeight="1">
      <c r="A602" s="225"/>
      <c r="B602" s="225"/>
      <c r="C602" s="225"/>
      <c r="D602" s="225"/>
      <c r="E602" s="225"/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</row>
    <row r="603" ht="15.75" customHeight="1">
      <c r="A603" s="225"/>
      <c r="B603" s="225"/>
      <c r="C603" s="225"/>
      <c r="D603" s="225"/>
      <c r="E603" s="225"/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</row>
    <row r="604" ht="15.75" customHeight="1">
      <c r="A604" s="225"/>
      <c r="B604" s="225"/>
      <c r="C604" s="225"/>
      <c r="D604" s="225"/>
      <c r="E604" s="225"/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</row>
    <row r="605" ht="15.75" customHeight="1">
      <c r="A605" s="225"/>
      <c r="B605" s="225"/>
      <c r="C605" s="225"/>
      <c r="D605" s="225"/>
      <c r="E605" s="225"/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</row>
    <row r="606" ht="15.75" customHeight="1">
      <c r="A606" s="225"/>
      <c r="B606" s="225"/>
      <c r="C606" s="225"/>
      <c r="D606" s="225"/>
      <c r="E606" s="225"/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</row>
    <row r="607" ht="15.75" customHeight="1">
      <c r="A607" s="225"/>
      <c r="B607" s="225"/>
      <c r="C607" s="225"/>
      <c r="D607" s="225"/>
      <c r="E607" s="225"/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</row>
    <row r="608" ht="15.75" customHeight="1">
      <c r="A608" s="225"/>
      <c r="B608" s="225"/>
      <c r="C608" s="225"/>
      <c r="D608" s="225"/>
      <c r="E608" s="225"/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</row>
    <row r="609" ht="15.75" customHeight="1">
      <c r="A609" s="225"/>
      <c r="B609" s="225"/>
      <c r="C609" s="225"/>
      <c r="D609" s="225"/>
      <c r="E609" s="225"/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</row>
    <row r="610" ht="15.75" customHeight="1">
      <c r="A610" s="225"/>
      <c r="B610" s="225"/>
      <c r="C610" s="225"/>
      <c r="D610" s="225"/>
      <c r="E610" s="225"/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</row>
    <row r="611" ht="15.75" customHeight="1">
      <c r="A611" s="225"/>
      <c r="B611" s="225"/>
      <c r="C611" s="225"/>
      <c r="D611" s="225"/>
      <c r="E611" s="225"/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</row>
    <row r="612" ht="15.75" customHeight="1">
      <c r="A612" s="225"/>
      <c r="B612" s="225"/>
      <c r="C612" s="225"/>
      <c r="D612" s="225"/>
      <c r="E612" s="225"/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</row>
    <row r="613" ht="15.75" customHeight="1">
      <c r="A613" s="225"/>
      <c r="B613" s="225"/>
      <c r="C613" s="225"/>
      <c r="D613" s="225"/>
      <c r="E613" s="225"/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</row>
    <row r="614" ht="15.75" customHeight="1">
      <c r="A614" s="225"/>
      <c r="B614" s="225"/>
      <c r="C614" s="225"/>
      <c r="D614" s="225"/>
      <c r="E614" s="225"/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</row>
    <row r="615" ht="15.75" customHeight="1">
      <c r="A615" s="225"/>
      <c r="B615" s="225"/>
      <c r="C615" s="225"/>
      <c r="D615" s="225"/>
      <c r="E615" s="225"/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</row>
    <row r="616" ht="15.75" customHeight="1">
      <c r="A616" s="225"/>
      <c r="B616" s="225"/>
      <c r="C616" s="225"/>
      <c r="D616" s="225"/>
      <c r="E616" s="225"/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</row>
    <row r="617" ht="15.75" customHeight="1">
      <c r="A617" s="225"/>
      <c r="B617" s="225"/>
      <c r="C617" s="225"/>
      <c r="D617" s="225"/>
      <c r="E617" s="225"/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</row>
    <row r="618" ht="15.75" customHeight="1">
      <c r="A618" s="225"/>
      <c r="B618" s="225"/>
      <c r="C618" s="225"/>
      <c r="D618" s="225"/>
      <c r="E618" s="225"/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</row>
    <row r="619" ht="15.75" customHeight="1">
      <c r="A619" s="225"/>
      <c r="B619" s="225"/>
      <c r="C619" s="225"/>
      <c r="D619" s="225"/>
      <c r="E619" s="225"/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</row>
    <row r="620" ht="15.75" customHeight="1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</row>
    <row r="621" ht="15.75" customHeight="1">
      <c r="A621" s="225"/>
      <c r="B621" s="225"/>
      <c r="C621" s="225"/>
      <c r="D621" s="225"/>
      <c r="E621" s="225"/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</row>
    <row r="622" ht="15.75" customHeight="1">
      <c r="A622" s="225"/>
      <c r="B622" s="225"/>
      <c r="C622" s="225"/>
      <c r="D622" s="225"/>
      <c r="E622" s="225"/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</row>
    <row r="623" ht="15.75" customHeight="1">
      <c r="A623" s="225"/>
      <c r="B623" s="225"/>
      <c r="C623" s="225"/>
      <c r="D623" s="225"/>
      <c r="E623" s="225"/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</row>
    <row r="624" ht="15.75" customHeight="1">
      <c r="A624" s="225"/>
      <c r="B624" s="225"/>
      <c r="C624" s="225"/>
      <c r="D624" s="225"/>
      <c r="E624" s="225"/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</row>
    <row r="625" ht="15.75" customHeight="1">
      <c r="A625" s="225"/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</row>
    <row r="626" ht="15.75" customHeight="1">
      <c r="A626" s="225"/>
      <c r="B626" s="225"/>
      <c r="C626" s="225"/>
      <c r="D626" s="225"/>
      <c r="E626" s="225"/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</row>
    <row r="627" ht="15.75" customHeight="1">
      <c r="A627" s="225"/>
      <c r="B627" s="225"/>
      <c r="C627" s="225"/>
      <c r="D627" s="225"/>
      <c r="E627" s="225"/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</row>
    <row r="628" ht="15.75" customHeight="1">
      <c r="A628" s="225"/>
      <c r="B628" s="225"/>
      <c r="C628" s="225"/>
      <c r="D628" s="225"/>
      <c r="E628" s="225"/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</row>
    <row r="629" ht="15.75" customHeight="1">
      <c r="A629" s="225"/>
      <c r="B629" s="225"/>
      <c r="C629" s="225"/>
      <c r="D629" s="225"/>
      <c r="E629" s="225"/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</row>
    <row r="630" ht="15.75" customHeight="1">
      <c r="A630" s="225"/>
      <c r="B630" s="225"/>
      <c r="C630" s="225"/>
      <c r="D630" s="225"/>
      <c r="E630" s="225"/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</row>
    <row r="631" ht="15.75" customHeight="1">
      <c r="A631" s="225"/>
      <c r="B631" s="225"/>
      <c r="C631" s="225"/>
      <c r="D631" s="225"/>
      <c r="E631" s="225"/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</row>
    <row r="632" ht="15.75" customHeight="1">
      <c r="A632" s="225"/>
      <c r="B632" s="225"/>
      <c r="C632" s="225"/>
      <c r="D632" s="225"/>
      <c r="E632" s="225"/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</row>
    <row r="633" ht="15.75" customHeight="1">
      <c r="A633" s="225"/>
      <c r="B633" s="225"/>
      <c r="C633" s="225"/>
      <c r="D633" s="225"/>
      <c r="E633" s="225"/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</row>
    <row r="634" ht="15.75" customHeight="1">
      <c r="A634" s="225"/>
      <c r="B634" s="225"/>
      <c r="C634" s="225"/>
      <c r="D634" s="225"/>
      <c r="E634" s="225"/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</row>
    <row r="635" ht="15.75" customHeight="1">
      <c r="A635" s="225"/>
      <c r="B635" s="225"/>
      <c r="C635" s="225"/>
      <c r="D635" s="225"/>
      <c r="E635" s="225"/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</row>
    <row r="636" ht="15.75" customHeight="1">
      <c r="A636" s="225"/>
      <c r="B636" s="225"/>
      <c r="C636" s="225"/>
      <c r="D636" s="225"/>
      <c r="E636" s="225"/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</row>
    <row r="637" ht="15.75" customHeight="1">
      <c r="A637" s="225"/>
      <c r="B637" s="225"/>
      <c r="C637" s="225"/>
      <c r="D637" s="225"/>
      <c r="E637" s="225"/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</row>
    <row r="638" ht="15.75" customHeight="1">
      <c r="A638" s="225"/>
      <c r="B638" s="225"/>
      <c r="C638" s="225"/>
      <c r="D638" s="225"/>
      <c r="E638" s="225"/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</row>
    <row r="639" ht="15.75" customHeight="1">
      <c r="A639" s="225"/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</row>
    <row r="640" ht="15.75" customHeight="1">
      <c r="A640" s="225"/>
      <c r="B640" s="225"/>
      <c r="C640" s="225"/>
      <c r="D640" s="225"/>
      <c r="E640" s="225"/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</row>
    <row r="641" ht="15.75" customHeight="1">
      <c r="A641" s="225"/>
      <c r="B641" s="225"/>
      <c r="C641" s="225"/>
      <c r="D641" s="225"/>
      <c r="E641" s="225"/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</row>
    <row r="642" ht="15.75" customHeight="1">
      <c r="A642" s="225"/>
      <c r="B642" s="225"/>
      <c r="C642" s="225"/>
      <c r="D642" s="225"/>
      <c r="E642" s="225"/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</row>
    <row r="643" ht="15.75" customHeight="1">
      <c r="A643" s="225"/>
      <c r="B643" s="225"/>
      <c r="C643" s="225"/>
      <c r="D643" s="225"/>
      <c r="E643" s="225"/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</row>
    <row r="644" ht="15.75" customHeight="1">
      <c r="A644" s="225"/>
      <c r="B644" s="225"/>
      <c r="C644" s="225"/>
      <c r="D644" s="225"/>
      <c r="E644" s="225"/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</row>
    <row r="645" ht="15.75" customHeight="1">
      <c r="A645" s="225"/>
      <c r="B645" s="225"/>
      <c r="C645" s="225"/>
      <c r="D645" s="225"/>
      <c r="E645" s="225"/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</row>
    <row r="646" ht="15.75" customHeight="1">
      <c r="A646" s="225"/>
      <c r="B646" s="225"/>
      <c r="C646" s="225"/>
      <c r="D646" s="225"/>
      <c r="E646" s="225"/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</row>
    <row r="647" ht="15.75" customHeight="1">
      <c r="A647" s="225"/>
      <c r="B647" s="225"/>
      <c r="C647" s="225"/>
      <c r="D647" s="225"/>
      <c r="E647" s="225"/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</row>
    <row r="648" ht="15.75" customHeight="1">
      <c r="A648" s="225"/>
      <c r="B648" s="225"/>
      <c r="C648" s="225"/>
      <c r="D648" s="225"/>
      <c r="E648" s="225"/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</row>
    <row r="649" ht="15.75" customHeight="1">
      <c r="A649" s="225"/>
      <c r="B649" s="225"/>
      <c r="C649" s="225"/>
      <c r="D649" s="225"/>
      <c r="E649" s="225"/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</row>
    <row r="650" ht="15.75" customHeight="1">
      <c r="A650" s="225"/>
      <c r="B650" s="225"/>
      <c r="C650" s="225"/>
      <c r="D650" s="225"/>
      <c r="E650" s="225"/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</row>
    <row r="651" ht="15.75" customHeight="1">
      <c r="A651" s="225"/>
      <c r="B651" s="225"/>
      <c r="C651" s="225"/>
      <c r="D651" s="225"/>
      <c r="E651" s="225"/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</row>
    <row r="652" ht="15.75" customHeight="1">
      <c r="A652" s="225"/>
      <c r="B652" s="225"/>
      <c r="C652" s="225"/>
      <c r="D652" s="225"/>
      <c r="E652" s="225"/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</row>
    <row r="653" ht="15.75" customHeight="1">
      <c r="A653" s="225"/>
      <c r="B653" s="225"/>
      <c r="C653" s="225"/>
      <c r="D653" s="225"/>
      <c r="E653" s="225"/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</row>
    <row r="654" ht="15.75" customHeight="1">
      <c r="A654" s="225"/>
      <c r="B654" s="225"/>
      <c r="C654" s="225"/>
      <c r="D654" s="225"/>
      <c r="E654" s="225"/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</row>
    <row r="655" ht="15.75" customHeight="1">
      <c r="A655" s="225"/>
      <c r="B655" s="225"/>
      <c r="C655" s="225"/>
      <c r="D655" s="225"/>
      <c r="E655" s="225"/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</row>
    <row r="656" ht="15.75" customHeight="1">
      <c r="A656" s="225"/>
      <c r="B656" s="225"/>
      <c r="C656" s="225"/>
      <c r="D656" s="225"/>
      <c r="E656" s="225"/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</row>
    <row r="657" ht="15.75" customHeight="1">
      <c r="A657" s="225"/>
      <c r="B657" s="225"/>
      <c r="C657" s="225"/>
      <c r="D657" s="225"/>
      <c r="E657" s="225"/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</row>
    <row r="658" ht="15.75" customHeight="1">
      <c r="A658" s="225"/>
      <c r="B658" s="225"/>
      <c r="C658" s="225"/>
      <c r="D658" s="225"/>
      <c r="E658" s="225"/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</row>
    <row r="659" ht="15.75" customHeight="1">
      <c r="A659" s="225"/>
      <c r="B659" s="225"/>
      <c r="C659" s="225"/>
      <c r="D659" s="225"/>
      <c r="E659" s="225"/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</row>
    <row r="660" ht="15.75" customHeight="1">
      <c r="A660" s="225"/>
      <c r="B660" s="225"/>
      <c r="C660" s="225"/>
      <c r="D660" s="225"/>
      <c r="E660" s="225"/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</row>
    <row r="661" ht="15.75" customHeight="1">
      <c r="A661" s="225"/>
      <c r="B661" s="225"/>
      <c r="C661" s="225"/>
      <c r="D661" s="225"/>
      <c r="E661" s="225"/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</row>
    <row r="662" ht="15.75" customHeight="1">
      <c r="A662" s="225"/>
      <c r="B662" s="225"/>
      <c r="C662" s="225"/>
      <c r="D662" s="225"/>
      <c r="E662" s="225"/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</row>
    <row r="663" ht="15.75" customHeight="1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</row>
    <row r="664" ht="15.75" customHeight="1">
      <c r="A664" s="225"/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</row>
    <row r="665" ht="15.75" customHeight="1">
      <c r="A665" s="225"/>
      <c r="B665" s="225"/>
      <c r="C665" s="225"/>
      <c r="D665" s="225"/>
      <c r="E665" s="225"/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</row>
    <row r="666" ht="15.75" customHeight="1">
      <c r="A666" s="225"/>
      <c r="B666" s="225"/>
      <c r="C666" s="225"/>
      <c r="D666" s="225"/>
      <c r="E666" s="225"/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</row>
    <row r="667" ht="15.75" customHeight="1">
      <c r="A667" s="225"/>
      <c r="B667" s="225"/>
      <c r="C667" s="225"/>
      <c r="D667" s="225"/>
      <c r="E667" s="225"/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</row>
    <row r="668" ht="15.75" customHeight="1">
      <c r="A668" s="225"/>
      <c r="B668" s="225"/>
      <c r="C668" s="225"/>
      <c r="D668" s="225"/>
      <c r="E668" s="225"/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</row>
    <row r="669" ht="15.75" customHeight="1">
      <c r="A669" s="225"/>
      <c r="B669" s="225"/>
      <c r="C669" s="225"/>
      <c r="D669" s="225"/>
      <c r="E669" s="225"/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</row>
    <row r="670" ht="15.75" customHeight="1">
      <c r="A670" s="225"/>
      <c r="B670" s="225"/>
      <c r="C670" s="225"/>
      <c r="D670" s="225"/>
      <c r="E670" s="225"/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</row>
    <row r="671" ht="15.75" customHeight="1">
      <c r="A671" s="225"/>
      <c r="B671" s="225"/>
      <c r="C671" s="225"/>
      <c r="D671" s="225"/>
      <c r="E671" s="225"/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</row>
    <row r="672" ht="15.75" customHeight="1">
      <c r="A672" s="225"/>
      <c r="B672" s="225"/>
      <c r="C672" s="225"/>
      <c r="D672" s="225"/>
      <c r="E672" s="225"/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</row>
    <row r="673" ht="15.75" customHeight="1">
      <c r="A673" s="225"/>
      <c r="B673" s="225"/>
      <c r="C673" s="225"/>
      <c r="D673" s="225"/>
      <c r="E673" s="225"/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</row>
    <row r="674" ht="15.75" customHeight="1">
      <c r="A674" s="225"/>
      <c r="B674" s="225"/>
      <c r="C674" s="225"/>
      <c r="D674" s="225"/>
      <c r="E674" s="225"/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</row>
    <row r="675" ht="15.75" customHeight="1">
      <c r="A675" s="225"/>
      <c r="B675" s="225"/>
      <c r="C675" s="225"/>
      <c r="D675" s="225"/>
      <c r="E675" s="225"/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</row>
    <row r="676" ht="15.75" customHeight="1">
      <c r="A676" s="225"/>
      <c r="B676" s="225"/>
      <c r="C676" s="225"/>
      <c r="D676" s="225"/>
      <c r="E676" s="225"/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</row>
    <row r="677" ht="15.75" customHeight="1">
      <c r="A677" s="225"/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</row>
    <row r="678" ht="15.75" customHeight="1">
      <c r="A678" s="225"/>
      <c r="B678" s="225"/>
      <c r="C678" s="225"/>
      <c r="D678" s="225"/>
      <c r="E678" s="225"/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</row>
    <row r="679" ht="15.75" customHeight="1">
      <c r="A679" s="225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</row>
    <row r="680" ht="15.75" customHeight="1">
      <c r="A680" s="225"/>
      <c r="B680" s="225"/>
      <c r="C680" s="225"/>
      <c r="D680" s="225"/>
      <c r="E680" s="225"/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</row>
    <row r="681" ht="15.75" customHeight="1">
      <c r="A681" s="225"/>
      <c r="B681" s="225"/>
      <c r="C681" s="225"/>
      <c r="D681" s="225"/>
      <c r="E681" s="225"/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</row>
    <row r="682" ht="15.75" customHeight="1">
      <c r="A682" s="225"/>
      <c r="B682" s="225"/>
      <c r="C682" s="225"/>
      <c r="D682" s="225"/>
      <c r="E682" s="225"/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</row>
    <row r="683" ht="15.75" customHeight="1">
      <c r="A683" s="225"/>
      <c r="B683" s="225"/>
      <c r="C683" s="225"/>
      <c r="D683" s="225"/>
      <c r="E683" s="225"/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</row>
    <row r="684" ht="15.75" customHeight="1">
      <c r="A684" s="225"/>
      <c r="B684" s="225"/>
      <c r="C684" s="225"/>
      <c r="D684" s="225"/>
      <c r="E684" s="225"/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</row>
    <row r="685" ht="15.75" customHeight="1">
      <c r="A685" s="225"/>
      <c r="B685" s="225"/>
      <c r="C685" s="225"/>
      <c r="D685" s="225"/>
      <c r="E685" s="225"/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</row>
    <row r="686" ht="15.75" customHeight="1">
      <c r="A686" s="225"/>
      <c r="B686" s="225"/>
      <c r="C686" s="225"/>
      <c r="D686" s="225"/>
      <c r="E686" s="225"/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</row>
    <row r="687" ht="15.75" customHeight="1">
      <c r="A687" s="225"/>
      <c r="B687" s="225"/>
      <c r="C687" s="225"/>
      <c r="D687" s="225"/>
      <c r="E687" s="225"/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</row>
    <row r="688" ht="15.75" customHeight="1">
      <c r="A688" s="225"/>
      <c r="B688" s="225"/>
      <c r="C688" s="225"/>
      <c r="D688" s="225"/>
      <c r="E688" s="225"/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</row>
    <row r="689" ht="15.75" customHeight="1">
      <c r="A689" s="225"/>
      <c r="B689" s="225"/>
      <c r="C689" s="225"/>
      <c r="D689" s="225"/>
      <c r="E689" s="225"/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</row>
    <row r="690" ht="15.75" customHeight="1">
      <c r="A690" s="225"/>
      <c r="B690" s="225"/>
      <c r="C690" s="225"/>
      <c r="D690" s="225"/>
      <c r="E690" s="225"/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</row>
    <row r="691" ht="15.75" customHeight="1">
      <c r="A691" s="225"/>
      <c r="B691" s="225"/>
      <c r="C691" s="225"/>
      <c r="D691" s="225"/>
      <c r="E691" s="225"/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</row>
    <row r="692" ht="15.75" customHeight="1">
      <c r="A692" s="225"/>
      <c r="B692" s="225"/>
      <c r="C692" s="225"/>
      <c r="D692" s="225"/>
      <c r="E692" s="225"/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</row>
    <row r="693" ht="15.75" customHeight="1">
      <c r="A693" s="225"/>
      <c r="B693" s="225"/>
      <c r="C693" s="225"/>
      <c r="D693" s="225"/>
      <c r="E693" s="225"/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</row>
    <row r="694" ht="15.75" customHeight="1">
      <c r="A694" s="225"/>
      <c r="B694" s="225"/>
      <c r="C694" s="225"/>
      <c r="D694" s="225"/>
      <c r="E694" s="225"/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</row>
    <row r="695" ht="15.75" customHeight="1">
      <c r="A695" s="225"/>
      <c r="B695" s="225"/>
      <c r="C695" s="225"/>
      <c r="D695" s="225"/>
      <c r="E695" s="225"/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</row>
    <row r="696" ht="15.75" customHeight="1">
      <c r="A696" s="225"/>
      <c r="B696" s="225"/>
      <c r="C696" s="225"/>
      <c r="D696" s="225"/>
      <c r="E696" s="225"/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</row>
    <row r="697" ht="15.75" customHeight="1">
      <c r="A697" s="225"/>
      <c r="B697" s="225"/>
      <c r="C697" s="225"/>
      <c r="D697" s="225"/>
      <c r="E697" s="225"/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</row>
    <row r="698" ht="15.75" customHeight="1">
      <c r="A698" s="225"/>
      <c r="B698" s="225"/>
      <c r="C698" s="225"/>
      <c r="D698" s="225"/>
      <c r="E698" s="225"/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</row>
    <row r="699" ht="15.75" customHeight="1">
      <c r="A699" s="225"/>
      <c r="B699" s="225"/>
      <c r="C699" s="225"/>
      <c r="D699" s="225"/>
      <c r="E699" s="225"/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</row>
    <row r="700" ht="15.75" customHeight="1">
      <c r="A700" s="225"/>
      <c r="B700" s="225"/>
      <c r="C700" s="225"/>
      <c r="D700" s="225"/>
      <c r="E700" s="225"/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</row>
    <row r="701" ht="15.75" customHeight="1">
      <c r="A701" s="225"/>
      <c r="B701" s="225"/>
      <c r="C701" s="225"/>
      <c r="D701" s="225"/>
      <c r="E701" s="225"/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</row>
    <row r="702" ht="15.75" customHeight="1">
      <c r="A702" s="225"/>
      <c r="B702" s="225"/>
      <c r="C702" s="225"/>
      <c r="D702" s="225"/>
      <c r="E702" s="225"/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</row>
    <row r="703" ht="15.75" customHeight="1">
      <c r="A703" s="225"/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</row>
    <row r="704" ht="15.75" customHeight="1">
      <c r="A704" s="225"/>
      <c r="B704" s="225"/>
      <c r="C704" s="225"/>
      <c r="D704" s="225"/>
      <c r="E704" s="225"/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</row>
    <row r="705" ht="15.75" customHeight="1">
      <c r="A705" s="225"/>
      <c r="B705" s="225"/>
      <c r="C705" s="225"/>
      <c r="D705" s="225"/>
      <c r="E705" s="225"/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</row>
    <row r="706" ht="15.75" customHeight="1">
      <c r="A706" s="225"/>
      <c r="B706" s="225"/>
      <c r="C706" s="225"/>
      <c r="D706" s="225"/>
      <c r="E706" s="225"/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</row>
    <row r="707" ht="15.75" customHeight="1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</row>
    <row r="708" ht="15.75" customHeight="1">
      <c r="A708" s="225"/>
      <c r="B708" s="225"/>
      <c r="C708" s="225"/>
      <c r="D708" s="225"/>
      <c r="E708" s="225"/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</row>
    <row r="709" ht="15.75" customHeight="1">
      <c r="A709" s="225"/>
      <c r="B709" s="225"/>
      <c r="C709" s="225"/>
      <c r="D709" s="225"/>
      <c r="E709" s="225"/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</row>
    <row r="710" ht="15.75" customHeight="1">
      <c r="A710" s="225"/>
      <c r="B710" s="225"/>
      <c r="C710" s="225"/>
      <c r="D710" s="225"/>
      <c r="E710" s="225"/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</row>
    <row r="711" ht="15.75" customHeight="1">
      <c r="A711" s="225"/>
      <c r="B711" s="225"/>
      <c r="C711" s="225"/>
      <c r="D711" s="225"/>
      <c r="E711" s="225"/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</row>
    <row r="712" ht="15.75" customHeight="1">
      <c r="A712" s="225"/>
      <c r="B712" s="225"/>
      <c r="C712" s="225"/>
      <c r="D712" s="225"/>
      <c r="E712" s="225"/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</row>
    <row r="713" ht="15.75" customHeight="1">
      <c r="A713" s="225"/>
      <c r="B713" s="225"/>
      <c r="C713" s="225"/>
      <c r="D713" s="225"/>
      <c r="E713" s="225"/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</row>
    <row r="714" ht="15.75" customHeight="1">
      <c r="A714" s="225"/>
      <c r="B714" s="225"/>
      <c r="C714" s="225"/>
      <c r="D714" s="225"/>
      <c r="E714" s="225"/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</row>
    <row r="715" ht="15.75" customHeight="1">
      <c r="A715" s="225"/>
      <c r="B715" s="225"/>
      <c r="C715" s="225"/>
      <c r="D715" s="225"/>
      <c r="E715" s="225"/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</row>
    <row r="716" ht="15.75" customHeight="1">
      <c r="A716" s="225"/>
      <c r="B716" s="225"/>
      <c r="C716" s="225"/>
      <c r="D716" s="225"/>
      <c r="E716" s="225"/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</row>
    <row r="717" ht="15.75" customHeight="1">
      <c r="A717" s="225"/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</row>
    <row r="718" ht="15.75" customHeight="1">
      <c r="A718" s="225"/>
      <c r="B718" s="225"/>
      <c r="C718" s="225"/>
      <c r="D718" s="225"/>
      <c r="E718" s="225"/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</row>
    <row r="719" ht="15.75" customHeight="1">
      <c r="A719" s="225"/>
      <c r="B719" s="225"/>
      <c r="C719" s="225"/>
      <c r="D719" s="225"/>
      <c r="E719" s="225"/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</row>
    <row r="720" ht="15.75" customHeight="1">
      <c r="A720" s="225"/>
      <c r="B720" s="225"/>
      <c r="C720" s="225"/>
      <c r="D720" s="225"/>
      <c r="E720" s="225"/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</row>
    <row r="721" ht="15.75" customHeight="1">
      <c r="A721" s="225"/>
      <c r="B721" s="225"/>
      <c r="C721" s="225"/>
      <c r="D721" s="225"/>
      <c r="E721" s="225"/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</row>
    <row r="722" ht="15.75" customHeight="1">
      <c r="A722" s="225"/>
      <c r="B722" s="225"/>
      <c r="C722" s="225"/>
      <c r="D722" s="225"/>
      <c r="E722" s="225"/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</row>
    <row r="723" ht="15.75" customHeight="1">
      <c r="A723" s="225"/>
      <c r="B723" s="225"/>
      <c r="C723" s="225"/>
      <c r="D723" s="225"/>
      <c r="E723" s="225"/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</row>
    <row r="724" ht="15.75" customHeight="1">
      <c r="A724" s="225"/>
      <c r="B724" s="225"/>
      <c r="C724" s="225"/>
      <c r="D724" s="225"/>
      <c r="E724" s="225"/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</row>
    <row r="725" ht="15.75" customHeight="1">
      <c r="A725" s="225"/>
      <c r="B725" s="225"/>
      <c r="C725" s="225"/>
      <c r="D725" s="225"/>
      <c r="E725" s="225"/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</row>
    <row r="726" ht="15.75" customHeight="1">
      <c r="A726" s="225"/>
      <c r="B726" s="225"/>
      <c r="C726" s="225"/>
      <c r="D726" s="225"/>
      <c r="E726" s="225"/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</row>
    <row r="727" ht="15.75" customHeight="1">
      <c r="A727" s="225"/>
      <c r="B727" s="225"/>
      <c r="C727" s="225"/>
      <c r="D727" s="225"/>
      <c r="E727" s="225"/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</row>
    <row r="728" ht="15.75" customHeight="1">
      <c r="A728" s="225"/>
      <c r="B728" s="225"/>
      <c r="C728" s="225"/>
      <c r="D728" s="225"/>
      <c r="E728" s="225"/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</row>
    <row r="729" ht="15.75" customHeight="1">
      <c r="A729" s="225"/>
      <c r="B729" s="225"/>
      <c r="C729" s="225"/>
      <c r="D729" s="225"/>
      <c r="E729" s="225"/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</row>
    <row r="730" ht="15.75" customHeight="1">
      <c r="A730" s="225"/>
      <c r="B730" s="225"/>
      <c r="C730" s="225"/>
      <c r="D730" s="225"/>
      <c r="E730" s="225"/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</row>
    <row r="731" ht="15.75" customHeight="1">
      <c r="A731" s="225"/>
      <c r="B731" s="225"/>
      <c r="C731" s="225"/>
      <c r="D731" s="225"/>
      <c r="E731" s="225"/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</row>
    <row r="732" ht="15.75" customHeight="1">
      <c r="A732" s="225"/>
      <c r="B732" s="225"/>
      <c r="C732" s="225"/>
      <c r="D732" s="225"/>
      <c r="E732" s="225"/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</row>
    <row r="733" ht="15.75" customHeight="1">
      <c r="A733" s="225"/>
      <c r="B733" s="225"/>
      <c r="C733" s="225"/>
      <c r="D733" s="225"/>
      <c r="E733" s="225"/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</row>
    <row r="734" ht="15.75" customHeight="1">
      <c r="A734" s="225"/>
      <c r="B734" s="225"/>
      <c r="C734" s="225"/>
      <c r="D734" s="225"/>
      <c r="E734" s="225"/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</row>
    <row r="735" ht="15.75" customHeight="1">
      <c r="A735" s="225"/>
      <c r="B735" s="225"/>
      <c r="C735" s="225"/>
      <c r="D735" s="225"/>
      <c r="E735" s="225"/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</row>
    <row r="736" ht="15.75" customHeight="1">
      <c r="A736" s="225"/>
      <c r="B736" s="225"/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</row>
    <row r="737" ht="15.75" customHeight="1">
      <c r="A737" s="225"/>
      <c r="B737" s="225"/>
      <c r="C737" s="225"/>
      <c r="D737" s="225"/>
      <c r="E737" s="225"/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</row>
    <row r="738" ht="15.75" customHeight="1">
      <c r="A738" s="225"/>
      <c r="B738" s="225"/>
      <c r="C738" s="225"/>
      <c r="D738" s="225"/>
      <c r="E738" s="225"/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</row>
    <row r="739" ht="15.75" customHeight="1">
      <c r="A739" s="225"/>
      <c r="B739" s="225"/>
      <c r="C739" s="225"/>
      <c r="D739" s="225"/>
      <c r="E739" s="225"/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</row>
    <row r="740" ht="15.75" customHeight="1">
      <c r="A740" s="225"/>
      <c r="B740" s="225"/>
      <c r="C740" s="225"/>
      <c r="D740" s="225"/>
      <c r="E740" s="225"/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</row>
    <row r="741" ht="15.75" customHeight="1">
      <c r="A741" s="225"/>
      <c r="B741" s="225"/>
      <c r="C741" s="225"/>
      <c r="D741" s="225"/>
      <c r="E741" s="225"/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</row>
    <row r="742" ht="15.75" customHeight="1">
      <c r="A742" s="225"/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</row>
    <row r="743" ht="15.75" customHeight="1">
      <c r="A743" s="225"/>
      <c r="B743" s="225"/>
      <c r="C743" s="225"/>
      <c r="D743" s="225"/>
      <c r="E743" s="225"/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</row>
    <row r="744" ht="15.75" customHeight="1">
      <c r="A744" s="225"/>
      <c r="B744" s="225"/>
      <c r="C744" s="225"/>
      <c r="D744" s="225"/>
      <c r="E744" s="225"/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</row>
    <row r="745" ht="15.75" customHeight="1">
      <c r="A745" s="225"/>
      <c r="B745" s="225"/>
      <c r="C745" s="225"/>
      <c r="D745" s="225"/>
      <c r="E745" s="225"/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</row>
    <row r="746" ht="15.75" customHeight="1">
      <c r="A746" s="225"/>
      <c r="B746" s="225"/>
      <c r="C746" s="225"/>
      <c r="D746" s="225"/>
      <c r="E746" s="225"/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</row>
    <row r="747" ht="15.75" customHeight="1">
      <c r="A747" s="225"/>
      <c r="B747" s="225"/>
      <c r="C747" s="225"/>
      <c r="D747" s="225"/>
      <c r="E747" s="225"/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</row>
    <row r="748" ht="15.75" customHeight="1">
      <c r="A748" s="225"/>
      <c r="B748" s="225"/>
      <c r="C748" s="225"/>
      <c r="D748" s="225"/>
      <c r="E748" s="225"/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</row>
    <row r="749" ht="15.75" customHeight="1">
      <c r="A749" s="225"/>
      <c r="B749" s="225"/>
      <c r="C749" s="225"/>
      <c r="D749" s="225"/>
      <c r="E749" s="225"/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</row>
    <row r="750" ht="15.75" customHeight="1">
      <c r="A750" s="225"/>
      <c r="B750" s="225"/>
      <c r="C750" s="225"/>
      <c r="D750" s="225"/>
      <c r="E750" s="225"/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</row>
    <row r="751" ht="15.75" customHeight="1">
      <c r="A751" s="225"/>
      <c r="B751" s="225"/>
      <c r="C751" s="225"/>
      <c r="D751" s="225"/>
      <c r="E751" s="225"/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</row>
    <row r="752" ht="15.75" customHeight="1">
      <c r="A752" s="225"/>
      <c r="B752" s="225"/>
      <c r="C752" s="225"/>
      <c r="D752" s="225"/>
      <c r="E752" s="225"/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</row>
    <row r="753" ht="15.75" customHeight="1">
      <c r="A753" s="225"/>
      <c r="B753" s="225"/>
      <c r="C753" s="225"/>
      <c r="D753" s="225"/>
      <c r="E753" s="225"/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</row>
    <row r="754" ht="15.75" customHeight="1">
      <c r="A754" s="225"/>
      <c r="B754" s="225"/>
      <c r="C754" s="225"/>
      <c r="D754" s="225"/>
      <c r="E754" s="225"/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</row>
    <row r="755" ht="15.75" customHeight="1">
      <c r="A755" s="225"/>
      <c r="B755" s="225"/>
      <c r="C755" s="225"/>
      <c r="D755" s="225"/>
      <c r="E755" s="225"/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</row>
    <row r="756" ht="15.75" customHeight="1">
      <c r="A756" s="225"/>
      <c r="B756" s="225"/>
      <c r="C756" s="225"/>
      <c r="D756" s="225"/>
      <c r="E756" s="225"/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</row>
    <row r="757" ht="15.75" customHeight="1">
      <c r="A757" s="225"/>
      <c r="B757" s="225"/>
      <c r="C757" s="225"/>
      <c r="D757" s="225"/>
      <c r="E757" s="225"/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</row>
    <row r="758" ht="15.75" customHeight="1">
      <c r="A758" s="225"/>
      <c r="B758" s="225"/>
      <c r="C758" s="225"/>
      <c r="D758" s="225"/>
      <c r="E758" s="225"/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</row>
    <row r="759" ht="15.75" customHeight="1">
      <c r="A759" s="225"/>
      <c r="B759" s="225"/>
      <c r="C759" s="225"/>
      <c r="D759" s="225"/>
      <c r="E759" s="225"/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</row>
    <row r="760" ht="15.75" customHeight="1">
      <c r="A760" s="225"/>
      <c r="B760" s="225"/>
      <c r="C760" s="225"/>
      <c r="D760" s="225"/>
      <c r="E760" s="225"/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</row>
    <row r="761" ht="15.75" customHeight="1">
      <c r="A761" s="225"/>
      <c r="B761" s="225"/>
      <c r="C761" s="225"/>
      <c r="D761" s="225"/>
      <c r="E761" s="225"/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</row>
    <row r="762" ht="15.75" customHeight="1">
      <c r="A762" s="225"/>
      <c r="B762" s="225"/>
      <c r="C762" s="225"/>
      <c r="D762" s="225"/>
      <c r="E762" s="225"/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</row>
    <row r="763" ht="15.75" customHeight="1">
      <c r="A763" s="225"/>
      <c r="B763" s="225"/>
      <c r="C763" s="225"/>
      <c r="D763" s="225"/>
      <c r="E763" s="225"/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</row>
    <row r="764" ht="15.75" customHeight="1">
      <c r="A764" s="225"/>
      <c r="B764" s="225"/>
      <c r="C764" s="225"/>
      <c r="D764" s="225"/>
      <c r="E764" s="225"/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</row>
    <row r="765" ht="15.75" customHeight="1">
      <c r="A765" s="225"/>
      <c r="B765" s="225"/>
      <c r="C765" s="225"/>
      <c r="D765" s="225"/>
      <c r="E765" s="225"/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</row>
    <row r="766" ht="15.75" customHeight="1">
      <c r="A766" s="225"/>
      <c r="B766" s="225"/>
      <c r="C766" s="225"/>
      <c r="D766" s="225"/>
      <c r="E766" s="225"/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</row>
    <row r="767" ht="15.75" customHeight="1">
      <c r="A767" s="225"/>
      <c r="B767" s="225"/>
      <c r="C767" s="225"/>
      <c r="D767" s="225"/>
      <c r="E767" s="225"/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</row>
    <row r="768" ht="15.75" customHeight="1">
      <c r="A768" s="225"/>
      <c r="B768" s="225"/>
      <c r="C768" s="225"/>
      <c r="D768" s="225"/>
      <c r="E768" s="225"/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</row>
    <row r="769" ht="15.75" customHeight="1">
      <c r="A769" s="225"/>
      <c r="B769" s="225"/>
      <c r="C769" s="225"/>
      <c r="D769" s="225"/>
      <c r="E769" s="225"/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</row>
    <row r="770" ht="15.75" customHeight="1">
      <c r="A770" s="225"/>
      <c r="B770" s="225"/>
      <c r="C770" s="225"/>
      <c r="D770" s="225"/>
      <c r="E770" s="225"/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</row>
    <row r="771" ht="15.75" customHeight="1">
      <c r="A771" s="225"/>
      <c r="B771" s="225"/>
      <c r="C771" s="225"/>
      <c r="D771" s="225"/>
      <c r="E771" s="225"/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</row>
    <row r="772" ht="15.75" customHeight="1">
      <c r="A772" s="225"/>
      <c r="B772" s="225"/>
      <c r="C772" s="225"/>
      <c r="D772" s="225"/>
      <c r="E772" s="225"/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</row>
    <row r="773" ht="15.75" customHeight="1">
      <c r="A773" s="225"/>
      <c r="B773" s="225"/>
      <c r="C773" s="225"/>
      <c r="D773" s="225"/>
      <c r="E773" s="225"/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</row>
    <row r="774" ht="15.75" customHeight="1">
      <c r="A774" s="225"/>
      <c r="B774" s="225"/>
      <c r="C774" s="225"/>
      <c r="D774" s="225"/>
      <c r="E774" s="225"/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</row>
    <row r="775" ht="15.75" customHeight="1">
      <c r="A775" s="225"/>
      <c r="B775" s="225"/>
      <c r="C775" s="225"/>
      <c r="D775" s="225"/>
      <c r="E775" s="225"/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</row>
    <row r="776" ht="15.75" customHeight="1">
      <c r="A776" s="225"/>
      <c r="B776" s="225"/>
      <c r="C776" s="225"/>
      <c r="D776" s="225"/>
      <c r="E776" s="225"/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</row>
    <row r="777" ht="15.75" customHeight="1">
      <c r="A777" s="225"/>
      <c r="B777" s="225"/>
      <c r="C777" s="225"/>
      <c r="D777" s="225"/>
      <c r="E777" s="225"/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</row>
    <row r="778" ht="15.75" customHeight="1">
      <c r="A778" s="225"/>
      <c r="B778" s="225"/>
      <c r="C778" s="225"/>
      <c r="D778" s="225"/>
      <c r="E778" s="225"/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</row>
    <row r="779" ht="15.75" customHeight="1">
      <c r="A779" s="225"/>
      <c r="B779" s="225"/>
      <c r="C779" s="225"/>
      <c r="D779" s="225"/>
      <c r="E779" s="225"/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</row>
    <row r="780" ht="15.75" customHeight="1">
      <c r="A780" s="225"/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</row>
    <row r="781" ht="15.75" customHeight="1">
      <c r="A781" s="225"/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</row>
    <row r="782" ht="15.75" customHeight="1">
      <c r="A782" s="225"/>
      <c r="B782" s="225"/>
      <c r="C782" s="225"/>
      <c r="D782" s="225"/>
      <c r="E782" s="225"/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</row>
    <row r="783" ht="15.75" customHeight="1">
      <c r="A783" s="225"/>
      <c r="B783" s="225"/>
      <c r="C783" s="225"/>
      <c r="D783" s="225"/>
      <c r="E783" s="225"/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</row>
    <row r="784" ht="15.75" customHeight="1">
      <c r="A784" s="225"/>
      <c r="B784" s="225"/>
      <c r="C784" s="225"/>
      <c r="D784" s="225"/>
      <c r="E784" s="225"/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</row>
    <row r="785" ht="15.75" customHeight="1">
      <c r="A785" s="225"/>
      <c r="B785" s="225"/>
      <c r="C785" s="225"/>
      <c r="D785" s="225"/>
      <c r="E785" s="225"/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</row>
    <row r="786" ht="15.75" customHeight="1">
      <c r="A786" s="225"/>
      <c r="B786" s="225"/>
      <c r="C786" s="225"/>
      <c r="D786" s="225"/>
      <c r="E786" s="225"/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</row>
    <row r="787" ht="15.75" customHeight="1">
      <c r="A787" s="225"/>
      <c r="B787" s="225"/>
      <c r="C787" s="225"/>
      <c r="D787" s="225"/>
      <c r="E787" s="225"/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</row>
    <row r="788" ht="15.75" customHeight="1">
      <c r="A788" s="225"/>
      <c r="B788" s="225"/>
      <c r="C788" s="225"/>
      <c r="D788" s="225"/>
      <c r="E788" s="225"/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</row>
    <row r="789" ht="15.75" customHeight="1">
      <c r="A789" s="225"/>
      <c r="B789" s="225"/>
      <c r="C789" s="225"/>
      <c r="D789" s="225"/>
      <c r="E789" s="225"/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</row>
    <row r="790" ht="15.75" customHeight="1">
      <c r="A790" s="225"/>
      <c r="B790" s="225"/>
      <c r="C790" s="225"/>
      <c r="D790" s="225"/>
      <c r="E790" s="225"/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</row>
    <row r="791" ht="15.75" customHeight="1">
      <c r="A791" s="225"/>
      <c r="B791" s="225"/>
      <c r="C791" s="225"/>
      <c r="D791" s="225"/>
      <c r="E791" s="225"/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</row>
    <row r="792" ht="15.75" customHeight="1">
      <c r="A792" s="225"/>
      <c r="B792" s="225"/>
      <c r="C792" s="225"/>
      <c r="D792" s="225"/>
      <c r="E792" s="225"/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</row>
    <row r="793" ht="15.75" customHeight="1">
      <c r="A793" s="225"/>
      <c r="B793" s="225"/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</row>
    <row r="794" ht="15.75" customHeight="1">
      <c r="A794" s="225"/>
      <c r="B794" s="225"/>
      <c r="C794" s="225"/>
      <c r="D794" s="225"/>
      <c r="E794" s="225"/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</row>
    <row r="795" ht="15.75" customHeight="1">
      <c r="A795" s="225"/>
      <c r="B795" s="225"/>
      <c r="C795" s="225"/>
      <c r="D795" s="225"/>
      <c r="E795" s="225"/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</row>
    <row r="796" ht="15.75" customHeight="1">
      <c r="A796" s="225"/>
      <c r="B796" s="225"/>
      <c r="C796" s="225"/>
      <c r="D796" s="225"/>
      <c r="E796" s="225"/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</row>
    <row r="797" ht="15.75" customHeight="1">
      <c r="A797" s="225"/>
      <c r="B797" s="225"/>
      <c r="C797" s="225"/>
      <c r="D797" s="225"/>
      <c r="E797" s="225"/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</row>
    <row r="798" ht="15.75" customHeight="1">
      <c r="A798" s="225"/>
      <c r="B798" s="225"/>
      <c r="C798" s="225"/>
      <c r="D798" s="225"/>
      <c r="E798" s="225"/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</row>
    <row r="799" ht="15.75" customHeight="1">
      <c r="A799" s="225"/>
      <c r="B799" s="225"/>
      <c r="C799" s="225"/>
      <c r="D799" s="225"/>
      <c r="E799" s="225"/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</row>
    <row r="800" ht="15.75" customHeight="1">
      <c r="A800" s="225"/>
      <c r="B800" s="225"/>
      <c r="C800" s="225"/>
      <c r="D800" s="225"/>
      <c r="E800" s="225"/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</row>
    <row r="801" ht="15.75" customHeight="1">
      <c r="A801" s="225"/>
      <c r="B801" s="225"/>
      <c r="C801" s="225"/>
      <c r="D801" s="225"/>
      <c r="E801" s="225"/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</row>
    <row r="802" ht="15.75" customHeight="1">
      <c r="A802" s="225"/>
      <c r="B802" s="225"/>
      <c r="C802" s="225"/>
      <c r="D802" s="225"/>
      <c r="E802" s="225"/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</row>
    <row r="803" ht="15.75" customHeight="1">
      <c r="A803" s="225"/>
      <c r="B803" s="225"/>
      <c r="C803" s="225"/>
      <c r="D803" s="225"/>
      <c r="E803" s="225"/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</row>
    <row r="804" ht="15.75" customHeight="1">
      <c r="A804" s="225"/>
      <c r="B804" s="225"/>
      <c r="C804" s="225"/>
      <c r="D804" s="225"/>
      <c r="E804" s="225"/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</row>
    <row r="805" ht="15.75" customHeight="1">
      <c r="A805" s="225"/>
      <c r="B805" s="225"/>
      <c r="C805" s="225"/>
      <c r="D805" s="225"/>
      <c r="E805" s="225"/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</row>
    <row r="806" ht="15.75" customHeight="1">
      <c r="A806" s="225"/>
      <c r="B806" s="225"/>
      <c r="C806" s="225"/>
      <c r="D806" s="225"/>
      <c r="E806" s="225"/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</row>
    <row r="807" ht="15.75" customHeight="1">
      <c r="A807" s="225"/>
      <c r="B807" s="225"/>
      <c r="C807" s="225"/>
      <c r="D807" s="225"/>
      <c r="E807" s="225"/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</row>
    <row r="808" ht="15.75" customHeight="1">
      <c r="A808" s="225"/>
      <c r="B808" s="225"/>
      <c r="C808" s="225"/>
      <c r="D808" s="225"/>
      <c r="E808" s="225"/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</row>
    <row r="809" ht="15.75" customHeight="1">
      <c r="A809" s="225"/>
      <c r="B809" s="225"/>
      <c r="C809" s="225"/>
      <c r="D809" s="225"/>
      <c r="E809" s="225"/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</row>
    <row r="810" ht="15.75" customHeight="1">
      <c r="A810" s="225"/>
      <c r="B810" s="225"/>
      <c r="C810" s="225"/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</row>
    <row r="811" ht="15.75" customHeight="1">
      <c r="A811" s="225"/>
      <c r="B811" s="225"/>
      <c r="C811" s="225"/>
      <c r="D811" s="225"/>
      <c r="E811" s="225"/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</row>
    <row r="812" ht="15.75" customHeight="1">
      <c r="A812" s="225"/>
      <c r="B812" s="225"/>
      <c r="C812" s="225"/>
      <c r="D812" s="225"/>
      <c r="E812" s="225"/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</row>
    <row r="813" ht="15.75" customHeight="1">
      <c r="A813" s="225"/>
      <c r="B813" s="225"/>
      <c r="C813" s="225"/>
      <c r="D813" s="225"/>
      <c r="E813" s="225"/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</row>
    <row r="814" ht="15.75" customHeight="1">
      <c r="A814" s="225"/>
      <c r="B814" s="225"/>
      <c r="C814" s="225"/>
      <c r="D814" s="225"/>
      <c r="E814" s="225"/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</row>
    <row r="815" ht="15.75" customHeight="1">
      <c r="A815" s="225"/>
      <c r="B815" s="225"/>
      <c r="C815" s="225"/>
      <c r="D815" s="225"/>
      <c r="E815" s="225"/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</row>
    <row r="816" ht="15.75" customHeight="1">
      <c r="A816" s="225"/>
      <c r="B816" s="225"/>
      <c r="C816" s="225"/>
      <c r="D816" s="225"/>
      <c r="E816" s="225"/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</row>
    <row r="817" ht="15.75" customHeight="1">
      <c r="A817" s="225"/>
      <c r="B817" s="225"/>
      <c r="C817" s="225"/>
      <c r="D817" s="225"/>
      <c r="E817" s="225"/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</row>
    <row r="818" ht="15.75" customHeight="1">
      <c r="A818" s="225"/>
      <c r="B818" s="225"/>
      <c r="C818" s="225"/>
      <c r="D818" s="225"/>
      <c r="E818" s="225"/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</row>
    <row r="819" ht="15.75" customHeight="1">
      <c r="A819" s="225"/>
      <c r="B819" s="225"/>
      <c r="C819" s="225"/>
      <c r="D819" s="225"/>
      <c r="E819" s="225"/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</row>
    <row r="820" ht="15.75" customHeight="1">
      <c r="A820" s="225"/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</row>
    <row r="821" ht="15.75" customHeight="1">
      <c r="A821" s="225"/>
      <c r="B821" s="225"/>
      <c r="C821" s="225"/>
      <c r="D821" s="225"/>
      <c r="E821" s="225"/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</row>
    <row r="822" ht="15.75" customHeight="1">
      <c r="A822" s="225"/>
      <c r="B822" s="225"/>
      <c r="C822" s="225"/>
      <c r="D822" s="225"/>
      <c r="E822" s="225"/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</row>
    <row r="823" ht="15.75" customHeight="1">
      <c r="A823" s="225"/>
      <c r="B823" s="225"/>
      <c r="C823" s="225"/>
      <c r="D823" s="225"/>
      <c r="E823" s="225"/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</row>
    <row r="824" ht="15.75" customHeight="1">
      <c r="A824" s="225"/>
      <c r="B824" s="225"/>
      <c r="C824" s="225"/>
      <c r="D824" s="225"/>
      <c r="E824" s="225"/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</row>
    <row r="825" ht="15.75" customHeight="1">
      <c r="A825" s="225"/>
      <c r="B825" s="225"/>
      <c r="C825" s="225"/>
      <c r="D825" s="225"/>
      <c r="E825" s="225"/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</row>
    <row r="826" ht="15.75" customHeight="1">
      <c r="A826" s="225"/>
      <c r="B826" s="225"/>
      <c r="C826" s="225"/>
      <c r="D826" s="225"/>
      <c r="E826" s="225"/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</row>
    <row r="827" ht="15.75" customHeight="1">
      <c r="A827" s="225"/>
      <c r="B827" s="225"/>
      <c r="C827" s="225"/>
      <c r="D827" s="225"/>
      <c r="E827" s="225"/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</row>
    <row r="828" ht="15.75" customHeight="1">
      <c r="A828" s="225"/>
      <c r="B828" s="225"/>
      <c r="C828" s="225"/>
      <c r="D828" s="225"/>
      <c r="E828" s="225"/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</row>
    <row r="829" ht="15.75" customHeight="1">
      <c r="A829" s="225"/>
      <c r="B829" s="225"/>
      <c r="C829" s="225"/>
      <c r="D829" s="225"/>
      <c r="E829" s="225"/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</row>
    <row r="830" ht="15.75" customHeight="1">
      <c r="A830" s="225"/>
      <c r="B830" s="225"/>
      <c r="C830" s="225"/>
      <c r="D830" s="225"/>
      <c r="E830" s="225"/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</row>
    <row r="831" ht="15.75" customHeight="1">
      <c r="A831" s="225"/>
      <c r="B831" s="225"/>
      <c r="C831" s="225"/>
      <c r="D831" s="225"/>
      <c r="E831" s="225"/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</row>
    <row r="832" ht="15.75" customHeight="1">
      <c r="A832" s="225"/>
      <c r="B832" s="225"/>
      <c r="C832" s="225"/>
      <c r="D832" s="225"/>
      <c r="E832" s="225"/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</row>
    <row r="833" ht="15.75" customHeight="1">
      <c r="A833" s="225"/>
      <c r="B833" s="225"/>
      <c r="C833" s="225"/>
      <c r="D833" s="225"/>
      <c r="E833" s="225"/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</row>
    <row r="834" ht="15.75" customHeight="1">
      <c r="A834" s="225"/>
      <c r="B834" s="225"/>
      <c r="C834" s="225"/>
      <c r="D834" s="225"/>
      <c r="E834" s="225"/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</row>
    <row r="835" ht="15.75" customHeight="1">
      <c r="A835" s="225"/>
      <c r="B835" s="225"/>
      <c r="C835" s="225"/>
      <c r="D835" s="225"/>
      <c r="E835" s="225"/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</row>
    <row r="836" ht="15.75" customHeight="1">
      <c r="A836" s="225"/>
      <c r="B836" s="225"/>
      <c r="C836" s="225"/>
      <c r="D836" s="225"/>
      <c r="E836" s="225"/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</row>
    <row r="837" ht="15.75" customHeight="1">
      <c r="A837" s="225"/>
      <c r="B837" s="225"/>
      <c r="C837" s="225"/>
      <c r="D837" s="225"/>
      <c r="E837" s="225"/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</row>
    <row r="838" ht="15.75" customHeight="1">
      <c r="A838" s="225"/>
      <c r="B838" s="225"/>
      <c r="C838" s="225"/>
      <c r="D838" s="225"/>
      <c r="E838" s="225"/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</row>
    <row r="839" ht="15.75" customHeight="1">
      <c r="A839" s="225"/>
      <c r="B839" s="225"/>
      <c r="C839" s="225"/>
      <c r="D839" s="225"/>
      <c r="E839" s="225"/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</row>
    <row r="840" ht="15.75" customHeight="1">
      <c r="A840" s="225"/>
      <c r="B840" s="225"/>
      <c r="C840" s="225"/>
      <c r="D840" s="225"/>
      <c r="E840" s="225"/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</row>
    <row r="841" ht="15.75" customHeight="1">
      <c r="A841" s="225"/>
      <c r="B841" s="225"/>
      <c r="C841" s="225"/>
      <c r="D841" s="225"/>
      <c r="E841" s="225"/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</row>
    <row r="842" ht="15.75" customHeight="1">
      <c r="A842" s="225"/>
      <c r="B842" s="225"/>
      <c r="C842" s="225"/>
      <c r="D842" s="225"/>
      <c r="E842" s="225"/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</row>
    <row r="843" ht="15.75" customHeight="1">
      <c r="A843" s="225"/>
      <c r="B843" s="225"/>
      <c r="C843" s="225"/>
      <c r="D843" s="225"/>
      <c r="E843" s="225"/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</row>
    <row r="844" ht="15.75" customHeight="1">
      <c r="A844" s="225"/>
      <c r="B844" s="225"/>
      <c r="C844" s="225"/>
      <c r="D844" s="225"/>
      <c r="E844" s="225"/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</row>
    <row r="845" ht="15.75" customHeight="1">
      <c r="A845" s="225"/>
      <c r="B845" s="225"/>
      <c r="C845" s="225"/>
      <c r="D845" s="225"/>
      <c r="E845" s="225"/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</row>
    <row r="846" ht="15.75" customHeight="1">
      <c r="A846" s="225"/>
      <c r="B846" s="225"/>
      <c r="C846" s="225"/>
      <c r="D846" s="225"/>
      <c r="E846" s="225"/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</row>
    <row r="847" ht="15.75" customHeight="1">
      <c r="A847" s="225"/>
      <c r="B847" s="225"/>
      <c r="C847" s="225"/>
      <c r="D847" s="225"/>
      <c r="E847" s="225"/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</row>
    <row r="848" ht="15.75" customHeight="1">
      <c r="A848" s="225"/>
      <c r="B848" s="225"/>
      <c r="C848" s="225"/>
      <c r="D848" s="225"/>
      <c r="E848" s="225"/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</row>
    <row r="849" ht="15.75" customHeight="1">
      <c r="A849" s="225"/>
      <c r="B849" s="225"/>
      <c r="C849" s="225"/>
      <c r="D849" s="225"/>
      <c r="E849" s="225"/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</row>
    <row r="850" ht="15.75" customHeight="1">
      <c r="A850" s="225"/>
      <c r="B850" s="225"/>
      <c r="C850" s="225"/>
      <c r="D850" s="225"/>
      <c r="E850" s="225"/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</row>
    <row r="851" ht="15.75" customHeight="1">
      <c r="A851" s="225"/>
      <c r="B851" s="225"/>
      <c r="C851" s="225"/>
      <c r="D851" s="225"/>
      <c r="E851" s="225"/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</row>
    <row r="852" ht="15.75" customHeight="1">
      <c r="A852" s="225"/>
      <c r="B852" s="225"/>
      <c r="C852" s="225"/>
      <c r="D852" s="225"/>
      <c r="E852" s="225"/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</row>
    <row r="853" ht="15.75" customHeight="1">
      <c r="A853" s="225"/>
      <c r="B853" s="225"/>
      <c r="C853" s="225"/>
      <c r="D853" s="225"/>
      <c r="E853" s="225"/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</row>
    <row r="854" ht="15.75" customHeight="1">
      <c r="A854" s="225"/>
      <c r="B854" s="225"/>
      <c r="C854" s="225"/>
      <c r="D854" s="225"/>
      <c r="E854" s="225"/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</row>
    <row r="855" ht="15.75" customHeight="1">
      <c r="A855" s="225"/>
      <c r="B855" s="225"/>
      <c r="C855" s="225"/>
      <c r="D855" s="225"/>
      <c r="E855" s="225"/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</row>
    <row r="856" ht="15.75" customHeight="1">
      <c r="A856" s="225"/>
      <c r="B856" s="225"/>
      <c r="C856" s="225"/>
      <c r="D856" s="225"/>
      <c r="E856" s="225"/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</row>
    <row r="857" ht="15.75" customHeight="1">
      <c r="A857" s="225"/>
      <c r="B857" s="225"/>
      <c r="C857" s="225"/>
      <c r="D857" s="225"/>
      <c r="E857" s="225"/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</row>
    <row r="858" ht="15.75" customHeight="1">
      <c r="A858" s="225"/>
      <c r="B858" s="225"/>
      <c r="C858" s="225"/>
      <c r="D858" s="225"/>
      <c r="E858" s="225"/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</row>
    <row r="859" ht="15.75" customHeight="1">
      <c r="A859" s="225"/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</row>
    <row r="860" ht="15.75" customHeight="1">
      <c r="A860" s="225"/>
      <c r="B860" s="225"/>
      <c r="C860" s="225"/>
      <c r="D860" s="225"/>
      <c r="E860" s="225"/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</row>
    <row r="861" ht="15.75" customHeight="1">
      <c r="A861" s="225"/>
      <c r="B861" s="225"/>
      <c r="C861" s="225"/>
      <c r="D861" s="225"/>
      <c r="E861" s="225"/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</row>
    <row r="862" ht="15.75" customHeight="1">
      <c r="A862" s="225"/>
      <c r="B862" s="225"/>
      <c r="C862" s="225"/>
      <c r="D862" s="225"/>
      <c r="E862" s="225"/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</row>
    <row r="863" ht="15.75" customHeight="1">
      <c r="A863" s="225"/>
      <c r="B863" s="225"/>
      <c r="C863" s="225"/>
      <c r="D863" s="225"/>
      <c r="E863" s="225"/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</row>
    <row r="864" ht="15.75" customHeight="1">
      <c r="A864" s="225"/>
      <c r="B864" s="225"/>
      <c r="C864" s="225"/>
      <c r="D864" s="225"/>
      <c r="E864" s="225"/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</row>
    <row r="865" ht="15.75" customHeight="1">
      <c r="A865" s="225"/>
      <c r="B865" s="225"/>
      <c r="C865" s="225"/>
      <c r="D865" s="225"/>
      <c r="E865" s="225"/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</row>
    <row r="866" ht="15.75" customHeight="1">
      <c r="A866" s="225"/>
      <c r="B866" s="225"/>
      <c r="C866" s="225"/>
      <c r="D866" s="225"/>
      <c r="E866" s="225"/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</row>
    <row r="867" ht="15.75" customHeight="1">
      <c r="A867" s="225"/>
      <c r="B867" s="225"/>
      <c r="C867" s="225"/>
      <c r="D867" s="225"/>
      <c r="E867" s="225"/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</row>
    <row r="868" ht="15.75" customHeight="1">
      <c r="A868" s="225"/>
      <c r="B868" s="225"/>
      <c r="C868" s="225"/>
      <c r="D868" s="225"/>
      <c r="E868" s="225"/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</row>
    <row r="869" ht="15.75" customHeight="1">
      <c r="A869" s="225"/>
      <c r="B869" s="225"/>
      <c r="C869" s="225"/>
      <c r="D869" s="225"/>
      <c r="E869" s="225"/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</row>
    <row r="870" ht="15.75" customHeight="1">
      <c r="A870" s="225"/>
      <c r="B870" s="225"/>
      <c r="C870" s="225"/>
      <c r="D870" s="225"/>
      <c r="E870" s="225"/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</row>
    <row r="871" ht="15.75" customHeight="1">
      <c r="A871" s="225"/>
      <c r="B871" s="225"/>
      <c r="C871" s="225"/>
      <c r="D871" s="225"/>
      <c r="E871" s="225"/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</row>
    <row r="872" ht="15.75" customHeight="1">
      <c r="A872" s="225"/>
      <c r="B872" s="225"/>
      <c r="C872" s="225"/>
      <c r="D872" s="225"/>
      <c r="E872" s="225"/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</row>
    <row r="873" ht="15.75" customHeight="1">
      <c r="A873" s="225"/>
      <c r="B873" s="225"/>
      <c r="C873" s="225"/>
      <c r="D873" s="225"/>
      <c r="E873" s="225"/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</row>
    <row r="874" ht="15.75" customHeight="1">
      <c r="A874" s="225"/>
      <c r="B874" s="225"/>
      <c r="C874" s="225"/>
      <c r="D874" s="225"/>
      <c r="E874" s="225"/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</row>
    <row r="875" ht="15.75" customHeight="1">
      <c r="A875" s="225"/>
      <c r="B875" s="225"/>
      <c r="C875" s="225"/>
      <c r="D875" s="225"/>
      <c r="E875" s="225"/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</row>
    <row r="876" ht="15.75" customHeight="1">
      <c r="A876" s="225"/>
      <c r="B876" s="225"/>
      <c r="C876" s="225"/>
      <c r="D876" s="225"/>
      <c r="E876" s="225"/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</row>
    <row r="877" ht="15.75" customHeight="1">
      <c r="A877" s="225"/>
      <c r="B877" s="225"/>
      <c r="C877" s="225"/>
      <c r="D877" s="225"/>
      <c r="E877" s="225"/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</row>
    <row r="878" ht="15.75" customHeight="1">
      <c r="A878" s="225"/>
      <c r="B878" s="225"/>
      <c r="C878" s="225"/>
      <c r="D878" s="225"/>
      <c r="E878" s="225"/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</row>
    <row r="879" ht="15.75" customHeight="1">
      <c r="A879" s="225"/>
      <c r="B879" s="225"/>
      <c r="C879" s="225"/>
      <c r="D879" s="225"/>
      <c r="E879" s="225"/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</row>
    <row r="880" ht="15.75" customHeight="1">
      <c r="A880" s="225"/>
      <c r="B880" s="225"/>
      <c r="C880" s="225"/>
      <c r="D880" s="225"/>
      <c r="E880" s="225"/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</row>
    <row r="881" ht="15.75" customHeight="1">
      <c r="A881" s="225"/>
      <c r="B881" s="225"/>
      <c r="C881" s="225"/>
      <c r="D881" s="225"/>
      <c r="E881" s="225"/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</row>
    <row r="882" ht="15.75" customHeight="1">
      <c r="A882" s="225"/>
      <c r="B882" s="225"/>
      <c r="C882" s="225"/>
      <c r="D882" s="225"/>
      <c r="E882" s="225"/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</row>
    <row r="883" ht="15.75" customHeight="1">
      <c r="A883" s="225"/>
      <c r="B883" s="225"/>
      <c r="C883" s="225"/>
      <c r="D883" s="225"/>
      <c r="E883" s="225"/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</row>
    <row r="884" ht="15.75" customHeight="1">
      <c r="A884" s="225"/>
      <c r="B884" s="225"/>
      <c r="C884" s="225"/>
      <c r="D884" s="225"/>
      <c r="E884" s="225"/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</row>
    <row r="885" ht="15.75" customHeight="1">
      <c r="A885" s="225"/>
      <c r="B885" s="225"/>
      <c r="C885" s="225"/>
      <c r="D885" s="225"/>
      <c r="E885" s="225"/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</row>
    <row r="886" ht="15.75" customHeight="1">
      <c r="A886" s="225"/>
      <c r="B886" s="225"/>
      <c r="C886" s="225"/>
      <c r="D886" s="225"/>
      <c r="E886" s="225"/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</row>
    <row r="887" ht="15.75" customHeight="1">
      <c r="A887" s="225"/>
      <c r="B887" s="225"/>
      <c r="C887" s="225"/>
      <c r="D887" s="225"/>
      <c r="E887" s="225"/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</row>
    <row r="888" ht="15.75" customHeight="1">
      <c r="A888" s="225"/>
      <c r="B888" s="225"/>
      <c r="C888" s="225"/>
      <c r="D888" s="225"/>
      <c r="E888" s="225"/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</row>
    <row r="889" ht="15.75" customHeight="1">
      <c r="A889" s="225"/>
      <c r="B889" s="225"/>
      <c r="C889" s="225"/>
      <c r="D889" s="225"/>
      <c r="E889" s="225"/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</row>
    <row r="890" ht="15.75" customHeight="1">
      <c r="A890" s="225"/>
      <c r="B890" s="225"/>
      <c r="C890" s="225"/>
      <c r="D890" s="225"/>
      <c r="E890" s="225"/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</row>
    <row r="891" ht="15.75" customHeight="1">
      <c r="A891" s="225"/>
      <c r="B891" s="225"/>
      <c r="C891" s="225"/>
      <c r="D891" s="225"/>
      <c r="E891" s="225"/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</row>
    <row r="892" ht="15.75" customHeight="1">
      <c r="A892" s="225"/>
      <c r="B892" s="225"/>
      <c r="C892" s="225"/>
      <c r="D892" s="225"/>
      <c r="E892" s="225"/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</row>
    <row r="893" ht="15.75" customHeight="1">
      <c r="A893" s="225"/>
      <c r="B893" s="225"/>
      <c r="C893" s="225"/>
      <c r="D893" s="225"/>
      <c r="E893" s="225"/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</row>
    <row r="894" ht="15.75" customHeight="1">
      <c r="A894" s="225"/>
      <c r="B894" s="225"/>
      <c r="C894" s="225"/>
      <c r="D894" s="225"/>
      <c r="E894" s="225"/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</row>
    <row r="895" ht="15.75" customHeight="1">
      <c r="A895" s="225"/>
      <c r="B895" s="225"/>
      <c r="C895" s="225"/>
      <c r="D895" s="225"/>
      <c r="E895" s="225"/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</row>
    <row r="896" ht="15.75" customHeight="1">
      <c r="A896" s="225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</row>
    <row r="897" ht="15.75" customHeight="1">
      <c r="A897" s="225"/>
      <c r="B897" s="225"/>
      <c r="C897" s="225"/>
      <c r="D897" s="225"/>
      <c r="E897" s="225"/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</row>
    <row r="898" ht="15.75" customHeight="1">
      <c r="A898" s="225"/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</row>
    <row r="899" ht="15.75" customHeight="1">
      <c r="A899" s="225"/>
      <c r="B899" s="225"/>
      <c r="C899" s="225"/>
      <c r="D899" s="225"/>
      <c r="E899" s="225"/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</row>
    <row r="900" ht="15.75" customHeight="1">
      <c r="A900" s="225"/>
      <c r="B900" s="225"/>
      <c r="C900" s="225"/>
      <c r="D900" s="225"/>
      <c r="E900" s="225"/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</row>
    <row r="901" ht="15.75" customHeight="1">
      <c r="A901" s="225"/>
      <c r="B901" s="225"/>
      <c r="C901" s="225"/>
      <c r="D901" s="225"/>
      <c r="E901" s="225"/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</row>
    <row r="902" ht="15.75" customHeight="1">
      <c r="A902" s="225"/>
      <c r="B902" s="225"/>
      <c r="C902" s="225"/>
      <c r="D902" s="225"/>
      <c r="E902" s="225"/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</row>
    <row r="903" ht="15.75" customHeight="1">
      <c r="A903" s="225"/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</row>
    <row r="904" ht="15.75" customHeight="1">
      <c r="A904" s="225"/>
      <c r="B904" s="225"/>
      <c r="C904" s="225"/>
      <c r="D904" s="225"/>
      <c r="E904" s="225"/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</row>
    <row r="905" ht="15.75" customHeight="1">
      <c r="A905" s="225"/>
      <c r="B905" s="225"/>
      <c r="C905" s="225"/>
      <c r="D905" s="225"/>
      <c r="E905" s="225"/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</row>
    <row r="906" ht="15.75" customHeight="1">
      <c r="A906" s="225"/>
      <c r="B906" s="225"/>
      <c r="C906" s="225"/>
      <c r="D906" s="225"/>
      <c r="E906" s="225"/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</row>
    <row r="907" ht="15.75" customHeight="1">
      <c r="A907" s="225"/>
      <c r="B907" s="225"/>
      <c r="C907" s="225"/>
      <c r="D907" s="225"/>
      <c r="E907" s="225"/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</row>
    <row r="908" ht="15.75" customHeight="1">
      <c r="A908" s="225"/>
      <c r="B908" s="225"/>
      <c r="C908" s="225"/>
      <c r="D908" s="225"/>
      <c r="E908" s="225"/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</row>
    <row r="909" ht="15.75" customHeight="1">
      <c r="A909" s="225"/>
      <c r="B909" s="225"/>
      <c r="C909" s="225"/>
      <c r="D909" s="225"/>
      <c r="E909" s="225"/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</row>
    <row r="910" ht="15.75" customHeight="1">
      <c r="A910" s="225"/>
      <c r="B910" s="225"/>
      <c r="C910" s="225"/>
      <c r="D910" s="225"/>
      <c r="E910" s="225"/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</row>
    <row r="911" ht="15.75" customHeight="1">
      <c r="A911" s="225"/>
      <c r="B911" s="225"/>
      <c r="C911" s="225"/>
      <c r="D911" s="225"/>
      <c r="E911" s="225"/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</row>
    <row r="912" ht="15.75" customHeight="1">
      <c r="A912" s="225"/>
      <c r="B912" s="225"/>
      <c r="C912" s="225"/>
      <c r="D912" s="225"/>
      <c r="E912" s="225"/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</row>
    <row r="913" ht="15.75" customHeight="1">
      <c r="A913" s="225"/>
      <c r="B913" s="225"/>
      <c r="C913" s="225"/>
      <c r="D913" s="225"/>
      <c r="E913" s="225"/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</row>
    <row r="914" ht="15.75" customHeight="1">
      <c r="A914" s="225"/>
      <c r="B914" s="225"/>
      <c r="C914" s="225"/>
      <c r="D914" s="225"/>
      <c r="E914" s="225"/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</row>
    <row r="915" ht="15.75" customHeight="1">
      <c r="A915" s="225"/>
      <c r="B915" s="225"/>
      <c r="C915" s="225"/>
      <c r="D915" s="225"/>
      <c r="E915" s="225"/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</row>
    <row r="916" ht="15.75" customHeight="1">
      <c r="A916" s="225"/>
      <c r="B916" s="225"/>
      <c r="C916" s="225"/>
      <c r="D916" s="225"/>
      <c r="E916" s="225"/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</row>
    <row r="917" ht="15.75" customHeight="1">
      <c r="A917" s="225"/>
      <c r="B917" s="225"/>
      <c r="C917" s="225"/>
      <c r="D917" s="225"/>
      <c r="E917" s="225"/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</row>
    <row r="918" ht="15.75" customHeight="1">
      <c r="A918" s="225"/>
      <c r="B918" s="225"/>
      <c r="C918" s="225"/>
      <c r="D918" s="225"/>
      <c r="E918" s="225"/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</row>
    <row r="919" ht="15.75" customHeight="1">
      <c r="A919" s="225"/>
      <c r="B919" s="225"/>
      <c r="C919" s="225"/>
      <c r="D919" s="225"/>
      <c r="E919" s="225"/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</row>
    <row r="920" ht="15.75" customHeight="1">
      <c r="A920" s="225"/>
      <c r="B920" s="225"/>
      <c r="C920" s="225"/>
      <c r="D920" s="225"/>
      <c r="E920" s="225"/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</row>
    <row r="921" ht="15.75" customHeight="1">
      <c r="A921" s="225"/>
      <c r="B921" s="225"/>
      <c r="C921" s="225"/>
      <c r="D921" s="225"/>
      <c r="E921" s="225"/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</row>
    <row r="922" ht="15.75" customHeight="1">
      <c r="A922" s="225"/>
      <c r="B922" s="225"/>
      <c r="C922" s="225"/>
      <c r="D922" s="225"/>
      <c r="E922" s="225"/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</row>
    <row r="923" ht="15.75" customHeight="1">
      <c r="A923" s="225"/>
      <c r="B923" s="225"/>
      <c r="C923" s="225"/>
      <c r="D923" s="225"/>
      <c r="E923" s="225"/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</row>
    <row r="924" ht="15.75" customHeight="1">
      <c r="A924" s="225"/>
      <c r="B924" s="225"/>
      <c r="C924" s="225"/>
      <c r="D924" s="225"/>
      <c r="E924" s="225"/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</row>
    <row r="925" ht="15.75" customHeight="1">
      <c r="A925" s="225"/>
      <c r="B925" s="225"/>
      <c r="C925" s="225"/>
      <c r="D925" s="225"/>
      <c r="E925" s="225"/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</row>
    <row r="926" ht="15.75" customHeight="1">
      <c r="A926" s="225"/>
      <c r="B926" s="225"/>
      <c r="C926" s="225"/>
      <c r="D926" s="225"/>
      <c r="E926" s="225"/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</row>
    <row r="927" ht="15.75" customHeight="1">
      <c r="A927" s="225"/>
      <c r="B927" s="225"/>
      <c r="C927" s="225"/>
      <c r="D927" s="225"/>
      <c r="E927" s="225"/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</row>
    <row r="928" ht="15.75" customHeight="1">
      <c r="A928" s="225"/>
      <c r="B928" s="225"/>
      <c r="C928" s="225"/>
      <c r="D928" s="225"/>
      <c r="E928" s="225"/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</row>
    <row r="929" ht="15.75" customHeight="1">
      <c r="A929" s="225"/>
      <c r="B929" s="225"/>
      <c r="C929" s="225"/>
      <c r="D929" s="225"/>
      <c r="E929" s="225"/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</row>
    <row r="930" ht="15.75" customHeight="1">
      <c r="A930" s="225"/>
      <c r="B930" s="225"/>
      <c r="C930" s="225"/>
      <c r="D930" s="225"/>
      <c r="E930" s="225"/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</row>
    <row r="931" ht="15.75" customHeight="1">
      <c r="A931" s="225"/>
      <c r="B931" s="225"/>
      <c r="C931" s="225"/>
      <c r="D931" s="225"/>
      <c r="E931" s="225"/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</row>
    <row r="932" ht="15.75" customHeight="1">
      <c r="A932" s="225"/>
      <c r="B932" s="225"/>
      <c r="C932" s="225"/>
      <c r="D932" s="225"/>
      <c r="E932" s="225"/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</row>
    <row r="933" ht="15.75" customHeight="1">
      <c r="A933" s="225"/>
      <c r="B933" s="225"/>
      <c r="C933" s="225"/>
      <c r="D933" s="225"/>
      <c r="E933" s="225"/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</row>
    <row r="934" ht="15.75" customHeight="1">
      <c r="A934" s="225"/>
      <c r="B934" s="225"/>
      <c r="C934" s="225"/>
      <c r="D934" s="225"/>
      <c r="E934" s="225"/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</row>
    <row r="935" ht="15.75" customHeight="1">
      <c r="A935" s="225"/>
      <c r="B935" s="225"/>
      <c r="C935" s="225"/>
      <c r="D935" s="225"/>
      <c r="E935" s="225"/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</row>
    <row r="936" ht="15.75" customHeight="1">
      <c r="A936" s="225"/>
      <c r="B936" s="225"/>
      <c r="C936" s="225"/>
      <c r="D936" s="225"/>
      <c r="E936" s="225"/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</row>
    <row r="937" ht="15.75" customHeight="1">
      <c r="A937" s="225"/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</row>
    <row r="938" ht="15.75" customHeight="1">
      <c r="A938" s="225"/>
      <c r="B938" s="225"/>
      <c r="C938" s="225"/>
      <c r="D938" s="225"/>
      <c r="E938" s="225"/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</row>
    <row r="939" ht="15.75" customHeight="1">
      <c r="A939" s="225"/>
      <c r="B939" s="225"/>
      <c r="C939" s="225"/>
      <c r="D939" s="225"/>
      <c r="E939" s="225"/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</row>
    <row r="940" ht="15.75" customHeight="1">
      <c r="A940" s="225"/>
      <c r="B940" s="225"/>
      <c r="C940" s="225"/>
      <c r="D940" s="225"/>
      <c r="E940" s="225"/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</row>
    <row r="941" ht="15.75" customHeight="1">
      <c r="A941" s="225"/>
      <c r="B941" s="225"/>
      <c r="C941" s="225"/>
      <c r="D941" s="225"/>
      <c r="E941" s="225"/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</row>
    <row r="942" ht="15.75" customHeight="1">
      <c r="A942" s="225"/>
      <c r="B942" s="225"/>
      <c r="C942" s="225"/>
      <c r="D942" s="225"/>
      <c r="E942" s="225"/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</row>
    <row r="943" ht="15.75" customHeight="1">
      <c r="A943" s="225"/>
      <c r="B943" s="225"/>
      <c r="C943" s="225"/>
      <c r="D943" s="225"/>
      <c r="E943" s="225"/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</row>
    <row r="944" ht="15.75" customHeight="1">
      <c r="A944" s="225"/>
      <c r="B944" s="225"/>
      <c r="C944" s="225"/>
      <c r="D944" s="225"/>
      <c r="E944" s="225"/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</row>
    <row r="945" ht="15.75" customHeight="1">
      <c r="A945" s="225"/>
      <c r="B945" s="225"/>
      <c r="C945" s="225"/>
      <c r="D945" s="225"/>
      <c r="E945" s="225"/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</row>
    <row r="946" ht="15.75" customHeight="1">
      <c r="A946" s="225"/>
      <c r="B946" s="225"/>
      <c r="C946" s="225"/>
      <c r="D946" s="225"/>
      <c r="E946" s="225"/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</row>
    <row r="947" ht="15.75" customHeight="1">
      <c r="A947" s="225"/>
      <c r="B947" s="225"/>
      <c r="C947" s="225"/>
      <c r="D947" s="225"/>
      <c r="E947" s="225"/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</row>
    <row r="948" ht="15.75" customHeight="1">
      <c r="A948" s="225"/>
      <c r="B948" s="225"/>
      <c r="C948" s="225"/>
      <c r="D948" s="225"/>
      <c r="E948" s="225"/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</row>
    <row r="949" ht="15.75" customHeight="1">
      <c r="A949" s="225"/>
      <c r="B949" s="225"/>
      <c r="C949" s="225"/>
      <c r="D949" s="225"/>
      <c r="E949" s="225"/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</row>
    <row r="950" ht="15.75" customHeight="1">
      <c r="A950" s="225"/>
      <c r="B950" s="225"/>
      <c r="C950" s="225"/>
      <c r="D950" s="225"/>
      <c r="E950" s="225"/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</row>
    <row r="951" ht="15.75" customHeight="1">
      <c r="A951" s="225"/>
      <c r="B951" s="225"/>
      <c r="C951" s="225"/>
      <c r="D951" s="225"/>
      <c r="E951" s="225"/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</row>
    <row r="952" ht="15.75" customHeight="1">
      <c r="A952" s="225"/>
      <c r="B952" s="225"/>
      <c r="C952" s="225"/>
      <c r="D952" s="225"/>
      <c r="E952" s="225"/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</row>
    <row r="953" ht="15.75" customHeight="1">
      <c r="A953" s="225"/>
      <c r="B953" s="225"/>
      <c r="C953" s="225"/>
      <c r="D953" s="225"/>
      <c r="E953" s="225"/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</row>
    <row r="954" ht="15.75" customHeight="1">
      <c r="A954" s="225"/>
      <c r="B954" s="225"/>
      <c r="C954" s="225"/>
      <c r="D954" s="225"/>
      <c r="E954" s="225"/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</row>
    <row r="955" ht="15.75" customHeight="1">
      <c r="A955" s="225"/>
      <c r="B955" s="225"/>
      <c r="C955" s="225"/>
      <c r="D955" s="225"/>
      <c r="E955" s="225"/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</row>
    <row r="956" ht="15.75" customHeight="1">
      <c r="A956" s="225"/>
      <c r="B956" s="225"/>
      <c r="C956" s="225"/>
      <c r="D956" s="225"/>
      <c r="E956" s="225"/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</row>
    <row r="957" ht="15.75" customHeight="1">
      <c r="A957" s="225"/>
      <c r="B957" s="225"/>
      <c r="C957" s="225"/>
      <c r="D957" s="225"/>
      <c r="E957" s="225"/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</row>
    <row r="958" ht="15.75" customHeight="1">
      <c r="A958" s="225"/>
      <c r="B958" s="225"/>
      <c r="C958" s="225"/>
      <c r="D958" s="225"/>
      <c r="E958" s="225"/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</row>
    <row r="959" ht="15.75" customHeight="1">
      <c r="A959" s="225"/>
      <c r="B959" s="225"/>
      <c r="C959" s="225"/>
      <c r="D959" s="225"/>
      <c r="E959" s="225"/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</row>
    <row r="960" ht="15.75" customHeight="1">
      <c r="A960" s="225"/>
      <c r="B960" s="225"/>
      <c r="C960" s="225"/>
      <c r="D960" s="225"/>
      <c r="E960" s="225"/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</row>
    <row r="961" ht="15.75" customHeight="1">
      <c r="A961" s="225"/>
      <c r="B961" s="225"/>
      <c r="C961" s="225"/>
      <c r="D961" s="225"/>
      <c r="E961" s="225"/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</row>
    <row r="962" ht="15.75" customHeight="1">
      <c r="A962" s="225"/>
      <c r="B962" s="225"/>
      <c r="C962" s="225"/>
      <c r="D962" s="225"/>
      <c r="E962" s="225"/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</row>
    <row r="963" ht="15.75" customHeight="1">
      <c r="A963" s="225"/>
      <c r="B963" s="225"/>
      <c r="C963" s="225"/>
      <c r="D963" s="225"/>
      <c r="E963" s="225"/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</row>
    <row r="964" ht="15.75" customHeight="1">
      <c r="A964" s="225"/>
      <c r="B964" s="225"/>
      <c r="C964" s="225"/>
      <c r="D964" s="225"/>
      <c r="E964" s="225"/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</row>
    <row r="965" ht="15.75" customHeight="1">
      <c r="A965" s="225"/>
      <c r="B965" s="225"/>
      <c r="C965" s="225"/>
      <c r="D965" s="225"/>
      <c r="E965" s="225"/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</row>
    <row r="966" ht="15.75" customHeight="1">
      <c r="A966" s="225"/>
      <c r="B966" s="225"/>
      <c r="C966" s="225"/>
      <c r="D966" s="225"/>
      <c r="E966" s="225"/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</row>
    <row r="967" ht="15.75" customHeight="1">
      <c r="A967" s="225"/>
      <c r="B967" s="225"/>
      <c r="C967" s="225"/>
      <c r="D967" s="225"/>
      <c r="E967" s="225"/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</row>
  </sheetData>
  <mergeCells count="2">
    <mergeCell ref="G2:J2"/>
    <mergeCell ref="G40:I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2.0"/>
    <col customWidth="1" min="9" max="9" width="18.0"/>
    <col customWidth="1" min="10" max="10" width="9.5"/>
    <col customWidth="1" min="11" max="11" width="17.75"/>
  </cols>
  <sheetData>
    <row r="1" ht="15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5.75" customHeight="1">
      <c r="A2" s="82"/>
      <c r="B2" s="309" t="s">
        <v>209</v>
      </c>
      <c r="C2" s="106"/>
      <c r="D2" s="106"/>
      <c r="E2" s="106"/>
      <c r="F2" s="106"/>
      <c r="G2" s="107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75" customHeight="1">
      <c r="A3" s="82"/>
      <c r="B3" s="310" t="s">
        <v>210</v>
      </c>
      <c r="C3" s="311" t="s">
        <v>211</v>
      </c>
      <c r="D3" s="312" t="s">
        <v>212</v>
      </c>
      <c r="E3" s="312" t="s">
        <v>213</v>
      </c>
      <c r="F3" s="313" t="s">
        <v>214</v>
      </c>
      <c r="G3" s="313" t="s">
        <v>157</v>
      </c>
      <c r="H3" s="314"/>
      <c r="I3" s="314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5.75" customHeight="1">
      <c r="A4" s="82"/>
      <c r="B4" s="315" t="s">
        <v>215</v>
      </c>
      <c r="C4" s="316">
        <f>'Cash Report'!D64-103000000</f>
        <v>238088930.2</v>
      </c>
      <c r="D4" s="317">
        <v>0.0</v>
      </c>
      <c r="E4" s="318">
        <v>0.0</v>
      </c>
      <c r="F4" s="319">
        <v>1.0</v>
      </c>
      <c r="G4" s="316">
        <f>C4*F4</f>
        <v>238088930.2</v>
      </c>
      <c r="H4" s="320"/>
      <c r="I4" s="314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5.75" customHeight="1">
      <c r="A5" s="82"/>
      <c r="B5" s="315" t="s">
        <v>216</v>
      </c>
      <c r="C5" s="316">
        <v>0.0</v>
      </c>
      <c r="D5" s="321">
        <f>'Cash Report'!D65</f>
        <v>354445.97</v>
      </c>
      <c r="E5" s="322">
        <v>0.0</v>
      </c>
      <c r="F5" s="323">
        <f>'Cash Report'!$E$31</f>
        <v>1393.69</v>
      </c>
      <c r="G5" s="316">
        <f>'Cash Report'!J39</f>
        <v>493987803.9</v>
      </c>
      <c r="H5" s="324"/>
      <c r="I5" s="314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5.75" customHeight="1">
      <c r="A6" s="82"/>
      <c r="B6" s="315" t="s">
        <v>217</v>
      </c>
      <c r="C6" s="316">
        <v>0.0</v>
      </c>
      <c r="D6" s="321">
        <v>0.0</v>
      </c>
      <c r="E6" s="322">
        <f>'Cash Report'!D66</f>
        <v>2525</v>
      </c>
      <c r="F6" s="325">
        <f>'Cash Report'!E30</f>
        <v>1862.92</v>
      </c>
      <c r="G6" s="316">
        <f>'Cash Report'!F66</f>
        <v>4703873</v>
      </c>
      <c r="H6" s="326"/>
      <c r="I6" s="314">
        <f>(G5+G6)/F5</f>
        <v>357821.0914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15.75" customHeight="1">
      <c r="A7" s="82"/>
      <c r="B7" s="327" t="s">
        <v>218</v>
      </c>
      <c r="C7" s="316">
        <v>0.0</v>
      </c>
      <c r="D7" s="321">
        <f>'Breakdown of Income and Expendi'!H37</f>
        <v>768.94</v>
      </c>
      <c r="E7" s="322">
        <v>0.0</v>
      </c>
      <c r="F7" s="323">
        <f>'Cash Report'!$E$31</f>
        <v>1393.69</v>
      </c>
      <c r="G7" s="316">
        <f>D7*F7</f>
        <v>1071663.989</v>
      </c>
      <c r="H7" s="326"/>
      <c r="I7" s="314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5.75" customHeight="1">
      <c r="A8" s="82"/>
      <c r="B8" s="328" t="s">
        <v>150</v>
      </c>
      <c r="C8" s="329">
        <f t="shared" ref="C8:E8" si="1">SUM(C4:C7)</f>
        <v>238088930.2</v>
      </c>
      <c r="D8" s="330">
        <f t="shared" si="1"/>
        <v>355214.91</v>
      </c>
      <c r="E8" s="331">
        <f t="shared" si="1"/>
        <v>2525</v>
      </c>
      <c r="F8" s="313"/>
      <c r="G8" s="332">
        <f>SUM(G4:G7)</f>
        <v>737852271.2</v>
      </c>
      <c r="H8" s="44"/>
      <c r="I8" s="314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5.75" customHeight="1">
      <c r="A9" s="82"/>
      <c r="B9" s="82"/>
      <c r="C9" s="333"/>
      <c r="D9" s="82"/>
      <c r="E9" s="334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5.75" customHeight="1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5.75" customHeight="1">
      <c r="A11" s="82"/>
      <c r="B11" s="335" t="s">
        <v>219</v>
      </c>
      <c r="C11" s="106"/>
      <c r="D11" s="106"/>
      <c r="E11" s="106"/>
      <c r="F11" s="106"/>
      <c r="G11" s="106"/>
      <c r="H11" s="107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15.75" customHeight="1">
      <c r="A12" s="82"/>
      <c r="B12" s="336" t="s">
        <v>220</v>
      </c>
      <c r="C12" s="337" t="s">
        <v>221</v>
      </c>
      <c r="D12" s="337" t="s">
        <v>222</v>
      </c>
      <c r="E12" s="337" t="s">
        <v>4</v>
      </c>
      <c r="F12" s="337" t="s">
        <v>135</v>
      </c>
      <c r="G12" s="313" t="s">
        <v>223</v>
      </c>
      <c r="H12" s="337" t="s">
        <v>224</v>
      </c>
      <c r="I12" s="82"/>
      <c r="J12" s="338" t="s">
        <v>225</v>
      </c>
      <c r="K12" s="316">
        <f>G4+E32+G39</f>
        <v>333302112.1</v>
      </c>
      <c r="L12" s="339">
        <f>K12/F5</f>
        <v>239150.8242</v>
      </c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5.75" customHeight="1">
      <c r="A13" s="82"/>
      <c r="B13" s="340" t="s">
        <v>226</v>
      </c>
      <c r="C13" s="341">
        <f>59500-59500</f>
        <v>0</v>
      </c>
      <c r="D13" s="342">
        <v>689.68</v>
      </c>
      <c r="E13" s="341">
        <f t="shared" ref="E13:E18" si="2">SUM(C13:D13)</f>
        <v>689.68</v>
      </c>
      <c r="F13" s="343" t="s">
        <v>137</v>
      </c>
      <c r="G13" s="315" t="s">
        <v>227</v>
      </c>
      <c r="H13" s="343"/>
      <c r="I13" s="344"/>
      <c r="J13" s="338" t="s">
        <v>148</v>
      </c>
      <c r="K13" s="345">
        <f>I6+(E24-C24)+D7</f>
        <v>361002.3814</v>
      </c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5.75" customHeight="1">
      <c r="A14" s="82"/>
      <c r="B14" s="340" t="s">
        <v>228</v>
      </c>
      <c r="C14" s="321">
        <f>752544.4-123000-60000-100000</f>
        <v>469544.4</v>
      </c>
      <c r="D14" s="342">
        <v>131209.01</v>
      </c>
      <c r="E14" s="341">
        <f t="shared" si="2"/>
        <v>600753.41</v>
      </c>
      <c r="F14" s="343" t="s">
        <v>137</v>
      </c>
      <c r="G14" s="315" t="s">
        <v>227</v>
      </c>
      <c r="H14" s="343"/>
      <c r="I14" s="344"/>
      <c r="J14" s="338" t="s">
        <v>229</v>
      </c>
      <c r="K14" s="346">
        <f>E19</f>
        <v>1210158.829</v>
      </c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347"/>
      <c r="B15" s="340" t="s">
        <v>230</v>
      </c>
      <c r="C15" s="348">
        <v>111975.34870967735</v>
      </c>
      <c r="D15" s="342">
        <v>1089.64</v>
      </c>
      <c r="E15" s="341">
        <f t="shared" si="2"/>
        <v>113064.9887</v>
      </c>
      <c r="F15" s="343" t="s">
        <v>137</v>
      </c>
      <c r="G15" s="315" t="s">
        <v>227</v>
      </c>
      <c r="H15" s="349"/>
      <c r="I15" s="344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</row>
    <row r="16" ht="15.75" customHeight="1">
      <c r="A16" s="82"/>
      <c r="B16" s="340" t="s">
        <v>231</v>
      </c>
      <c r="C16" s="350">
        <v>0.0</v>
      </c>
      <c r="D16" s="351">
        <v>29881.75</v>
      </c>
      <c r="E16" s="341">
        <f t="shared" si="2"/>
        <v>29881.75</v>
      </c>
      <c r="F16" s="352"/>
      <c r="G16" s="315"/>
      <c r="H16" s="343"/>
      <c r="I16" s="90"/>
      <c r="J16" s="82"/>
      <c r="K16" s="334">
        <f>K14+K13+L12</f>
        <v>1810312.034</v>
      </c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15.75" customHeight="1">
      <c r="A17" s="82"/>
      <c r="B17" s="353" t="s">
        <v>232</v>
      </c>
      <c r="C17" s="354">
        <v>465000.0</v>
      </c>
      <c r="D17" s="350">
        <v>0.0</v>
      </c>
      <c r="E17" s="341">
        <f t="shared" si="2"/>
        <v>465000</v>
      </c>
      <c r="F17" s="343"/>
      <c r="G17" s="315" t="s">
        <v>227</v>
      </c>
      <c r="H17" s="343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15.75" customHeight="1">
      <c r="A18" s="82"/>
      <c r="B18" s="340" t="s">
        <v>233</v>
      </c>
      <c r="C18" s="341">
        <v>769.0</v>
      </c>
      <c r="D18" s="321">
        <v>0.0</v>
      </c>
      <c r="E18" s="341">
        <f t="shared" si="2"/>
        <v>769</v>
      </c>
      <c r="F18" s="343" t="s">
        <v>137</v>
      </c>
      <c r="G18" s="315" t="s">
        <v>137</v>
      </c>
      <c r="H18" s="343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15.75" customHeight="1">
      <c r="A19" s="82"/>
      <c r="B19" s="340"/>
      <c r="C19" s="355">
        <f t="shared" ref="C19:E19" si="3">SUM(C13:C18)</f>
        <v>1047288.749</v>
      </c>
      <c r="D19" s="355">
        <f t="shared" si="3"/>
        <v>162870.08</v>
      </c>
      <c r="E19" s="356">
        <f t="shared" si="3"/>
        <v>1210158.829</v>
      </c>
      <c r="F19" s="315"/>
      <c r="G19" s="357"/>
      <c r="H19" s="357"/>
      <c r="I19" s="358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15.75" customHeight="1">
      <c r="A20" s="82"/>
      <c r="B20" s="82"/>
      <c r="C20" s="82"/>
      <c r="D20" s="82"/>
      <c r="E20" s="359"/>
      <c r="F20" s="334"/>
      <c r="G20" s="360"/>
      <c r="H20" s="361"/>
      <c r="I20" s="82"/>
      <c r="J20" s="82"/>
      <c r="K20" s="362">
        <v>1421038.34</v>
      </c>
      <c r="L20" s="363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5.75" customHeight="1">
      <c r="A21" s="82"/>
      <c r="B21" s="82"/>
      <c r="C21" s="82"/>
      <c r="D21" s="82"/>
      <c r="E21" s="82"/>
      <c r="F21" s="82"/>
      <c r="G21" s="82"/>
      <c r="H21" s="82"/>
      <c r="I21" s="364"/>
      <c r="J21" s="82"/>
      <c r="K21" s="365">
        <f>K20-E19</f>
        <v>210879.5113</v>
      </c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5.75" customHeight="1">
      <c r="A22" s="82"/>
      <c r="B22" s="335" t="s">
        <v>234</v>
      </c>
      <c r="C22" s="106"/>
      <c r="D22" s="106"/>
      <c r="E22" s="106"/>
      <c r="F22" s="106"/>
      <c r="G22" s="106"/>
      <c r="H22" s="107"/>
      <c r="I22" s="364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5.75" customHeight="1">
      <c r="A23" s="82"/>
      <c r="B23" s="313" t="s">
        <v>220</v>
      </c>
      <c r="C23" s="313" t="s">
        <v>221</v>
      </c>
      <c r="D23" s="313" t="s">
        <v>222</v>
      </c>
      <c r="E23" s="313" t="s">
        <v>4</v>
      </c>
      <c r="F23" s="313" t="s">
        <v>135</v>
      </c>
      <c r="G23" s="313" t="s">
        <v>223</v>
      </c>
      <c r="H23" s="313" t="s">
        <v>224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5.75" customHeight="1">
      <c r="A24" s="82"/>
      <c r="B24" s="315" t="s">
        <v>235</v>
      </c>
      <c r="C24" s="346">
        <v>38400.0</v>
      </c>
      <c r="D24" s="366">
        <v>2412.3500000000004</v>
      </c>
      <c r="E24" s="367">
        <f>C24+D24</f>
        <v>40812.35</v>
      </c>
      <c r="F24" s="368" t="s">
        <v>137</v>
      </c>
      <c r="G24" s="315" t="s">
        <v>227</v>
      </c>
      <c r="H24" s="369" t="s">
        <v>236</v>
      </c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5.75" customHeight="1">
      <c r="A25" s="82"/>
      <c r="B25" s="370" t="s">
        <v>237</v>
      </c>
      <c r="C25" s="371">
        <f t="shared" ref="C25:E25" si="4">SUM(C24)</f>
        <v>38400</v>
      </c>
      <c r="D25" s="371">
        <f t="shared" si="4"/>
        <v>2412.35</v>
      </c>
      <c r="E25" s="372">
        <f t="shared" si="4"/>
        <v>40812.35</v>
      </c>
      <c r="F25" s="357"/>
      <c r="G25" s="357"/>
      <c r="H25" s="373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2"/>
      <c r="B26" s="82"/>
      <c r="C26" s="82"/>
      <c r="D26" s="82"/>
      <c r="E26" s="82"/>
      <c r="F26" s="374"/>
      <c r="G26" s="360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82"/>
      <c r="B27" s="82"/>
      <c r="C27" s="82"/>
      <c r="D27" s="375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82"/>
      <c r="B28" s="335" t="s">
        <v>238</v>
      </c>
      <c r="C28" s="106"/>
      <c r="D28" s="106"/>
      <c r="E28" s="106"/>
      <c r="F28" s="106"/>
      <c r="G28" s="106"/>
      <c r="H28" s="376"/>
      <c r="I28" s="358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82"/>
      <c r="B29" s="336" t="s">
        <v>220</v>
      </c>
      <c r="C29" s="337" t="s">
        <v>221</v>
      </c>
      <c r="D29" s="337" t="s">
        <v>222</v>
      </c>
      <c r="E29" s="337" t="s">
        <v>4</v>
      </c>
      <c r="F29" s="313" t="s">
        <v>135</v>
      </c>
      <c r="G29" s="313" t="s">
        <v>223</v>
      </c>
      <c r="H29" s="313" t="s">
        <v>224</v>
      </c>
      <c r="I29" s="358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5.75" customHeight="1">
      <c r="A30" s="82"/>
      <c r="B30" s="353" t="s">
        <v>239</v>
      </c>
      <c r="C30" s="171">
        <v>17791.369999997318</v>
      </c>
      <c r="D30" s="377">
        <v>0.0</v>
      </c>
      <c r="E30" s="378">
        <f>C30+D30</f>
        <v>17791.37</v>
      </c>
      <c r="F30" s="379" t="s">
        <v>137</v>
      </c>
      <c r="G30" s="315" t="s">
        <v>227</v>
      </c>
      <c r="H30" s="315"/>
      <c r="I30" s="380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82"/>
      <c r="B31" s="381"/>
      <c r="C31" s="382"/>
      <c r="D31" s="377"/>
      <c r="E31" s="378"/>
      <c r="F31" s="379"/>
      <c r="G31" s="315"/>
      <c r="H31" s="338" t="s">
        <v>240</v>
      </c>
      <c r="I31" s="380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5.75" customHeight="1">
      <c r="A32" s="82"/>
      <c r="B32" s="370" t="s">
        <v>241</v>
      </c>
      <c r="C32" s="332">
        <f t="shared" ref="C32:E32" si="5">SUM(C30:C31)</f>
        <v>17791.37</v>
      </c>
      <c r="D32" s="332">
        <f t="shared" si="5"/>
        <v>0</v>
      </c>
      <c r="E32" s="332">
        <f t="shared" si="5"/>
        <v>17791.37</v>
      </c>
      <c r="F32" s="315"/>
      <c r="G32" s="315"/>
      <c r="H32" s="315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5.75" customHeight="1">
      <c r="A34" s="82"/>
      <c r="B34" s="82"/>
      <c r="C34" s="82"/>
      <c r="D34" s="44"/>
      <c r="E34" s="82"/>
      <c r="F34" s="383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75" customHeight="1">
      <c r="A35" s="82"/>
      <c r="B35" s="309" t="s">
        <v>242</v>
      </c>
      <c r="C35" s="106"/>
      <c r="D35" s="106"/>
      <c r="E35" s="106"/>
      <c r="F35" s="106"/>
      <c r="G35" s="106"/>
      <c r="H35" s="376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5.75" customHeight="1">
      <c r="A36" s="82"/>
      <c r="B36" s="384" t="s">
        <v>243</v>
      </c>
      <c r="C36" s="181"/>
      <c r="D36" s="181"/>
      <c r="E36" s="181"/>
      <c r="F36" s="182"/>
      <c r="G36" s="385">
        <v>44531.0</v>
      </c>
      <c r="H36" s="315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5.75" customHeight="1">
      <c r="A37" s="82"/>
      <c r="B37" s="384" t="s">
        <v>244</v>
      </c>
      <c r="C37" s="181"/>
      <c r="D37" s="181"/>
      <c r="E37" s="181"/>
      <c r="F37" s="182"/>
      <c r="G37" s="386">
        <v>2.028E7</v>
      </c>
      <c r="H37" s="315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5.75" customHeight="1">
      <c r="A38" s="82"/>
      <c r="B38" s="387" t="s">
        <v>245</v>
      </c>
      <c r="C38" s="181"/>
      <c r="D38" s="181"/>
      <c r="E38" s="181"/>
      <c r="F38" s="182"/>
      <c r="G38" s="386">
        <v>9.650611551E7</v>
      </c>
      <c r="H38" s="315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75" customHeight="1">
      <c r="A39" s="82"/>
      <c r="B39" s="387" t="s">
        <v>246</v>
      </c>
      <c r="C39" s="181"/>
      <c r="D39" s="181"/>
      <c r="E39" s="181"/>
      <c r="F39" s="182"/>
      <c r="G39" s="386">
        <v>9.519539051E7</v>
      </c>
      <c r="H39" s="315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38:F38"/>
    <mergeCell ref="B39:F39"/>
    <mergeCell ref="B2:G2"/>
    <mergeCell ref="B11:H11"/>
    <mergeCell ref="B22:H22"/>
    <mergeCell ref="B28:H28"/>
    <mergeCell ref="B35:H35"/>
    <mergeCell ref="B36:F36"/>
    <mergeCell ref="B37:F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2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</row>
    <row r="2">
      <c r="A2" s="225"/>
      <c r="B2" s="388" t="s">
        <v>247</v>
      </c>
      <c r="C2" s="106"/>
      <c r="D2" s="106"/>
      <c r="E2" s="106"/>
      <c r="F2" s="107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</row>
    <row r="3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</row>
    <row r="4">
      <c r="A4" s="225"/>
      <c r="B4" s="389" t="s">
        <v>248</v>
      </c>
      <c r="C4" s="389" t="s">
        <v>175</v>
      </c>
      <c r="D4" s="389" t="s">
        <v>249</v>
      </c>
      <c r="E4" s="389" t="s">
        <v>250</v>
      </c>
      <c r="F4" s="389" t="s">
        <v>251</v>
      </c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</row>
    <row r="5">
      <c r="A5" s="225"/>
      <c r="B5" s="390">
        <v>45669.0</v>
      </c>
      <c r="C5" s="391" t="s">
        <v>252</v>
      </c>
      <c r="D5" s="392"/>
      <c r="E5" s="393">
        <v>1000.0</v>
      </c>
      <c r="F5" s="393">
        <v>5406.0</v>
      </c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</row>
    <row r="6">
      <c r="A6" s="225"/>
      <c r="B6" s="390">
        <v>45881.0</v>
      </c>
      <c r="C6" s="394" t="s">
        <v>253</v>
      </c>
      <c r="D6" s="393">
        <v>10000.0</v>
      </c>
      <c r="E6" s="395"/>
      <c r="F6" s="393">
        <f t="shared" ref="F6:F40" si="1">F5+D6-E6</f>
        <v>15406</v>
      </c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</row>
    <row r="7">
      <c r="A7" s="225"/>
      <c r="B7" s="396" t="s">
        <v>254</v>
      </c>
      <c r="C7" s="394" t="s">
        <v>255</v>
      </c>
      <c r="D7" s="392"/>
      <c r="E7" s="397">
        <v>2000.0</v>
      </c>
      <c r="F7" s="393">
        <f t="shared" si="1"/>
        <v>13406</v>
      </c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</row>
    <row r="8">
      <c r="A8" s="225"/>
      <c r="B8" s="396" t="s">
        <v>254</v>
      </c>
      <c r="C8" s="394" t="s">
        <v>256</v>
      </c>
      <c r="D8" s="392"/>
      <c r="E8" s="397">
        <v>2000.0</v>
      </c>
      <c r="F8" s="393">
        <f t="shared" si="1"/>
        <v>11406</v>
      </c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</row>
    <row r="9">
      <c r="A9" s="225"/>
      <c r="B9" s="396" t="s">
        <v>254</v>
      </c>
      <c r="C9" s="394" t="s">
        <v>257</v>
      </c>
      <c r="D9" s="392"/>
      <c r="E9" s="397">
        <v>1000.0</v>
      </c>
      <c r="F9" s="393">
        <f t="shared" si="1"/>
        <v>10406</v>
      </c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</row>
    <row r="10">
      <c r="A10" s="225"/>
      <c r="B10" s="396" t="s">
        <v>254</v>
      </c>
      <c r="C10" s="394" t="s">
        <v>258</v>
      </c>
      <c r="D10" s="392"/>
      <c r="E10" s="397">
        <v>2000.0</v>
      </c>
      <c r="F10" s="393">
        <f t="shared" si="1"/>
        <v>8406</v>
      </c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</row>
    <row r="11">
      <c r="A11" s="225"/>
      <c r="B11" s="396" t="s">
        <v>254</v>
      </c>
      <c r="C11" s="394" t="s">
        <v>259</v>
      </c>
      <c r="D11" s="392"/>
      <c r="E11" s="397">
        <v>2000.0</v>
      </c>
      <c r="F11" s="393">
        <f t="shared" si="1"/>
        <v>6406</v>
      </c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</row>
    <row r="12">
      <c r="A12" s="225"/>
      <c r="B12" s="396" t="s">
        <v>254</v>
      </c>
      <c r="C12" s="394" t="s">
        <v>260</v>
      </c>
      <c r="D12" s="395"/>
      <c r="E12" s="397">
        <v>1000.0</v>
      </c>
      <c r="F12" s="393">
        <f t="shared" si="1"/>
        <v>5406</v>
      </c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</row>
    <row r="13">
      <c r="A13" s="225"/>
      <c r="B13" s="396" t="s">
        <v>254</v>
      </c>
      <c r="C13" s="394" t="s">
        <v>261</v>
      </c>
      <c r="D13" s="394"/>
      <c r="E13" s="397">
        <v>2000.0</v>
      </c>
      <c r="F13" s="393">
        <f t="shared" si="1"/>
        <v>3406</v>
      </c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</row>
    <row r="14">
      <c r="A14" s="225"/>
      <c r="B14" s="396" t="s">
        <v>254</v>
      </c>
      <c r="C14" s="394" t="s">
        <v>262</v>
      </c>
      <c r="D14" s="394"/>
      <c r="E14" s="397">
        <v>1000.0</v>
      </c>
      <c r="F14" s="393">
        <f t="shared" si="1"/>
        <v>2406</v>
      </c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</row>
    <row r="15">
      <c r="A15" s="225"/>
      <c r="B15" s="396" t="s">
        <v>254</v>
      </c>
      <c r="C15" s="394" t="s">
        <v>263</v>
      </c>
      <c r="D15" s="398">
        <v>13000.0</v>
      </c>
      <c r="E15" s="394"/>
      <c r="F15" s="393">
        <f t="shared" si="1"/>
        <v>15406</v>
      </c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</row>
    <row r="16">
      <c r="A16" s="225"/>
      <c r="B16" s="396" t="s">
        <v>254</v>
      </c>
      <c r="C16" s="394" t="s">
        <v>264</v>
      </c>
      <c r="D16" s="394"/>
      <c r="E16" s="397">
        <v>3250.0</v>
      </c>
      <c r="F16" s="393">
        <f t="shared" si="1"/>
        <v>12156</v>
      </c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</row>
    <row r="17">
      <c r="A17" s="225"/>
      <c r="B17" s="396" t="s">
        <v>254</v>
      </c>
      <c r="C17" s="394" t="s">
        <v>265</v>
      </c>
      <c r="D17" s="394"/>
      <c r="E17" s="397">
        <v>3250.0</v>
      </c>
      <c r="F17" s="393">
        <f t="shared" si="1"/>
        <v>8906</v>
      </c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</row>
    <row r="18">
      <c r="A18" s="225"/>
      <c r="B18" s="396" t="s">
        <v>254</v>
      </c>
      <c r="C18" s="394" t="s">
        <v>266</v>
      </c>
      <c r="D18" s="394"/>
      <c r="E18" s="397">
        <v>1625.0</v>
      </c>
      <c r="F18" s="393">
        <f t="shared" si="1"/>
        <v>7281</v>
      </c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</row>
    <row r="19">
      <c r="A19" s="225"/>
      <c r="B19" s="396" t="s">
        <v>267</v>
      </c>
      <c r="C19" s="394" t="s">
        <v>268</v>
      </c>
      <c r="D19" s="394"/>
      <c r="E19" s="397">
        <v>5300.0</v>
      </c>
      <c r="F19" s="393">
        <f t="shared" si="1"/>
        <v>1981</v>
      </c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</row>
    <row r="20">
      <c r="A20" s="225"/>
      <c r="B20" s="390">
        <v>46235.0</v>
      </c>
      <c r="C20" s="394" t="s">
        <v>269</v>
      </c>
      <c r="D20" s="392"/>
      <c r="E20" s="393">
        <v>1280.0</v>
      </c>
      <c r="F20" s="393">
        <f t="shared" si="1"/>
        <v>701</v>
      </c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</row>
    <row r="21">
      <c r="A21" s="225"/>
      <c r="B21" s="396" t="s">
        <v>270</v>
      </c>
      <c r="C21" s="394" t="s">
        <v>271</v>
      </c>
      <c r="D21" s="393">
        <v>22000.0</v>
      </c>
      <c r="E21" s="395"/>
      <c r="F21" s="393">
        <f t="shared" si="1"/>
        <v>22701</v>
      </c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</row>
    <row r="22">
      <c r="A22" s="225"/>
      <c r="B22" s="396" t="s">
        <v>270</v>
      </c>
      <c r="C22" s="391" t="s">
        <v>272</v>
      </c>
      <c r="D22" s="392"/>
      <c r="E22" s="393">
        <v>500.0</v>
      </c>
      <c r="F22" s="393">
        <f t="shared" si="1"/>
        <v>22201</v>
      </c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</row>
    <row r="23">
      <c r="A23" s="225"/>
      <c r="B23" s="399" t="s">
        <v>273</v>
      </c>
      <c r="C23" s="307" t="s">
        <v>274</v>
      </c>
      <c r="D23" s="400"/>
      <c r="E23" s="401">
        <v>1500.0</v>
      </c>
      <c r="F23" s="393">
        <f t="shared" si="1"/>
        <v>20701</v>
      </c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</row>
    <row r="24">
      <c r="A24" s="225"/>
      <c r="B24" s="399" t="s">
        <v>273</v>
      </c>
      <c r="C24" s="307" t="s">
        <v>275</v>
      </c>
      <c r="D24" s="400"/>
      <c r="E24" s="401">
        <v>3500.0</v>
      </c>
      <c r="F24" s="393">
        <f t="shared" si="1"/>
        <v>17201</v>
      </c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</row>
    <row r="25">
      <c r="A25" s="225"/>
      <c r="B25" s="399" t="s">
        <v>273</v>
      </c>
      <c r="C25" s="307" t="s">
        <v>276</v>
      </c>
      <c r="D25" s="400"/>
      <c r="E25" s="401">
        <v>2000.0</v>
      </c>
      <c r="F25" s="393">
        <f t="shared" si="1"/>
        <v>15201</v>
      </c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</row>
    <row r="26">
      <c r="A26" s="225"/>
      <c r="B26" s="399" t="s">
        <v>273</v>
      </c>
      <c r="C26" s="307" t="s">
        <v>277</v>
      </c>
      <c r="D26" s="400"/>
      <c r="E26" s="401">
        <v>4500.0</v>
      </c>
      <c r="F26" s="393">
        <f t="shared" si="1"/>
        <v>10701</v>
      </c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</row>
    <row r="27">
      <c r="A27" s="225"/>
      <c r="B27" s="399" t="s">
        <v>273</v>
      </c>
      <c r="C27" s="307" t="s">
        <v>278</v>
      </c>
      <c r="D27" s="402"/>
      <c r="E27" s="401">
        <v>2000.0</v>
      </c>
      <c r="F27" s="393">
        <f t="shared" si="1"/>
        <v>8701</v>
      </c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</row>
    <row r="28">
      <c r="A28" s="225"/>
      <c r="B28" s="403">
        <v>46205.0</v>
      </c>
      <c r="C28" s="307" t="s">
        <v>279</v>
      </c>
      <c r="D28" s="307"/>
      <c r="E28" s="401">
        <v>1105.0</v>
      </c>
      <c r="F28" s="404">
        <f t="shared" si="1"/>
        <v>7596</v>
      </c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</row>
    <row r="29">
      <c r="A29" s="225"/>
      <c r="B29" s="403">
        <v>46205.0</v>
      </c>
      <c r="C29" s="307" t="s">
        <v>280</v>
      </c>
      <c r="D29" s="307"/>
      <c r="E29" s="401">
        <v>650.0</v>
      </c>
      <c r="F29" s="404">
        <f t="shared" si="1"/>
        <v>6946</v>
      </c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</row>
    <row r="30">
      <c r="A30" s="225"/>
      <c r="B30" s="405" t="s">
        <v>281</v>
      </c>
      <c r="C30" s="259" t="s">
        <v>282</v>
      </c>
      <c r="D30" s="261"/>
      <c r="E30" s="406">
        <v>1000.0</v>
      </c>
      <c r="F30" s="404">
        <f t="shared" si="1"/>
        <v>5946</v>
      </c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</row>
    <row r="31">
      <c r="A31" s="225"/>
      <c r="B31" s="399" t="s">
        <v>283</v>
      </c>
      <c r="C31" s="307" t="s">
        <v>284</v>
      </c>
      <c r="D31" s="400"/>
      <c r="E31" s="401">
        <v>940.0</v>
      </c>
      <c r="F31" s="404">
        <f t="shared" si="1"/>
        <v>5006</v>
      </c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</row>
    <row r="32">
      <c r="A32" s="225"/>
      <c r="B32" s="399" t="s">
        <v>283</v>
      </c>
      <c r="C32" s="307" t="s">
        <v>285</v>
      </c>
      <c r="D32" s="407">
        <v>240.0</v>
      </c>
      <c r="E32" s="408"/>
      <c r="F32" s="404">
        <f t="shared" si="1"/>
        <v>5246</v>
      </c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</row>
    <row r="33">
      <c r="A33" s="225"/>
      <c r="B33" s="399" t="s">
        <v>283</v>
      </c>
      <c r="C33" s="307" t="s">
        <v>286</v>
      </c>
      <c r="D33" s="400"/>
      <c r="E33" s="401">
        <v>51.0</v>
      </c>
      <c r="F33" s="404">
        <f t="shared" si="1"/>
        <v>5195</v>
      </c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</row>
    <row r="34">
      <c r="A34" s="225"/>
      <c r="B34" s="399" t="s">
        <v>287</v>
      </c>
      <c r="C34" s="307" t="s">
        <v>288</v>
      </c>
      <c r="D34" s="407">
        <v>15000.0</v>
      </c>
      <c r="E34" s="408"/>
      <c r="F34" s="404">
        <f t="shared" si="1"/>
        <v>20195</v>
      </c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</row>
    <row r="35">
      <c r="A35" s="225"/>
      <c r="B35" s="403">
        <v>46025.0</v>
      </c>
      <c r="C35" s="307" t="s">
        <v>276</v>
      </c>
      <c r="D35" s="400"/>
      <c r="E35" s="401">
        <v>2000.0</v>
      </c>
      <c r="F35" s="404">
        <f t="shared" si="1"/>
        <v>18195</v>
      </c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</row>
    <row r="36">
      <c r="A36" s="225"/>
      <c r="B36" s="403">
        <v>46025.0</v>
      </c>
      <c r="C36" s="307" t="s">
        <v>277</v>
      </c>
      <c r="D36" s="400"/>
      <c r="E36" s="401">
        <v>4500.0</v>
      </c>
      <c r="F36" s="404">
        <f t="shared" si="1"/>
        <v>13695</v>
      </c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</row>
    <row r="37">
      <c r="A37" s="225"/>
      <c r="B37" s="403">
        <v>46025.0</v>
      </c>
      <c r="C37" s="307" t="s">
        <v>278</v>
      </c>
      <c r="D37" s="402"/>
      <c r="E37" s="401">
        <v>2000.0</v>
      </c>
      <c r="F37" s="404">
        <f t="shared" si="1"/>
        <v>11695</v>
      </c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</row>
    <row r="38">
      <c r="A38" s="225"/>
      <c r="B38" s="403">
        <v>46025.0</v>
      </c>
      <c r="C38" s="307" t="s">
        <v>289</v>
      </c>
      <c r="D38" s="400"/>
      <c r="E38" s="401">
        <v>1450.0</v>
      </c>
      <c r="F38" s="404">
        <f t="shared" si="1"/>
        <v>10245</v>
      </c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</row>
    <row r="39">
      <c r="A39" s="225"/>
      <c r="B39" s="403">
        <v>46268.0</v>
      </c>
      <c r="C39" s="307" t="s">
        <v>290</v>
      </c>
      <c r="D39" s="400"/>
      <c r="E39" s="401">
        <v>780.0</v>
      </c>
      <c r="F39" s="404">
        <f t="shared" si="1"/>
        <v>9465</v>
      </c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</row>
    <row r="40">
      <c r="A40" s="225"/>
      <c r="B40" s="403">
        <v>46268.0</v>
      </c>
      <c r="C40" s="307" t="s">
        <v>291</v>
      </c>
      <c r="D40" s="400"/>
      <c r="E40" s="401">
        <v>150.0</v>
      </c>
      <c r="F40" s="404">
        <f t="shared" si="1"/>
        <v>9315</v>
      </c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</row>
    <row r="41">
      <c r="A41" s="225"/>
      <c r="B41" s="225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</row>
    <row r="42">
      <c r="A42" s="225"/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</row>
    <row r="43">
      <c r="A43" s="225"/>
      <c r="B43" s="225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</row>
    <row r="44">
      <c r="A44" s="225"/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</row>
    <row r="45">
      <c r="A45" s="225"/>
      <c r="B45" s="225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</row>
    <row r="46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</row>
    <row r="47">
      <c r="A47" s="225"/>
      <c r="B47" s="225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</row>
    <row r="48">
      <c r="A48" s="225"/>
      <c r="B48" s="225"/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</row>
    <row r="49">
      <c r="A49" s="225"/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</row>
    <row r="50">
      <c r="A50" s="225"/>
      <c r="B50" s="225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</row>
    <row r="51">
      <c r="A51" s="225"/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</row>
    <row r="52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</row>
    <row r="53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</row>
    <row r="54">
      <c r="A54" s="225"/>
      <c r="B54" s="225"/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</row>
    <row r="55">
      <c r="A55" s="225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</row>
    <row r="56">
      <c r="A56" s="225"/>
      <c r="B56" s="225"/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</row>
    <row r="57">
      <c r="A57" s="225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</row>
    <row r="58">
      <c r="A58" s="225"/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</row>
    <row r="59">
      <c r="A59" s="225"/>
      <c r="B59" s="225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</row>
    <row r="60">
      <c r="A60" s="225"/>
      <c r="B60" s="225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</row>
    <row r="61">
      <c r="A61" s="225"/>
      <c r="B61" s="225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</row>
    <row r="62">
      <c r="A62" s="225"/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</row>
    <row r="63">
      <c r="A63" s="225"/>
      <c r="B63" s="225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</row>
    <row r="64">
      <c r="A64" s="225"/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</row>
    <row r="65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</row>
    <row r="66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</row>
    <row r="67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</row>
    <row r="68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</row>
    <row r="69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</row>
    <row r="70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</row>
    <row r="7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</row>
    <row r="72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</row>
    <row r="73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</row>
    <row r="74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</row>
    <row r="75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</row>
    <row r="76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</row>
    <row r="77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</row>
    <row r="78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</row>
    <row r="79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</row>
    <row r="80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</row>
    <row r="8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</row>
    <row r="82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</row>
    <row r="83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</row>
    <row r="84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</row>
    <row r="85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</row>
    <row r="86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</row>
    <row r="87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</row>
    <row r="88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</row>
    <row r="89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</row>
    <row r="90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</row>
    <row r="9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</row>
    <row r="92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</row>
    <row r="93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</row>
    <row r="94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</row>
    <row r="95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</row>
    <row r="96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</row>
    <row r="97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</row>
    <row r="98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</row>
    <row r="99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</row>
    <row r="100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</row>
    <row r="10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</row>
    <row r="102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</row>
    <row r="103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</row>
    <row r="104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</row>
    <row r="105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</row>
    <row r="106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</row>
    <row r="107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</row>
    <row r="108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</row>
    <row r="109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</row>
    <row r="110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</row>
    <row r="11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</row>
    <row r="112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</row>
    <row r="113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</row>
    <row r="114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</row>
    <row r="115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</row>
    <row r="116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</row>
    <row r="117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</row>
    <row r="118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</row>
    <row r="119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</row>
    <row r="120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</row>
    <row r="12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</row>
    <row r="122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</row>
    <row r="123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</row>
    <row r="124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</row>
    <row r="125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</row>
    <row r="126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</row>
    <row r="127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</row>
    <row r="128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</row>
    <row r="129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</row>
    <row r="130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</row>
    <row r="13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</row>
    <row r="132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</row>
    <row r="133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</row>
    <row r="134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</row>
    <row r="135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</row>
    <row r="136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</row>
    <row r="137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</row>
    <row r="138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</row>
    <row r="139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</row>
    <row r="140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</row>
    <row r="14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</row>
    <row r="142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</row>
    <row r="143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</row>
    <row r="144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</row>
    <row r="145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</row>
    <row r="146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</row>
    <row r="147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</row>
    <row r="148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</row>
    <row r="149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</row>
    <row r="150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</row>
    <row r="15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</row>
    <row r="152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</row>
    <row r="153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</row>
    <row r="154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</row>
    <row r="155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</row>
    <row r="156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</row>
    <row r="157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</row>
    <row r="158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</row>
    <row r="159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</row>
    <row r="160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</row>
    <row r="16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</row>
    <row r="162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</row>
    <row r="163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</row>
    <row r="164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</row>
    <row r="165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</row>
    <row r="166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</row>
    <row r="167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</row>
    <row r="168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</row>
    <row r="169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</row>
    <row r="170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</row>
    <row r="17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</row>
    <row r="172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</row>
    <row r="173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</row>
    <row r="174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</row>
    <row r="175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</row>
    <row r="176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</row>
    <row r="177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</row>
    <row r="178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</row>
    <row r="179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</row>
    <row r="180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</row>
    <row r="18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</row>
    <row r="182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</row>
    <row r="183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</row>
    <row r="184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</row>
    <row r="185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</row>
    <row r="186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</row>
    <row r="187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</row>
    <row r="188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</row>
    <row r="189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</row>
    <row r="190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</row>
    <row r="19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</row>
    <row r="192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</row>
    <row r="193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</row>
    <row r="194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</row>
    <row r="195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</row>
    <row r="196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</row>
    <row r="197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</row>
    <row r="198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</row>
    <row r="199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</row>
    <row r="200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</row>
    <row r="20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</row>
    <row r="202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</row>
    <row r="203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</row>
    <row r="204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</row>
    <row r="205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</row>
    <row r="206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</row>
    <row r="207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</row>
    <row r="208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</row>
    <row r="209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</row>
    <row r="210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</row>
    <row r="21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</row>
    <row r="212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</row>
    <row r="213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</row>
    <row r="214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</row>
    <row r="215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</row>
    <row r="216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</row>
    <row r="217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</row>
    <row r="218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</row>
    <row r="219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</row>
    <row r="220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</row>
    <row r="22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</row>
    <row r="222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</row>
    <row r="223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</row>
    <row r="224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</row>
    <row r="225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</row>
    <row r="226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</row>
    <row r="227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</row>
    <row r="228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</row>
    <row r="229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</row>
    <row r="230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</row>
    <row r="23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</row>
    <row r="232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</row>
    <row r="233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</row>
    <row r="234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</row>
    <row r="235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</row>
    <row r="236">
      <c r="A236" s="225"/>
      <c r="B236" s="225"/>
      <c r="C236" s="225"/>
      <c r="D236" s="225"/>
      <c r="E236" s="225"/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</row>
    <row r="237">
      <c r="A237" s="225"/>
      <c r="B237" s="225"/>
      <c r="C237" s="225"/>
      <c r="D237" s="225"/>
      <c r="E237" s="225"/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</row>
    <row r="238">
      <c r="A238" s="225"/>
      <c r="B238" s="225"/>
      <c r="C238" s="225"/>
      <c r="D238" s="225"/>
      <c r="E238" s="225"/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</row>
    <row r="239">
      <c r="A239" s="225"/>
      <c r="B239" s="225"/>
      <c r="C239" s="225"/>
      <c r="D239" s="225"/>
      <c r="E239" s="225"/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</row>
    <row r="240">
      <c r="A240" s="225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</row>
    <row r="241">
      <c r="A241" s="225"/>
      <c r="B241" s="225"/>
      <c r="C241" s="225"/>
      <c r="D241" s="225"/>
      <c r="E241" s="225"/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</row>
    <row r="242">
      <c r="A242" s="225"/>
      <c r="B242" s="225"/>
      <c r="C242" s="225"/>
      <c r="D242" s="225"/>
      <c r="E242" s="225"/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</row>
    <row r="243">
      <c r="A243" s="225"/>
      <c r="B243" s="225"/>
      <c r="C243" s="225"/>
      <c r="D243" s="225"/>
      <c r="E243" s="225"/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</row>
    <row r="244">
      <c r="A244" s="225"/>
      <c r="B244" s="225"/>
      <c r="C244" s="225"/>
      <c r="D244" s="225"/>
      <c r="E244" s="225"/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</row>
    <row r="245">
      <c r="A245" s="225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</row>
    <row r="246">
      <c r="A246" s="225"/>
      <c r="B246" s="225"/>
      <c r="C246" s="225"/>
      <c r="D246" s="225"/>
      <c r="E246" s="225"/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</row>
    <row r="247">
      <c r="A247" s="225"/>
      <c r="B247" s="225"/>
      <c r="C247" s="225"/>
      <c r="D247" s="225"/>
      <c r="E247" s="225"/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</row>
    <row r="248">
      <c r="A248" s="225"/>
      <c r="B248" s="225"/>
      <c r="C248" s="225"/>
      <c r="D248" s="225"/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</row>
    <row r="249">
      <c r="A249" s="225"/>
      <c r="B249" s="225"/>
      <c r="C249" s="225"/>
      <c r="D249" s="225"/>
      <c r="E249" s="225"/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</row>
    <row r="250">
      <c r="A250" s="225"/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</row>
    <row r="251">
      <c r="A251" s="225"/>
      <c r="B251" s="225"/>
      <c r="C251" s="225"/>
      <c r="D251" s="225"/>
      <c r="E251" s="225"/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</row>
    <row r="252">
      <c r="A252" s="225"/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</row>
    <row r="253">
      <c r="A253" s="225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</row>
    <row r="254">
      <c r="A254" s="225"/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</row>
    <row r="255">
      <c r="A255" s="225"/>
      <c r="B255" s="225"/>
      <c r="C255" s="225"/>
      <c r="D255" s="225"/>
      <c r="E255" s="225"/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</row>
    <row r="256">
      <c r="A256" s="225"/>
      <c r="B256" s="225"/>
      <c r="C256" s="225"/>
      <c r="D256" s="225"/>
      <c r="E256" s="225"/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</row>
    <row r="257">
      <c r="A257" s="225"/>
      <c r="B257" s="225"/>
      <c r="C257" s="225"/>
      <c r="D257" s="225"/>
      <c r="E257" s="225"/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</row>
    <row r="258">
      <c r="A258" s="225"/>
      <c r="B258" s="225"/>
      <c r="C258" s="225"/>
      <c r="D258" s="225"/>
      <c r="E258" s="225"/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</row>
    <row r="259">
      <c r="A259" s="225"/>
      <c r="B259" s="225"/>
      <c r="C259" s="225"/>
      <c r="D259" s="225"/>
      <c r="E259" s="225"/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</row>
    <row r="260">
      <c r="A260" s="225"/>
      <c r="B260" s="225"/>
      <c r="C260" s="225"/>
      <c r="D260" s="225"/>
      <c r="E260" s="225"/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</row>
    <row r="261">
      <c r="A261" s="225"/>
      <c r="B261" s="225"/>
      <c r="C261" s="225"/>
      <c r="D261" s="225"/>
      <c r="E261" s="225"/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</row>
    <row r="262">
      <c r="A262" s="225"/>
      <c r="B262" s="225"/>
      <c r="C262" s="225"/>
      <c r="D262" s="225"/>
      <c r="E262" s="225"/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</row>
    <row r="263">
      <c r="A263" s="225"/>
      <c r="B263" s="225"/>
      <c r="C263" s="225"/>
      <c r="D263" s="225"/>
      <c r="E263" s="225"/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</row>
    <row r="264">
      <c r="A264" s="225"/>
      <c r="B264" s="225"/>
      <c r="C264" s="225"/>
      <c r="D264" s="225"/>
      <c r="E264" s="225"/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</row>
    <row r="265">
      <c r="A265" s="225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</row>
    <row r="266">
      <c r="A266" s="225"/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</row>
    <row r="267">
      <c r="A267" s="225"/>
      <c r="B267" s="225"/>
      <c r="C267" s="225"/>
      <c r="D267" s="225"/>
      <c r="E267" s="225"/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</row>
    <row r="268">
      <c r="A268" s="225"/>
      <c r="B268" s="225"/>
      <c r="C268" s="225"/>
      <c r="D268" s="225"/>
      <c r="E268" s="225"/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</row>
    <row r="269">
      <c r="A269" s="225"/>
      <c r="B269" s="225"/>
      <c r="C269" s="225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</row>
    <row r="270">
      <c r="A270" s="225"/>
      <c r="B270" s="225"/>
      <c r="C270" s="225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</row>
    <row r="271">
      <c r="A271" s="225"/>
      <c r="B271" s="225"/>
      <c r="C271" s="225"/>
      <c r="D271" s="225"/>
      <c r="E271" s="225"/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</row>
    <row r="272">
      <c r="A272" s="225"/>
      <c r="B272" s="225"/>
      <c r="C272" s="225"/>
      <c r="D272" s="225"/>
      <c r="E272" s="225"/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</row>
    <row r="273">
      <c r="A273" s="225"/>
      <c r="B273" s="225"/>
      <c r="C273" s="225"/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</row>
    <row r="274">
      <c r="A274" s="225"/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</row>
    <row r="275">
      <c r="A275" s="225"/>
      <c r="B275" s="225"/>
      <c r="C275" s="225"/>
      <c r="D275" s="225"/>
      <c r="E275" s="225"/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</row>
    <row r="276">
      <c r="A276" s="225"/>
      <c r="B276" s="225"/>
      <c r="C276" s="225"/>
      <c r="D276" s="225"/>
      <c r="E276" s="225"/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</row>
    <row r="277">
      <c r="A277" s="225"/>
      <c r="B277" s="225"/>
      <c r="C277" s="225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</row>
    <row r="278">
      <c r="A278" s="225"/>
      <c r="B278" s="225"/>
      <c r="C278" s="225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</row>
    <row r="279">
      <c r="A279" s="225"/>
      <c r="B279" s="225"/>
      <c r="C279" s="225"/>
      <c r="D279" s="225"/>
      <c r="E279" s="225"/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</row>
    <row r="280">
      <c r="A280" s="225"/>
      <c r="B280" s="225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</row>
    <row r="281">
      <c r="A281" s="225"/>
      <c r="B281" s="225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</row>
    <row r="282">
      <c r="A282" s="225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</row>
    <row r="283">
      <c r="A283" s="225"/>
      <c r="B283" s="225"/>
      <c r="C283" s="225"/>
      <c r="D283" s="225"/>
      <c r="E283" s="225"/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</row>
    <row r="284">
      <c r="A284" s="225"/>
      <c r="B284" s="225"/>
      <c r="C284" s="225"/>
      <c r="D284" s="225"/>
      <c r="E284" s="225"/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</row>
    <row r="285">
      <c r="A285" s="225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</row>
    <row r="286">
      <c r="A286" s="225"/>
      <c r="B286" s="225"/>
      <c r="C286" s="225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</row>
    <row r="287">
      <c r="A287" s="225"/>
      <c r="B287" s="225"/>
      <c r="C287" s="225"/>
      <c r="D287" s="225"/>
      <c r="E287" s="225"/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</row>
    <row r="288">
      <c r="A288" s="225"/>
      <c r="B288" s="225"/>
      <c r="C288" s="225"/>
      <c r="D288" s="225"/>
      <c r="E288" s="225"/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</row>
    <row r="289">
      <c r="A289" s="225"/>
      <c r="B289" s="225"/>
      <c r="C289" s="225"/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</row>
    <row r="290">
      <c r="A290" s="225"/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</row>
    <row r="291">
      <c r="A291" s="225"/>
      <c r="B291" s="225"/>
      <c r="C291" s="225"/>
      <c r="D291" s="225"/>
      <c r="E291" s="225"/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</row>
    <row r="292">
      <c r="A292" s="225"/>
      <c r="B292" s="225"/>
      <c r="C292" s="225"/>
      <c r="D292" s="225"/>
      <c r="E292" s="225"/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</row>
    <row r="293">
      <c r="A293" s="225"/>
      <c r="B293" s="225"/>
      <c r="C293" s="225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</row>
    <row r="294">
      <c r="A294" s="225"/>
      <c r="B294" s="225"/>
      <c r="C294" s="225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</row>
    <row r="295">
      <c r="A295" s="225"/>
      <c r="B295" s="225"/>
      <c r="C295" s="225"/>
      <c r="D295" s="225"/>
      <c r="E295" s="225"/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</row>
    <row r="296">
      <c r="A296" s="225"/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</row>
    <row r="297">
      <c r="A297" s="225"/>
      <c r="B297" s="225"/>
      <c r="C297" s="225"/>
      <c r="D297" s="225"/>
      <c r="E297" s="225"/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</row>
    <row r="298">
      <c r="A298" s="225"/>
      <c r="B298" s="225"/>
      <c r="C298" s="225"/>
      <c r="D298" s="225"/>
      <c r="E298" s="225"/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</row>
    <row r="299">
      <c r="A299" s="225"/>
      <c r="B299" s="225"/>
      <c r="C299" s="225"/>
      <c r="D299" s="225"/>
      <c r="E299" s="225"/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</row>
    <row r="300">
      <c r="A300" s="225"/>
      <c r="B300" s="225"/>
      <c r="C300" s="225"/>
      <c r="D300" s="225"/>
      <c r="E300" s="225"/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</row>
    <row r="301">
      <c r="A301" s="225"/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</row>
    <row r="302">
      <c r="A302" s="225"/>
      <c r="B302" s="225"/>
      <c r="C302" s="225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</row>
    <row r="303">
      <c r="A303" s="225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</row>
    <row r="304">
      <c r="A304" s="225"/>
      <c r="B304" s="225"/>
      <c r="C304" s="225"/>
      <c r="D304" s="225"/>
      <c r="E304" s="225"/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</row>
    <row r="305">
      <c r="A305" s="225"/>
      <c r="B305" s="225"/>
      <c r="C305" s="225"/>
      <c r="D305" s="225"/>
      <c r="E305" s="225"/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</row>
    <row r="306">
      <c r="A306" s="225"/>
      <c r="B306" s="225"/>
      <c r="C306" s="225"/>
      <c r="D306" s="225"/>
      <c r="E306" s="225"/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</row>
    <row r="307">
      <c r="A307" s="225"/>
      <c r="B307" s="225"/>
      <c r="C307" s="225"/>
      <c r="D307" s="225"/>
      <c r="E307" s="225"/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</row>
    <row r="308">
      <c r="A308" s="225"/>
      <c r="B308" s="225"/>
      <c r="C308" s="225"/>
      <c r="D308" s="225"/>
      <c r="E308" s="225"/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</row>
    <row r="309">
      <c r="A309" s="225"/>
      <c r="B309" s="225"/>
      <c r="C309" s="225"/>
      <c r="D309" s="225"/>
      <c r="E309" s="225"/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</row>
    <row r="310">
      <c r="A310" s="225"/>
      <c r="B310" s="225"/>
      <c r="C310" s="225"/>
      <c r="D310" s="225"/>
      <c r="E310" s="225"/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</row>
    <row r="311">
      <c r="A311" s="225"/>
      <c r="B311" s="225"/>
      <c r="C311" s="225"/>
      <c r="D311" s="225"/>
      <c r="E311" s="225"/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</row>
    <row r="312">
      <c r="A312" s="225"/>
      <c r="B312" s="225"/>
      <c r="C312" s="225"/>
      <c r="D312" s="225"/>
      <c r="E312" s="225"/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</row>
    <row r="313">
      <c r="A313" s="225"/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</row>
    <row r="314">
      <c r="A314" s="225"/>
      <c r="B314" s="225"/>
      <c r="C314" s="225"/>
      <c r="D314" s="225"/>
      <c r="E314" s="225"/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</row>
    <row r="315">
      <c r="A315" s="225"/>
      <c r="B315" s="225"/>
      <c r="C315" s="225"/>
      <c r="D315" s="225"/>
      <c r="E315" s="225"/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</row>
    <row r="316">
      <c r="A316" s="225"/>
      <c r="B316" s="225"/>
      <c r="C316" s="225"/>
      <c r="D316" s="225"/>
      <c r="E316" s="225"/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</row>
    <row r="317">
      <c r="A317" s="225"/>
      <c r="B317" s="225"/>
      <c r="C317" s="225"/>
      <c r="D317" s="225"/>
      <c r="E317" s="225"/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</row>
    <row r="318">
      <c r="A318" s="225"/>
      <c r="B318" s="225"/>
      <c r="C318" s="225"/>
      <c r="D318" s="225"/>
      <c r="E318" s="225"/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</row>
    <row r="319">
      <c r="A319" s="225"/>
      <c r="B319" s="225"/>
      <c r="C319" s="225"/>
      <c r="D319" s="225"/>
      <c r="E319" s="225"/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</row>
    <row r="320">
      <c r="A320" s="225"/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</row>
    <row r="321">
      <c r="A321" s="225"/>
      <c r="B321" s="225"/>
      <c r="C321" s="225"/>
      <c r="D321" s="225"/>
      <c r="E321" s="225"/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</row>
    <row r="322">
      <c r="A322" s="225"/>
      <c r="B322" s="225"/>
      <c r="C322" s="225"/>
      <c r="D322" s="225"/>
      <c r="E322" s="225"/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</row>
    <row r="323">
      <c r="A323" s="225"/>
      <c r="B323" s="225"/>
      <c r="C323" s="225"/>
      <c r="D323" s="225"/>
      <c r="E323" s="225"/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</row>
    <row r="324">
      <c r="A324" s="225"/>
      <c r="B324" s="225"/>
      <c r="C324" s="225"/>
      <c r="D324" s="225"/>
      <c r="E324" s="225"/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</row>
    <row r="325">
      <c r="A325" s="225"/>
      <c r="B325" s="225"/>
      <c r="C325" s="225"/>
      <c r="D325" s="225"/>
      <c r="E325" s="225"/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</row>
    <row r="326">
      <c r="A326" s="225"/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</row>
    <row r="327">
      <c r="A327" s="225"/>
      <c r="B327" s="225"/>
      <c r="C327" s="225"/>
      <c r="D327" s="225"/>
      <c r="E327" s="225"/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</row>
    <row r="328">
      <c r="A328" s="225"/>
      <c r="B328" s="225"/>
      <c r="C328" s="225"/>
      <c r="D328" s="225"/>
      <c r="E328" s="225"/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</row>
    <row r="329">
      <c r="A329" s="225"/>
      <c r="B329" s="225"/>
      <c r="C329" s="225"/>
      <c r="D329" s="225"/>
      <c r="E329" s="225"/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</row>
    <row r="330">
      <c r="A330" s="225"/>
      <c r="B330" s="225"/>
      <c r="C330" s="225"/>
      <c r="D330" s="225"/>
      <c r="E330" s="225"/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</row>
    <row r="331">
      <c r="A331" s="225"/>
      <c r="B331" s="225"/>
      <c r="C331" s="225"/>
      <c r="D331" s="225"/>
      <c r="E331" s="225"/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</row>
    <row r="332">
      <c r="A332" s="225"/>
      <c r="B332" s="225"/>
      <c r="C332" s="225"/>
      <c r="D332" s="225"/>
      <c r="E332" s="225"/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</row>
    <row r="333">
      <c r="A333" s="225"/>
      <c r="B333" s="225"/>
      <c r="C333" s="225"/>
      <c r="D333" s="225"/>
      <c r="E333" s="225"/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</row>
    <row r="334">
      <c r="A334" s="225"/>
      <c r="B334" s="225"/>
      <c r="C334" s="225"/>
      <c r="D334" s="225"/>
      <c r="E334" s="225"/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</row>
    <row r="335">
      <c r="A335" s="225"/>
      <c r="B335" s="225"/>
      <c r="C335" s="225"/>
      <c r="D335" s="225"/>
      <c r="E335" s="225"/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</row>
    <row r="336">
      <c r="A336" s="225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</row>
    <row r="337">
      <c r="A337" s="225"/>
      <c r="B337" s="225"/>
      <c r="C337" s="225"/>
      <c r="D337" s="225"/>
      <c r="E337" s="225"/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</row>
    <row r="338">
      <c r="A338" s="225"/>
      <c r="B338" s="225"/>
      <c r="C338" s="225"/>
      <c r="D338" s="225"/>
      <c r="E338" s="225"/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</row>
    <row r="339">
      <c r="A339" s="225"/>
      <c r="B339" s="225"/>
      <c r="C339" s="225"/>
      <c r="D339" s="225"/>
      <c r="E339" s="225"/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</row>
    <row r="340">
      <c r="A340" s="225"/>
      <c r="B340" s="225"/>
      <c r="C340" s="225"/>
      <c r="D340" s="225"/>
      <c r="E340" s="225"/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</row>
    <row r="341">
      <c r="A341" s="225"/>
      <c r="B341" s="225"/>
      <c r="C341" s="225"/>
      <c r="D341" s="225"/>
      <c r="E341" s="225"/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</row>
    <row r="342">
      <c r="A342" s="225"/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</row>
    <row r="343">
      <c r="A343" s="225"/>
      <c r="B343" s="225"/>
      <c r="C343" s="225"/>
      <c r="D343" s="225"/>
      <c r="E343" s="225"/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</row>
    <row r="344">
      <c r="A344" s="225"/>
      <c r="B344" s="225"/>
      <c r="C344" s="225"/>
      <c r="D344" s="225"/>
      <c r="E344" s="225"/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</row>
    <row r="345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</row>
    <row r="346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</row>
    <row r="347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</row>
    <row r="348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</row>
    <row r="349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</row>
    <row r="350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</row>
    <row r="35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</row>
    <row r="352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</row>
    <row r="353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</row>
    <row r="354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</row>
    <row r="355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</row>
    <row r="356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</row>
    <row r="357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</row>
    <row r="358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</row>
    <row r="359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</row>
    <row r="360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</row>
    <row r="36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</row>
    <row r="362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</row>
    <row r="363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</row>
    <row r="364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</row>
    <row r="365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</row>
    <row r="366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</row>
    <row r="367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</row>
    <row r="368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</row>
    <row r="369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</row>
    <row r="370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</row>
    <row r="37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</row>
    <row r="372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</row>
    <row r="373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</row>
    <row r="374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</row>
    <row r="375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</row>
    <row r="376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</row>
    <row r="377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</row>
    <row r="378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</row>
    <row r="379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</row>
    <row r="380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</row>
    <row r="38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</row>
    <row r="382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</row>
    <row r="383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</row>
    <row r="384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</row>
    <row r="385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</row>
    <row r="386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</row>
    <row r="387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</row>
    <row r="388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</row>
    <row r="389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</row>
    <row r="390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</row>
    <row r="39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</row>
    <row r="392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</row>
    <row r="393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</row>
    <row r="394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</row>
    <row r="395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</row>
    <row r="396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</row>
    <row r="397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</row>
    <row r="398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</row>
    <row r="399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</row>
    <row r="400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</row>
    <row r="40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</row>
    <row r="402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</row>
    <row r="403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</row>
    <row r="404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</row>
    <row r="405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</row>
    <row r="406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</row>
    <row r="407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</row>
    <row r="408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</row>
    <row r="409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</row>
    <row r="410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</row>
    <row r="41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</row>
    <row r="412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</row>
    <row r="413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</row>
    <row r="414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</row>
    <row r="415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</row>
    <row r="416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</row>
    <row r="417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</row>
    <row r="418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</row>
    <row r="419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</row>
    <row r="420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</row>
    <row r="42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</row>
    <row r="422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</row>
    <row r="423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</row>
    <row r="424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</row>
    <row r="425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</row>
    <row r="426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</row>
    <row r="427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</row>
    <row r="428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</row>
    <row r="429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</row>
    <row r="430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</row>
    <row r="43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</row>
    <row r="432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</row>
    <row r="433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</row>
    <row r="434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</row>
    <row r="435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</row>
    <row r="436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</row>
    <row r="437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</row>
    <row r="438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</row>
    <row r="439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</row>
    <row r="440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</row>
    <row r="44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</row>
    <row r="442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</row>
    <row r="443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</row>
    <row r="444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</row>
    <row r="445">
      <c r="A445" s="225"/>
      <c r="B445" s="225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</row>
    <row r="446">
      <c r="A446" s="225"/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</row>
    <row r="447">
      <c r="A447" s="225"/>
      <c r="B447" s="225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</row>
    <row r="448">
      <c r="A448" s="225"/>
      <c r="B448" s="225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</row>
    <row r="449">
      <c r="A449" s="225"/>
      <c r="B449" s="225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</row>
    <row r="450">
      <c r="A450" s="225"/>
      <c r="B450" s="225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</row>
    <row r="451">
      <c r="A451" s="225"/>
      <c r="B451" s="225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</row>
    <row r="452">
      <c r="A452" s="225"/>
      <c r="B452" s="225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</row>
    <row r="453">
      <c r="A453" s="225"/>
      <c r="B453" s="225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</row>
    <row r="454">
      <c r="A454" s="225"/>
      <c r="B454" s="225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</row>
    <row r="455">
      <c r="A455" s="225"/>
      <c r="B455" s="225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</row>
    <row r="456">
      <c r="A456" s="225"/>
      <c r="B456" s="225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</row>
    <row r="457">
      <c r="A457" s="225"/>
      <c r="B457" s="225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</row>
    <row r="458">
      <c r="A458" s="225"/>
      <c r="B458" s="225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</row>
    <row r="459">
      <c r="A459" s="225"/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</row>
    <row r="460">
      <c r="A460" s="225"/>
      <c r="B460" s="225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</row>
    <row r="461">
      <c r="A461" s="225"/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</row>
    <row r="462">
      <c r="A462" s="225"/>
      <c r="B462" s="225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</row>
    <row r="463">
      <c r="A463" s="225"/>
      <c r="B463" s="225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</row>
    <row r="464">
      <c r="A464" s="225"/>
      <c r="B464" s="225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</row>
    <row r="465">
      <c r="A465" s="225"/>
      <c r="B465" s="225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</row>
    <row r="466">
      <c r="A466" s="225"/>
      <c r="B466" s="225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</row>
    <row r="467">
      <c r="A467" s="225"/>
      <c r="B467" s="225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</row>
    <row r="468">
      <c r="A468" s="225"/>
      <c r="B468" s="225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</row>
    <row r="469">
      <c r="A469" s="225"/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</row>
    <row r="470">
      <c r="A470" s="225"/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</row>
    <row r="471">
      <c r="A471" s="225"/>
      <c r="B471" s="225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</row>
    <row r="472">
      <c r="A472" s="225"/>
      <c r="B472" s="225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</row>
    <row r="473">
      <c r="A473" s="225"/>
      <c r="B473" s="225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</row>
    <row r="474">
      <c r="A474" s="225"/>
      <c r="B474" s="225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</row>
    <row r="475">
      <c r="A475" s="225"/>
      <c r="B475" s="225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</row>
    <row r="476">
      <c r="A476" s="225"/>
      <c r="B476" s="225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</row>
    <row r="477">
      <c r="A477" s="225"/>
      <c r="B477" s="225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</row>
    <row r="478">
      <c r="A478" s="225"/>
      <c r="B478" s="225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</row>
    <row r="479">
      <c r="A479" s="225"/>
      <c r="B479" s="225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</row>
    <row r="480">
      <c r="A480" s="225"/>
      <c r="B480" s="225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</row>
    <row r="481">
      <c r="A481" s="225"/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</row>
    <row r="482">
      <c r="A482" s="225"/>
      <c r="B482" s="225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</row>
    <row r="483">
      <c r="A483" s="225"/>
      <c r="B483" s="225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</row>
    <row r="484">
      <c r="A484" s="225"/>
      <c r="B484" s="225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</row>
    <row r="485">
      <c r="A485" s="225"/>
      <c r="B485" s="225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</row>
    <row r="486">
      <c r="A486" s="225"/>
      <c r="B486" s="225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</row>
    <row r="487">
      <c r="A487" s="225"/>
      <c r="B487" s="225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</row>
    <row r="488">
      <c r="A488" s="225"/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</row>
    <row r="489">
      <c r="A489" s="225"/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</row>
    <row r="490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</row>
    <row r="491">
      <c r="A491" s="225"/>
      <c r="B491" s="225"/>
      <c r="C491" s="225"/>
      <c r="D491" s="225"/>
      <c r="E491" s="225"/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</row>
    <row r="492">
      <c r="A492" s="225"/>
      <c r="B492" s="225"/>
      <c r="C492" s="225"/>
      <c r="D492" s="225"/>
      <c r="E492" s="225"/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</row>
    <row r="493">
      <c r="A493" s="225"/>
      <c r="B493" s="225"/>
      <c r="C493" s="225"/>
      <c r="D493" s="225"/>
      <c r="E493" s="225"/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</row>
    <row r="494">
      <c r="A494" s="225"/>
      <c r="B494" s="225"/>
      <c r="C494" s="225"/>
      <c r="D494" s="225"/>
      <c r="E494" s="225"/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</row>
    <row r="495">
      <c r="A495" s="225"/>
      <c r="B495" s="225"/>
      <c r="C495" s="225"/>
      <c r="D495" s="225"/>
      <c r="E495" s="225"/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</row>
    <row r="496">
      <c r="A496" s="225"/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</row>
    <row r="497">
      <c r="A497" s="225"/>
      <c r="B497" s="225"/>
      <c r="C497" s="225"/>
      <c r="D497" s="225"/>
      <c r="E497" s="225"/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</row>
    <row r="498">
      <c r="A498" s="225"/>
      <c r="B498" s="225"/>
      <c r="C498" s="225"/>
      <c r="D498" s="225"/>
      <c r="E498" s="225"/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</row>
    <row r="499">
      <c r="A499" s="225"/>
      <c r="B499" s="225"/>
      <c r="C499" s="225"/>
      <c r="D499" s="225"/>
      <c r="E499" s="225"/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</row>
    <row r="500">
      <c r="A500" s="225"/>
      <c r="B500" s="225"/>
      <c r="C500" s="225"/>
      <c r="D500" s="225"/>
      <c r="E500" s="225"/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</row>
    <row r="501">
      <c r="A501" s="225"/>
      <c r="B501" s="225"/>
      <c r="C501" s="225"/>
      <c r="D501" s="225"/>
      <c r="E501" s="225"/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</row>
    <row r="502">
      <c r="A502" s="225"/>
      <c r="B502" s="225"/>
      <c r="C502" s="225"/>
      <c r="D502" s="225"/>
      <c r="E502" s="225"/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</row>
    <row r="503">
      <c r="A503" s="225"/>
      <c r="B503" s="225"/>
      <c r="C503" s="225"/>
      <c r="D503" s="225"/>
      <c r="E503" s="225"/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</row>
    <row r="504">
      <c r="A504" s="225"/>
      <c r="B504" s="225"/>
      <c r="C504" s="225"/>
      <c r="D504" s="225"/>
      <c r="E504" s="225"/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</row>
    <row r="505">
      <c r="A505" s="225"/>
      <c r="B505" s="225"/>
      <c r="C505" s="225"/>
      <c r="D505" s="225"/>
      <c r="E505" s="225"/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</row>
    <row r="506">
      <c r="A506" s="225"/>
      <c r="B506" s="225"/>
      <c r="C506" s="225"/>
      <c r="D506" s="225"/>
      <c r="E506" s="225"/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</row>
    <row r="507">
      <c r="A507" s="225"/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</row>
    <row r="508">
      <c r="A508" s="225"/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</row>
    <row r="509">
      <c r="A509" s="225"/>
      <c r="B509" s="225"/>
      <c r="C509" s="225"/>
      <c r="D509" s="225"/>
      <c r="E509" s="225"/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</row>
    <row r="510">
      <c r="A510" s="225"/>
      <c r="B510" s="225"/>
      <c r="C510" s="225"/>
      <c r="D510" s="225"/>
      <c r="E510" s="225"/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</row>
    <row r="511">
      <c r="A511" s="225"/>
      <c r="B511" s="225"/>
      <c r="C511" s="225"/>
      <c r="D511" s="225"/>
      <c r="E511" s="225"/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</row>
    <row r="512">
      <c r="A512" s="225"/>
      <c r="B512" s="225"/>
      <c r="C512" s="225"/>
      <c r="D512" s="225"/>
      <c r="E512" s="225"/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</row>
    <row r="513">
      <c r="A513" s="225"/>
      <c r="B513" s="225"/>
      <c r="C513" s="225"/>
      <c r="D513" s="225"/>
      <c r="E513" s="225"/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</row>
    <row r="514">
      <c r="A514" s="225"/>
      <c r="B514" s="225"/>
      <c r="C514" s="225"/>
      <c r="D514" s="225"/>
      <c r="E514" s="225"/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</row>
    <row r="515">
      <c r="A515" s="225"/>
      <c r="B515" s="225"/>
      <c r="C515" s="225"/>
      <c r="D515" s="225"/>
      <c r="E515" s="225"/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</row>
    <row r="516">
      <c r="A516" s="225"/>
      <c r="B516" s="225"/>
      <c r="C516" s="225"/>
      <c r="D516" s="225"/>
      <c r="E516" s="225"/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</row>
    <row r="517">
      <c r="A517" s="225"/>
      <c r="B517" s="225"/>
      <c r="C517" s="225"/>
      <c r="D517" s="225"/>
      <c r="E517" s="225"/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</row>
    <row r="518">
      <c r="A518" s="225"/>
      <c r="B518" s="225"/>
      <c r="C518" s="225"/>
      <c r="D518" s="225"/>
      <c r="E518" s="225"/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</row>
    <row r="519">
      <c r="A519" s="225"/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</row>
    <row r="520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</row>
    <row r="521">
      <c r="A521" s="225"/>
      <c r="B521" s="225"/>
      <c r="C521" s="225"/>
      <c r="D521" s="225"/>
      <c r="E521" s="225"/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</row>
    <row r="522">
      <c r="A522" s="225"/>
      <c r="B522" s="225"/>
      <c r="C522" s="225"/>
      <c r="D522" s="225"/>
      <c r="E522" s="225"/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</row>
    <row r="523">
      <c r="A523" s="225"/>
      <c r="B523" s="225"/>
      <c r="C523" s="225"/>
      <c r="D523" s="225"/>
      <c r="E523" s="225"/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</row>
    <row r="524">
      <c r="A524" s="225"/>
      <c r="B524" s="225"/>
      <c r="C524" s="225"/>
      <c r="D524" s="225"/>
      <c r="E524" s="225"/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</row>
    <row r="525">
      <c r="A525" s="225"/>
      <c r="B525" s="225"/>
      <c r="C525" s="225"/>
      <c r="D525" s="225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</row>
    <row r="526">
      <c r="A526" s="225"/>
      <c r="B526" s="225"/>
      <c r="C526" s="225"/>
      <c r="D526" s="225"/>
      <c r="E526" s="225"/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</row>
    <row r="527">
      <c r="A527" s="225"/>
      <c r="B527" s="225"/>
      <c r="C527" s="225"/>
      <c r="D527" s="225"/>
      <c r="E527" s="225"/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</row>
    <row r="528">
      <c r="A528" s="225"/>
      <c r="B528" s="225"/>
      <c r="C528" s="225"/>
      <c r="D528" s="225"/>
      <c r="E528" s="225"/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</row>
    <row r="529">
      <c r="A529" s="225"/>
      <c r="B529" s="225"/>
      <c r="C529" s="225"/>
      <c r="D529" s="225"/>
      <c r="E529" s="225"/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</row>
    <row r="530">
      <c r="A530" s="225"/>
      <c r="B530" s="225"/>
      <c r="C530" s="225"/>
      <c r="D530" s="225"/>
      <c r="E530" s="225"/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</row>
    <row r="531">
      <c r="A531" s="225"/>
      <c r="B531" s="225"/>
      <c r="C531" s="225"/>
      <c r="D531" s="225"/>
      <c r="E531" s="225"/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</row>
    <row r="532">
      <c r="A532" s="225"/>
      <c r="B532" s="225"/>
      <c r="C532" s="225"/>
      <c r="D532" s="225"/>
      <c r="E532" s="225"/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</row>
    <row r="533">
      <c r="A533" s="225"/>
      <c r="B533" s="225"/>
      <c r="C533" s="225"/>
      <c r="D533" s="225"/>
      <c r="E533" s="225"/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</row>
    <row r="534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</row>
    <row r="535">
      <c r="A535" s="225"/>
      <c r="B535" s="225"/>
      <c r="C535" s="225"/>
      <c r="D535" s="225"/>
      <c r="E535" s="225"/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</row>
    <row r="536">
      <c r="A536" s="225"/>
      <c r="B536" s="225"/>
      <c r="C536" s="225"/>
      <c r="D536" s="225"/>
      <c r="E536" s="225"/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</row>
    <row r="537">
      <c r="A537" s="225"/>
      <c r="B537" s="225"/>
      <c r="C537" s="225"/>
      <c r="D537" s="225"/>
      <c r="E537" s="225"/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</row>
    <row r="538">
      <c r="A538" s="225"/>
      <c r="B538" s="225"/>
      <c r="C538" s="225"/>
      <c r="D538" s="225"/>
      <c r="E538" s="225"/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</row>
    <row r="539">
      <c r="A539" s="225"/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</row>
    <row r="540">
      <c r="A540" s="225"/>
      <c r="B540" s="225"/>
      <c r="C540" s="225"/>
      <c r="D540" s="225"/>
      <c r="E540" s="225"/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</row>
    <row r="541">
      <c r="A541" s="225"/>
      <c r="B541" s="225"/>
      <c r="C541" s="225"/>
      <c r="D541" s="225"/>
      <c r="E541" s="225"/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</row>
    <row r="542">
      <c r="A542" s="225"/>
      <c r="B542" s="225"/>
      <c r="C542" s="225"/>
      <c r="D542" s="225"/>
      <c r="E542" s="225"/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</row>
    <row r="543">
      <c r="A543" s="225"/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</row>
    <row r="544">
      <c r="A544" s="225"/>
      <c r="B544" s="225"/>
      <c r="C544" s="225"/>
      <c r="D544" s="225"/>
      <c r="E544" s="225"/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</row>
    <row r="545">
      <c r="A545" s="225"/>
      <c r="B545" s="225"/>
      <c r="C545" s="225"/>
      <c r="D545" s="225"/>
      <c r="E545" s="225"/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</row>
    <row r="546">
      <c r="A546" s="225"/>
      <c r="B546" s="225"/>
      <c r="C546" s="225"/>
      <c r="D546" s="225"/>
      <c r="E546" s="225"/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</row>
    <row r="547">
      <c r="A547" s="225"/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</row>
    <row r="548">
      <c r="A548" s="225"/>
      <c r="B548" s="225"/>
      <c r="C548" s="225"/>
      <c r="D548" s="225"/>
      <c r="E548" s="225"/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</row>
    <row r="549">
      <c r="A549" s="225"/>
      <c r="B549" s="225"/>
      <c r="C549" s="225"/>
      <c r="D549" s="225"/>
      <c r="E549" s="225"/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</row>
    <row r="550">
      <c r="A550" s="225"/>
      <c r="B550" s="225"/>
      <c r="C550" s="225"/>
      <c r="D550" s="225"/>
      <c r="E550" s="225"/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</row>
    <row r="551">
      <c r="A551" s="225"/>
      <c r="B551" s="225"/>
      <c r="C551" s="225"/>
      <c r="D551" s="225"/>
      <c r="E551" s="225"/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</row>
    <row r="552">
      <c r="A552" s="225"/>
      <c r="B552" s="225"/>
      <c r="C552" s="225"/>
      <c r="D552" s="225"/>
      <c r="E552" s="225"/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</row>
    <row r="553">
      <c r="A553" s="225"/>
      <c r="B553" s="225"/>
      <c r="C553" s="225"/>
      <c r="D553" s="225"/>
      <c r="E553" s="225"/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</row>
    <row r="554">
      <c r="A554" s="225"/>
      <c r="B554" s="225"/>
      <c r="C554" s="225"/>
      <c r="D554" s="225"/>
      <c r="E554" s="225"/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</row>
    <row r="555">
      <c r="A555" s="225"/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</row>
    <row r="556">
      <c r="A556" s="225"/>
      <c r="B556" s="225"/>
      <c r="C556" s="225"/>
      <c r="D556" s="225"/>
      <c r="E556" s="225"/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</row>
    <row r="557">
      <c r="A557" s="225"/>
      <c r="B557" s="225"/>
      <c r="C557" s="225"/>
      <c r="D557" s="225"/>
      <c r="E557" s="225"/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</row>
    <row r="558">
      <c r="A558" s="225"/>
      <c r="B558" s="225"/>
      <c r="C558" s="225"/>
      <c r="D558" s="225"/>
      <c r="E558" s="225"/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</row>
    <row r="559">
      <c r="A559" s="225"/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</row>
    <row r="560">
      <c r="A560" s="225"/>
      <c r="B560" s="225"/>
      <c r="C560" s="225"/>
      <c r="D560" s="225"/>
      <c r="E560" s="225"/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</row>
    <row r="561">
      <c r="A561" s="225"/>
      <c r="B561" s="225"/>
      <c r="C561" s="225"/>
      <c r="D561" s="225"/>
      <c r="E561" s="225"/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</row>
    <row r="562">
      <c r="A562" s="225"/>
      <c r="B562" s="225"/>
      <c r="C562" s="225"/>
      <c r="D562" s="225"/>
      <c r="E562" s="225"/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</row>
    <row r="563">
      <c r="A563" s="225"/>
      <c r="B563" s="225"/>
      <c r="C563" s="225"/>
      <c r="D563" s="225"/>
      <c r="E563" s="225"/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</row>
    <row r="564">
      <c r="A564" s="225"/>
      <c r="B564" s="225"/>
      <c r="C564" s="225"/>
      <c r="D564" s="225"/>
      <c r="E564" s="225"/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</row>
    <row r="565">
      <c r="A565" s="225"/>
      <c r="B565" s="225"/>
      <c r="C565" s="225"/>
      <c r="D565" s="225"/>
      <c r="E565" s="225"/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</row>
    <row r="566">
      <c r="A566" s="225"/>
      <c r="B566" s="225"/>
      <c r="C566" s="225"/>
      <c r="D566" s="225"/>
      <c r="E566" s="225"/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</row>
    <row r="567">
      <c r="A567" s="225"/>
      <c r="B567" s="225"/>
      <c r="C567" s="225"/>
      <c r="D567" s="225"/>
      <c r="E567" s="225"/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</row>
    <row r="568">
      <c r="A568" s="225"/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</row>
    <row r="569">
      <c r="A569" s="225"/>
      <c r="B569" s="225"/>
      <c r="C569" s="225"/>
      <c r="D569" s="225"/>
      <c r="E569" s="225"/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</row>
    <row r="570">
      <c r="A570" s="225"/>
      <c r="B570" s="225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</row>
    <row r="571">
      <c r="A571" s="225"/>
      <c r="B571" s="225"/>
      <c r="C571" s="225"/>
      <c r="D571" s="225"/>
      <c r="E571" s="225"/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</row>
    <row r="572">
      <c r="A572" s="225"/>
      <c r="B572" s="225"/>
      <c r="C572" s="225"/>
      <c r="D572" s="225"/>
      <c r="E572" s="225"/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</row>
    <row r="573">
      <c r="A573" s="225"/>
      <c r="B573" s="225"/>
      <c r="C573" s="225"/>
      <c r="D573" s="225"/>
      <c r="E573" s="225"/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</row>
    <row r="574">
      <c r="A574" s="225"/>
      <c r="B574" s="225"/>
      <c r="C574" s="225"/>
      <c r="D574" s="225"/>
      <c r="E574" s="225"/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</row>
    <row r="575">
      <c r="A575" s="225"/>
      <c r="B575" s="225"/>
      <c r="C575" s="225"/>
      <c r="D575" s="225"/>
      <c r="E575" s="225"/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</row>
    <row r="576">
      <c r="A576" s="225"/>
      <c r="B576" s="225"/>
      <c r="C576" s="225"/>
      <c r="D576" s="225"/>
      <c r="E576" s="225"/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</row>
    <row r="577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</row>
    <row r="578">
      <c r="A578" s="225"/>
      <c r="B578" s="225"/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</row>
    <row r="579">
      <c r="A579" s="225"/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</row>
    <row r="580">
      <c r="A580" s="225"/>
      <c r="B580" s="225"/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</row>
    <row r="581">
      <c r="A581" s="225"/>
      <c r="B581" s="225"/>
      <c r="C581" s="225"/>
      <c r="D581" s="225"/>
      <c r="E581" s="225"/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</row>
    <row r="582">
      <c r="A582" s="225"/>
      <c r="B582" s="225"/>
      <c r="C582" s="225"/>
      <c r="D582" s="225"/>
      <c r="E582" s="225"/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</row>
    <row r="583">
      <c r="A583" s="225"/>
      <c r="B583" s="225"/>
      <c r="C583" s="225"/>
      <c r="D583" s="225"/>
      <c r="E583" s="225"/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</row>
    <row r="584">
      <c r="A584" s="225"/>
      <c r="B584" s="225"/>
      <c r="C584" s="225"/>
      <c r="D584" s="225"/>
      <c r="E584" s="225"/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</row>
    <row r="585">
      <c r="A585" s="225"/>
      <c r="B585" s="225"/>
      <c r="C585" s="225"/>
      <c r="D585" s="225"/>
      <c r="E585" s="225"/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</row>
    <row r="586">
      <c r="A586" s="225"/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</row>
    <row r="587">
      <c r="A587" s="225"/>
      <c r="B587" s="225"/>
      <c r="C587" s="225"/>
      <c r="D587" s="225"/>
      <c r="E587" s="225"/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</row>
    <row r="588">
      <c r="A588" s="225"/>
      <c r="B588" s="225"/>
      <c r="C588" s="225"/>
      <c r="D588" s="225"/>
      <c r="E588" s="225"/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</row>
    <row r="589">
      <c r="A589" s="225"/>
      <c r="B589" s="225"/>
      <c r="C589" s="225"/>
      <c r="D589" s="225"/>
      <c r="E589" s="225"/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</row>
    <row r="590">
      <c r="A590" s="225"/>
      <c r="B590" s="225"/>
      <c r="C590" s="225"/>
      <c r="D590" s="225"/>
      <c r="E590" s="225"/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</row>
    <row r="591">
      <c r="A591" s="225"/>
      <c r="B591" s="225"/>
      <c r="C591" s="225"/>
      <c r="D591" s="225"/>
      <c r="E591" s="225"/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</row>
    <row r="592">
      <c r="A592" s="225"/>
      <c r="B592" s="225"/>
      <c r="C592" s="225"/>
      <c r="D592" s="225"/>
      <c r="E592" s="225"/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</row>
    <row r="593">
      <c r="A593" s="225"/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</row>
    <row r="594">
      <c r="A594" s="225"/>
      <c r="B594" s="225"/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</row>
    <row r="595">
      <c r="A595" s="225"/>
      <c r="B595" s="225"/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</row>
    <row r="596">
      <c r="A596" s="225"/>
      <c r="B596" s="225"/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</row>
    <row r="597">
      <c r="A597" s="225"/>
      <c r="B597" s="225"/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</row>
    <row r="598">
      <c r="A598" s="225"/>
      <c r="B598" s="225"/>
      <c r="C598" s="225"/>
      <c r="D598" s="225"/>
      <c r="E598" s="225"/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</row>
    <row r="599">
      <c r="A599" s="225"/>
      <c r="B599" s="225"/>
      <c r="C599" s="225"/>
      <c r="D599" s="225"/>
      <c r="E599" s="225"/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</row>
    <row r="600">
      <c r="A600" s="225"/>
      <c r="B600" s="225"/>
      <c r="C600" s="225"/>
      <c r="D600" s="225"/>
      <c r="E600" s="225"/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</row>
    <row r="601">
      <c r="A601" s="225"/>
      <c r="B601" s="225"/>
      <c r="C601" s="225"/>
      <c r="D601" s="225"/>
      <c r="E601" s="225"/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</row>
    <row r="602">
      <c r="A602" s="225"/>
      <c r="B602" s="225"/>
      <c r="C602" s="225"/>
      <c r="D602" s="225"/>
      <c r="E602" s="225"/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</row>
    <row r="603">
      <c r="A603" s="225"/>
      <c r="B603" s="225"/>
      <c r="C603" s="225"/>
      <c r="D603" s="225"/>
      <c r="E603" s="225"/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</row>
    <row r="604">
      <c r="A604" s="225"/>
      <c r="B604" s="225"/>
      <c r="C604" s="225"/>
      <c r="D604" s="225"/>
      <c r="E604" s="225"/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</row>
    <row r="605">
      <c r="A605" s="225"/>
      <c r="B605" s="225"/>
      <c r="C605" s="225"/>
      <c r="D605" s="225"/>
      <c r="E605" s="225"/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</row>
    <row r="606">
      <c r="A606" s="225"/>
      <c r="B606" s="225"/>
      <c r="C606" s="225"/>
      <c r="D606" s="225"/>
      <c r="E606" s="225"/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</row>
    <row r="607">
      <c r="A607" s="225"/>
      <c r="B607" s="225"/>
      <c r="C607" s="225"/>
      <c r="D607" s="225"/>
      <c r="E607" s="225"/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</row>
    <row r="608">
      <c r="A608" s="225"/>
      <c r="B608" s="225"/>
      <c r="C608" s="225"/>
      <c r="D608" s="225"/>
      <c r="E608" s="225"/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</row>
    <row r="609">
      <c r="A609" s="225"/>
      <c r="B609" s="225"/>
      <c r="C609" s="225"/>
      <c r="D609" s="225"/>
      <c r="E609" s="225"/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</row>
    <row r="610">
      <c r="A610" s="225"/>
      <c r="B610" s="225"/>
      <c r="C610" s="225"/>
      <c r="D610" s="225"/>
      <c r="E610" s="225"/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</row>
    <row r="611">
      <c r="A611" s="225"/>
      <c r="B611" s="225"/>
      <c r="C611" s="225"/>
      <c r="D611" s="225"/>
      <c r="E611" s="225"/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</row>
    <row r="612">
      <c r="A612" s="225"/>
      <c r="B612" s="225"/>
      <c r="C612" s="225"/>
      <c r="D612" s="225"/>
      <c r="E612" s="225"/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</row>
    <row r="613">
      <c r="A613" s="225"/>
      <c r="B613" s="225"/>
      <c r="C613" s="225"/>
      <c r="D613" s="225"/>
      <c r="E613" s="225"/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</row>
    <row r="614">
      <c r="A614" s="225"/>
      <c r="B614" s="225"/>
      <c r="C614" s="225"/>
      <c r="D614" s="225"/>
      <c r="E614" s="225"/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</row>
    <row r="615">
      <c r="A615" s="225"/>
      <c r="B615" s="225"/>
      <c r="C615" s="225"/>
      <c r="D615" s="225"/>
      <c r="E615" s="225"/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</row>
    <row r="616">
      <c r="A616" s="225"/>
      <c r="B616" s="225"/>
      <c r="C616" s="225"/>
      <c r="D616" s="225"/>
      <c r="E616" s="225"/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</row>
    <row r="617">
      <c r="A617" s="225"/>
      <c r="B617" s="225"/>
      <c r="C617" s="225"/>
      <c r="D617" s="225"/>
      <c r="E617" s="225"/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</row>
    <row r="618">
      <c r="A618" s="225"/>
      <c r="B618" s="225"/>
      <c r="C618" s="225"/>
      <c r="D618" s="225"/>
      <c r="E618" s="225"/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</row>
    <row r="619">
      <c r="A619" s="225"/>
      <c r="B619" s="225"/>
      <c r="C619" s="225"/>
      <c r="D619" s="225"/>
      <c r="E619" s="225"/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</row>
    <row r="620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</row>
    <row r="621">
      <c r="A621" s="225"/>
      <c r="B621" s="225"/>
      <c r="C621" s="225"/>
      <c r="D621" s="225"/>
      <c r="E621" s="225"/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</row>
    <row r="622">
      <c r="A622" s="225"/>
      <c r="B622" s="225"/>
      <c r="C622" s="225"/>
      <c r="D622" s="225"/>
      <c r="E622" s="225"/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</row>
    <row r="623">
      <c r="A623" s="225"/>
      <c r="B623" s="225"/>
      <c r="C623" s="225"/>
      <c r="D623" s="225"/>
      <c r="E623" s="225"/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</row>
    <row r="624">
      <c r="A624" s="225"/>
      <c r="B624" s="225"/>
      <c r="C624" s="225"/>
      <c r="D624" s="225"/>
      <c r="E624" s="225"/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</row>
    <row r="625">
      <c r="A625" s="225"/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</row>
    <row r="626">
      <c r="A626" s="225"/>
      <c r="B626" s="225"/>
      <c r="C626" s="225"/>
      <c r="D626" s="225"/>
      <c r="E626" s="225"/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</row>
    <row r="627">
      <c r="A627" s="225"/>
      <c r="B627" s="225"/>
      <c r="C627" s="225"/>
      <c r="D627" s="225"/>
      <c r="E627" s="225"/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</row>
    <row r="628">
      <c r="A628" s="225"/>
      <c r="B628" s="225"/>
      <c r="C628" s="225"/>
      <c r="D628" s="225"/>
      <c r="E628" s="225"/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</row>
    <row r="629">
      <c r="A629" s="225"/>
      <c r="B629" s="225"/>
      <c r="C629" s="225"/>
      <c r="D629" s="225"/>
      <c r="E629" s="225"/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</row>
    <row r="630">
      <c r="A630" s="225"/>
      <c r="B630" s="225"/>
      <c r="C630" s="225"/>
      <c r="D630" s="225"/>
      <c r="E630" s="225"/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</row>
    <row r="631">
      <c r="A631" s="225"/>
      <c r="B631" s="225"/>
      <c r="C631" s="225"/>
      <c r="D631" s="225"/>
      <c r="E631" s="225"/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</row>
    <row r="632">
      <c r="A632" s="225"/>
      <c r="B632" s="225"/>
      <c r="C632" s="225"/>
      <c r="D632" s="225"/>
      <c r="E632" s="225"/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</row>
    <row r="633">
      <c r="A633" s="225"/>
      <c r="B633" s="225"/>
      <c r="C633" s="225"/>
      <c r="D633" s="225"/>
      <c r="E633" s="225"/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</row>
    <row r="634">
      <c r="A634" s="225"/>
      <c r="B634" s="225"/>
      <c r="C634" s="225"/>
      <c r="D634" s="225"/>
      <c r="E634" s="225"/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</row>
    <row r="635">
      <c r="A635" s="225"/>
      <c r="B635" s="225"/>
      <c r="C635" s="225"/>
      <c r="D635" s="225"/>
      <c r="E635" s="225"/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</row>
    <row r="636">
      <c r="A636" s="225"/>
      <c r="B636" s="225"/>
      <c r="C636" s="225"/>
      <c r="D636" s="225"/>
      <c r="E636" s="225"/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</row>
    <row r="637">
      <c r="A637" s="225"/>
      <c r="B637" s="225"/>
      <c r="C637" s="225"/>
      <c r="D637" s="225"/>
      <c r="E637" s="225"/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</row>
    <row r="638">
      <c r="A638" s="225"/>
      <c r="B638" s="225"/>
      <c r="C638" s="225"/>
      <c r="D638" s="225"/>
      <c r="E638" s="225"/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</row>
    <row r="639">
      <c r="A639" s="225"/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</row>
    <row r="640">
      <c r="A640" s="225"/>
      <c r="B640" s="225"/>
      <c r="C640" s="225"/>
      <c r="D640" s="225"/>
      <c r="E640" s="225"/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</row>
    <row r="641">
      <c r="A641" s="225"/>
      <c r="B641" s="225"/>
      <c r="C641" s="225"/>
      <c r="D641" s="225"/>
      <c r="E641" s="225"/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</row>
    <row r="642">
      <c r="A642" s="225"/>
      <c r="B642" s="225"/>
      <c r="C642" s="225"/>
      <c r="D642" s="225"/>
      <c r="E642" s="225"/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</row>
    <row r="643">
      <c r="A643" s="225"/>
      <c r="B643" s="225"/>
      <c r="C643" s="225"/>
      <c r="D643" s="225"/>
      <c r="E643" s="225"/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</row>
    <row r="644">
      <c r="A644" s="225"/>
      <c r="B644" s="225"/>
      <c r="C644" s="225"/>
      <c r="D644" s="225"/>
      <c r="E644" s="225"/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</row>
    <row r="645">
      <c r="A645" s="225"/>
      <c r="B645" s="225"/>
      <c r="C645" s="225"/>
      <c r="D645" s="225"/>
      <c r="E645" s="225"/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</row>
    <row r="646">
      <c r="A646" s="225"/>
      <c r="B646" s="225"/>
      <c r="C646" s="225"/>
      <c r="D646" s="225"/>
      <c r="E646" s="225"/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</row>
    <row r="647">
      <c r="A647" s="225"/>
      <c r="B647" s="225"/>
      <c r="C647" s="225"/>
      <c r="D647" s="225"/>
      <c r="E647" s="225"/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</row>
    <row r="648">
      <c r="A648" s="225"/>
      <c r="B648" s="225"/>
      <c r="C648" s="225"/>
      <c r="D648" s="225"/>
      <c r="E648" s="225"/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</row>
    <row r="649">
      <c r="A649" s="225"/>
      <c r="B649" s="225"/>
      <c r="C649" s="225"/>
      <c r="D649" s="225"/>
      <c r="E649" s="225"/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</row>
    <row r="650">
      <c r="A650" s="225"/>
      <c r="B650" s="225"/>
      <c r="C650" s="225"/>
      <c r="D650" s="225"/>
      <c r="E650" s="225"/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</row>
    <row r="651">
      <c r="A651" s="225"/>
      <c r="B651" s="225"/>
      <c r="C651" s="225"/>
      <c r="D651" s="225"/>
      <c r="E651" s="225"/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</row>
    <row r="652">
      <c r="A652" s="225"/>
      <c r="B652" s="225"/>
      <c r="C652" s="225"/>
      <c r="D652" s="225"/>
      <c r="E652" s="225"/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</row>
    <row r="653">
      <c r="A653" s="225"/>
      <c r="B653" s="225"/>
      <c r="C653" s="225"/>
      <c r="D653" s="225"/>
      <c r="E653" s="225"/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</row>
    <row r="654">
      <c r="A654" s="225"/>
      <c r="B654" s="225"/>
      <c r="C654" s="225"/>
      <c r="D654" s="225"/>
      <c r="E654" s="225"/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</row>
    <row r="655">
      <c r="A655" s="225"/>
      <c r="B655" s="225"/>
      <c r="C655" s="225"/>
      <c r="D655" s="225"/>
      <c r="E655" s="225"/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</row>
    <row r="656">
      <c r="A656" s="225"/>
      <c r="B656" s="225"/>
      <c r="C656" s="225"/>
      <c r="D656" s="225"/>
      <c r="E656" s="225"/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</row>
    <row r="657">
      <c r="A657" s="225"/>
      <c r="B657" s="225"/>
      <c r="C657" s="225"/>
      <c r="D657" s="225"/>
      <c r="E657" s="225"/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</row>
    <row r="658">
      <c r="A658" s="225"/>
      <c r="B658" s="225"/>
      <c r="C658" s="225"/>
      <c r="D658" s="225"/>
      <c r="E658" s="225"/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</row>
    <row r="659">
      <c r="A659" s="225"/>
      <c r="B659" s="225"/>
      <c r="C659" s="225"/>
      <c r="D659" s="225"/>
      <c r="E659" s="225"/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</row>
    <row r="660">
      <c r="A660" s="225"/>
      <c r="B660" s="225"/>
      <c r="C660" s="225"/>
      <c r="D660" s="225"/>
      <c r="E660" s="225"/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</row>
    <row r="661">
      <c r="A661" s="225"/>
      <c r="B661" s="225"/>
      <c r="C661" s="225"/>
      <c r="D661" s="225"/>
      <c r="E661" s="225"/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</row>
    <row r="662">
      <c r="A662" s="225"/>
      <c r="B662" s="225"/>
      <c r="C662" s="225"/>
      <c r="D662" s="225"/>
      <c r="E662" s="225"/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</row>
    <row r="663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</row>
    <row r="664">
      <c r="A664" s="225"/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</row>
    <row r="665">
      <c r="A665" s="225"/>
      <c r="B665" s="225"/>
      <c r="C665" s="225"/>
      <c r="D665" s="225"/>
      <c r="E665" s="225"/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</row>
    <row r="666">
      <c r="A666" s="225"/>
      <c r="B666" s="225"/>
      <c r="C666" s="225"/>
      <c r="D666" s="225"/>
      <c r="E666" s="225"/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</row>
    <row r="667">
      <c r="A667" s="225"/>
      <c r="B667" s="225"/>
      <c r="C667" s="225"/>
      <c r="D667" s="225"/>
      <c r="E667" s="225"/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</row>
    <row r="668">
      <c r="A668" s="225"/>
      <c r="B668" s="225"/>
      <c r="C668" s="225"/>
      <c r="D668" s="225"/>
      <c r="E668" s="225"/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</row>
    <row r="669">
      <c r="A669" s="225"/>
      <c r="B669" s="225"/>
      <c r="C669" s="225"/>
      <c r="D669" s="225"/>
      <c r="E669" s="225"/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</row>
    <row r="670">
      <c r="A670" s="225"/>
      <c r="B670" s="225"/>
      <c r="C670" s="225"/>
      <c r="D670" s="225"/>
      <c r="E670" s="225"/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</row>
    <row r="671">
      <c r="A671" s="225"/>
      <c r="B671" s="225"/>
      <c r="C671" s="225"/>
      <c r="D671" s="225"/>
      <c r="E671" s="225"/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</row>
    <row r="672">
      <c r="A672" s="225"/>
      <c r="B672" s="225"/>
      <c r="C672" s="225"/>
      <c r="D672" s="225"/>
      <c r="E672" s="225"/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</row>
    <row r="673">
      <c r="A673" s="225"/>
      <c r="B673" s="225"/>
      <c r="C673" s="225"/>
      <c r="D673" s="225"/>
      <c r="E673" s="225"/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</row>
    <row r="674">
      <c r="A674" s="225"/>
      <c r="B674" s="225"/>
      <c r="C674" s="225"/>
      <c r="D674" s="225"/>
      <c r="E674" s="225"/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</row>
    <row r="675">
      <c r="A675" s="225"/>
      <c r="B675" s="225"/>
      <c r="C675" s="225"/>
      <c r="D675" s="225"/>
      <c r="E675" s="225"/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</row>
    <row r="676">
      <c r="A676" s="225"/>
      <c r="B676" s="225"/>
      <c r="C676" s="225"/>
      <c r="D676" s="225"/>
      <c r="E676" s="225"/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</row>
    <row r="677">
      <c r="A677" s="225"/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</row>
    <row r="678">
      <c r="A678" s="225"/>
      <c r="B678" s="225"/>
      <c r="C678" s="225"/>
      <c r="D678" s="225"/>
      <c r="E678" s="225"/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</row>
    <row r="679">
      <c r="A679" s="225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</row>
    <row r="680">
      <c r="A680" s="225"/>
      <c r="B680" s="225"/>
      <c r="C680" s="225"/>
      <c r="D680" s="225"/>
      <c r="E680" s="225"/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</row>
    <row r="681">
      <c r="A681" s="225"/>
      <c r="B681" s="225"/>
      <c r="C681" s="225"/>
      <c r="D681" s="225"/>
      <c r="E681" s="225"/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</row>
    <row r="682">
      <c r="A682" s="225"/>
      <c r="B682" s="225"/>
      <c r="C682" s="225"/>
      <c r="D682" s="225"/>
      <c r="E682" s="225"/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</row>
    <row r="683">
      <c r="A683" s="225"/>
      <c r="B683" s="225"/>
      <c r="C683" s="225"/>
      <c r="D683" s="225"/>
      <c r="E683" s="225"/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</row>
    <row r="684">
      <c r="A684" s="225"/>
      <c r="B684" s="225"/>
      <c r="C684" s="225"/>
      <c r="D684" s="225"/>
      <c r="E684" s="225"/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</row>
    <row r="685">
      <c r="A685" s="225"/>
      <c r="B685" s="225"/>
      <c r="C685" s="225"/>
      <c r="D685" s="225"/>
      <c r="E685" s="225"/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</row>
    <row r="686">
      <c r="A686" s="225"/>
      <c r="B686" s="225"/>
      <c r="C686" s="225"/>
      <c r="D686" s="225"/>
      <c r="E686" s="225"/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</row>
    <row r="687">
      <c r="A687" s="225"/>
      <c r="B687" s="225"/>
      <c r="C687" s="225"/>
      <c r="D687" s="225"/>
      <c r="E687" s="225"/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</row>
    <row r="688">
      <c r="A688" s="225"/>
      <c r="B688" s="225"/>
      <c r="C688" s="225"/>
      <c r="D688" s="225"/>
      <c r="E688" s="225"/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</row>
    <row r="689">
      <c r="A689" s="225"/>
      <c r="B689" s="225"/>
      <c r="C689" s="225"/>
      <c r="D689" s="225"/>
      <c r="E689" s="225"/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</row>
    <row r="690">
      <c r="A690" s="225"/>
      <c r="B690" s="225"/>
      <c r="C690" s="225"/>
      <c r="D690" s="225"/>
      <c r="E690" s="225"/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</row>
    <row r="691">
      <c r="A691" s="225"/>
      <c r="B691" s="225"/>
      <c r="C691" s="225"/>
      <c r="D691" s="225"/>
      <c r="E691" s="225"/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</row>
    <row r="692">
      <c r="A692" s="225"/>
      <c r="B692" s="225"/>
      <c r="C692" s="225"/>
      <c r="D692" s="225"/>
      <c r="E692" s="225"/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</row>
    <row r="693">
      <c r="A693" s="225"/>
      <c r="B693" s="225"/>
      <c r="C693" s="225"/>
      <c r="D693" s="225"/>
      <c r="E693" s="225"/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</row>
    <row r="694">
      <c r="A694" s="225"/>
      <c r="B694" s="225"/>
      <c r="C694" s="225"/>
      <c r="D694" s="225"/>
      <c r="E694" s="225"/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</row>
    <row r="695">
      <c r="A695" s="225"/>
      <c r="B695" s="225"/>
      <c r="C695" s="225"/>
      <c r="D695" s="225"/>
      <c r="E695" s="225"/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</row>
    <row r="696">
      <c r="A696" s="225"/>
      <c r="B696" s="225"/>
      <c r="C696" s="225"/>
      <c r="D696" s="225"/>
      <c r="E696" s="225"/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</row>
    <row r="697">
      <c r="A697" s="225"/>
      <c r="B697" s="225"/>
      <c r="C697" s="225"/>
      <c r="D697" s="225"/>
      <c r="E697" s="225"/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</row>
    <row r="698">
      <c r="A698" s="225"/>
      <c r="B698" s="225"/>
      <c r="C698" s="225"/>
      <c r="D698" s="225"/>
      <c r="E698" s="225"/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</row>
    <row r="699">
      <c r="A699" s="225"/>
      <c r="B699" s="225"/>
      <c r="C699" s="225"/>
      <c r="D699" s="225"/>
      <c r="E699" s="225"/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</row>
    <row r="700">
      <c r="A700" s="225"/>
      <c r="B700" s="225"/>
      <c r="C700" s="225"/>
      <c r="D700" s="225"/>
      <c r="E700" s="225"/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</row>
    <row r="701">
      <c r="A701" s="225"/>
      <c r="B701" s="225"/>
      <c r="C701" s="225"/>
      <c r="D701" s="225"/>
      <c r="E701" s="225"/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</row>
    <row r="702">
      <c r="A702" s="225"/>
      <c r="B702" s="225"/>
      <c r="C702" s="225"/>
      <c r="D702" s="225"/>
      <c r="E702" s="225"/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</row>
    <row r="703">
      <c r="A703" s="225"/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</row>
    <row r="704">
      <c r="A704" s="225"/>
      <c r="B704" s="225"/>
      <c r="C704" s="225"/>
      <c r="D704" s="225"/>
      <c r="E704" s="225"/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</row>
    <row r="705">
      <c r="A705" s="225"/>
      <c r="B705" s="225"/>
      <c r="C705" s="225"/>
      <c r="D705" s="225"/>
      <c r="E705" s="225"/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</row>
    <row r="706">
      <c r="A706" s="225"/>
      <c r="B706" s="225"/>
      <c r="C706" s="225"/>
      <c r="D706" s="225"/>
      <c r="E706" s="225"/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</row>
    <row r="707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</row>
    <row r="708">
      <c r="A708" s="225"/>
      <c r="B708" s="225"/>
      <c r="C708" s="225"/>
      <c r="D708" s="225"/>
      <c r="E708" s="225"/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</row>
    <row r="709">
      <c r="A709" s="225"/>
      <c r="B709" s="225"/>
      <c r="C709" s="225"/>
      <c r="D709" s="225"/>
      <c r="E709" s="225"/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</row>
    <row r="710">
      <c r="A710" s="225"/>
      <c r="B710" s="225"/>
      <c r="C710" s="225"/>
      <c r="D710" s="225"/>
      <c r="E710" s="225"/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</row>
    <row r="711">
      <c r="A711" s="225"/>
      <c r="B711" s="225"/>
      <c r="C711" s="225"/>
      <c r="D711" s="225"/>
      <c r="E711" s="225"/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</row>
    <row r="712">
      <c r="A712" s="225"/>
      <c r="B712" s="225"/>
      <c r="C712" s="225"/>
      <c r="D712" s="225"/>
      <c r="E712" s="225"/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</row>
    <row r="713">
      <c r="A713" s="225"/>
      <c r="B713" s="225"/>
      <c r="C713" s="225"/>
      <c r="D713" s="225"/>
      <c r="E713" s="225"/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</row>
    <row r="714">
      <c r="A714" s="225"/>
      <c r="B714" s="225"/>
      <c r="C714" s="225"/>
      <c r="D714" s="225"/>
      <c r="E714" s="225"/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</row>
    <row r="715">
      <c r="A715" s="225"/>
      <c r="B715" s="225"/>
      <c r="C715" s="225"/>
      <c r="D715" s="225"/>
      <c r="E715" s="225"/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</row>
    <row r="716">
      <c r="A716" s="225"/>
      <c r="B716" s="225"/>
      <c r="C716" s="225"/>
      <c r="D716" s="225"/>
      <c r="E716" s="225"/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</row>
    <row r="717">
      <c r="A717" s="225"/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</row>
    <row r="718">
      <c r="A718" s="225"/>
      <c r="B718" s="225"/>
      <c r="C718" s="225"/>
      <c r="D718" s="225"/>
      <c r="E718" s="225"/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</row>
    <row r="719">
      <c r="A719" s="225"/>
      <c r="B719" s="225"/>
      <c r="C719" s="225"/>
      <c r="D719" s="225"/>
      <c r="E719" s="225"/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</row>
    <row r="720">
      <c r="A720" s="225"/>
      <c r="B720" s="225"/>
      <c r="C720" s="225"/>
      <c r="D720" s="225"/>
      <c r="E720" s="225"/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</row>
    <row r="721">
      <c r="A721" s="225"/>
      <c r="B721" s="225"/>
      <c r="C721" s="225"/>
      <c r="D721" s="225"/>
      <c r="E721" s="225"/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</row>
    <row r="722">
      <c r="A722" s="225"/>
      <c r="B722" s="225"/>
      <c r="C722" s="225"/>
      <c r="D722" s="225"/>
      <c r="E722" s="225"/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</row>
    <row r="723">
      <c r="A723" s="225"/>
      <c r="B723" s="225"/>
      <c r="C723" s="225"/>
      <c r="D723" s="225"/>
      <c r="E723" s="225"/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</row>
    <row r="724">
      <c r="A724" s="225"/>
      <c r="B724" s="225"/>
      <c r="C724" s="225"/>
      <c r="D724" s="225"/>
      <c r="E724" s="225"/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</row>
    <row r="725">
      <c r="A725" s="225"/>
      <c r="B725" s="225"/>
      <c r="C725" s="225"/>
      <c r="D725" s="225"/>
      <c r="E725" s="225"/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</row>
    <row r="726">
      <c r="A726" s="225"/>
      <c r="B726" s="225"/>
      <c r="C726" s="225"/>
      <c r="D726" s="225"/>
      <c r="E726" s="225"/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</row>
    <row r="727">
      <c r="A727" s="225"/>
      <c r="B727" s="225"/>
      <c r="C727" s="225"/>
      <c r="D727" s="225"/>
      <c r="E727" s="225"/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</row>
    <row r="728">
      <c r="A728" s="225"/>
      <c r="B728" s="225"/>
      <c r="C728" s="225"/>
      <c r="D728" s="225"/>
      <c r="E728" s="225"/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</row>
    <row r="729">
      <c r="A729" s="225"/>
      <c r="B729" s="225"/>
      <c r="C729" s="225"/>
      <c r="D729" s="225"/>
      <c r="E729" s="225"/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</row>
    <row r="730">
      <c r="A730" s="225"/>
      <c r="B730" s="225"/>
      <c r="C730" s="225"/>
      <c r="D730" s="225"/>
      <c r="E730" s="225"/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</row>
    <row r="731">
      <c r="A731" s="225"/>
      <c r="B731" s="225"/>
      <c r="C731" s="225"/>
      <c r="D731" s="225"/>
      <c r="E731" s="225"/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</row>
    <row r="732">
      <c r="A732" s="225"/>
      <c r="B732" s="225"/>
      <c r="C732" s="225"/>
      <c r="D732" s="225"/>
      <c r="E732" s="225"/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</row>
    <row r="733">
      <c r="A733" s="225"/>
      <c r="B733" s="225"/>
      <c r="C733" s="225"/>
      <c r="D733" s="225"/>
      <c r="E733" s="225"/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</row>
    <row r="734">
      <c r="A734" s="225"/>
      <c r="B734" s="225"/>
      <c r="C734" s="225"/>
      <c r="D734" s="225"/>
      <c r="E734" s="225"/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</row>
    <row r="735">
      <c r="A735" s="225"/>
      <c r="B735" s="225"/>
      <c r="C735" s="225"/>
      <c r="D735" s="225"/>
      <c r="E735" s="225"/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</row>
    <row r="736">
      <c r="A736" s="225"/>
      <c r="B736" s="225"/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</row>
    <row r="737">
      <c r="A737" s="225"/>
      <c r="B737" s="225"/>
      <c r="C737" s="225"/>
      <c r="D737" s="225"/>
      <c r="E737" s="225"/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</row>
    <row r="738">
      <c r="A738" s="225"/>
      <c r="B738" s="225"/>
      <c r="C738" s="225"/>
      <c r="D738" s="225"/>
      <c r="E738" s="225"/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</row>
    <row r="739">
      <c r="A739" s="225"/>
      <c r="B739" s="225"/>
      <c r="C739" s="225"/>
      <c r="D739" s="225"/>
      <c r="E739" s="225"/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</row>
    <row r="740">
      <c r="A740" s="225"/>
      <c r="B740" s="225"/>
      <c r="C740" s="225"/>
      <c r="D740" s="225"/>
      <c r="E740" s="225"/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</row>
    <row r="741">
      <c r="A741" s="225"/>
      <c r="B741" s="225"/>
      <c r="C741" s="225"/>
      <c r="D741" s="225"/>
      <c r="E741" s="225"/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</row>
    <row r="742">
      <c r="A742" s="225"/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</row>
    <row r="743">
      <c r="A743" s="225"/>
      <c r="B743" s="225"/>
      <c r="C743" s="225"/>
      <c r="D743" s="225"/>
      <c r="E743" s="225"/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</row>
    <row r="744">
      <c r="A744" s="225"/>
      <c r="B744" s="225"/>
      <c r="C744" s="225"/>
      <c r="D744" s="225"/>
      <c r="E744" s="225"/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</row>
    <row r="745">
      <c r="A745" s="225"/>
      <c r="B745" s="225"/>
      <c r="C745" s="225"/>
      <c r="D745" s="225"/>
      <c r="E745" s="225"/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</row>
    <row r="746">
      <c r="A746" s="225"/>
      <c r="B746" s="225"/>
      <c r="C746" s="225"/>
      <c r="D746" s="225"/>
      <c r="E746" s="225"/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</row>
    <row r="747">
      <c r="A747" s="225"/>
      <c r="B747" s="225"/>
      <c r="C747" s="225"/>
      <c r="D747" s="225"/>
      <c r="E747" s="225"/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</row>
    <row r="748">
      <c r="A748" s="225"/>
      <c r="B748" s="225"/>
      <c r="C748" s="225"/>
      <c r="D748" s="225"/>
      <c r="E748" s="225"/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</row>
    <row r="749">
      <c r="A749" s="225"/>
      <c r="B749" s="225"/>
      <c r="C749" s="225"/>
      <c r="D749" s="225"/>
      <c r="E749" s="225"/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</row>
    <row r="750">
      <c r="A750" s="225"/>
      <c r="B750" s="225"/>
      <c r="C750" s="225"/>
      <c r="D750" s="225"/>
      <c r="E750" s="225"/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</row>
    <row r="751">
      <c r="A751" s="225"/>
      <c r="B751" s="225"/>
      <c r="C751" s="225"/>
      <c r="D751" s="225"/>
      <c r="E751" s="225"/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</row>
    <row r="752">
      <c r="A752" s="225"/>
      <c r="B752" s="225"/>
      <c r="C752" s="225"/>
      <c r="D752" s="225"/>
      <c r="E752" s="225"/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</row>
    <row r="753">
      <c r="A753" s="225"/>
      <c r="B753" s="225"/>
      <c r="C753" s="225"/>
      <c r="D753" s="225"/>
      <c r="E753" s="225"/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</row>
    <row r="754">
      <c r="A754" s="225"/>
      <c r="B754" s="225"/>
      <c r="C754" s="225"/>
      <c r="D754" s="225"/>
      <c r="E754" s="225"/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</row>
    <row r="755">
      <c r="A755" s="225"/>
      <c r="B755" s="225"/>
      <c r="C755" s="225"/>
      <c r="D755" s="225"/>
      <c r="E755" s="225"/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</row>
    <row r="756">
      <c r="A756" s="225"/>
      <c r="B756" s="225"/>
      <c r="C756" s="225"/>
      <c r="D756" s="225"/>
      <c r="E756" s="225"/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</row>
    <row r="757">
      <c r="A757" s="225"/>
      <c r="B757" s="225"/>
      <c r="C757" s="225"/>
      <c r="D757" s="225"/>
      <c r="E757" s="225"/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</row>
    <row r="758">
      <c r="A758" s="225"/>
      <c r="B758" s="225"/>
      <c r="C758" s="225"/>
      <c r="D758" s="225"/>
      <c r="E758" s="225"/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</row>
    <row r="759">
      <c r="A759" s="225"/>
      <c r="B759" s="225"/>
      <c r="C759" s="225"/>
      <c r="D759" s="225"/>
      <c r="E759" s="225"/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</row>
    <row r="760">
      <c r="A760" s="225"/>
      <c r="B760" s="225"/>
      <c r="C760" s="225"/>
      <c r="D760" s="225"/>
      <c r="E760" s="225"/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</row>
    <row r="761">
      <c r="A761" s="225"/>
      <c r="B761" s="225"/>
      <c r="C761" s="225"/>
      <c r="D761" s="225"/>
      <c r="E761" s="225"/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</row>
    <row r="762">
      <c r="A762" s="225"/>
      <c r="B762" s="225"/>
      <c r="C762" s="225"/>
      <c r="D762" s="225"/>
      <c r="E762" s="225"/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</row>
    <row r="763">
      <c r="A763" s="225"/>
      <c r="B763" s="225"/>
      <c r="C763" s="225"/>
      <c r="D763" s="225"/>
      <c r="E763" s="225"/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</row>
    <row r="764">
      <c r="A764" s="225"/>
      <c r="B764" s="225"/>
      <c r="C764" s="225"/>
      <c r="D764" s="225"/>
      <c r="E764" s="225"/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</row>
    <row r="765">
      <c r="A765" s="225"/>
      <c r="B765" s="225"/>
      <c r="C765" s="225"/>
      <c r="D765" s="225"/>
      <c r="E765" s="225"/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</row>
    <row r="766">
      <c r="A766" s="225"/>
      <c r="B766" s="225"/>
      <c r="C766" s="225"/>
      <c r="D766" s="225"/>
      <c r="E766" s="225"/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</row>
    <row r="767">
      <c r="A767" s="225"/>
      <c r="B767" s="225"/>
      <c r="C767" s="225"/>
      <c r="D767" s="225"/>
      <c r="E767" s="225"/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</row>
    <row r="768">
      <c r="A768" s="225"/>
      <c r="B768" s="225"/>
      <c r="C768" s="225"/>
      <c r="D768" s="225"/>
      <c r="E768" s="225"/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</row>
    <row r="769">
      <c r="A769" s="225"/>
      <c r="B769" s="225"/>
      <c r="C769" s="225"/>
      <c r="D769" s="225"/>
      <c r="E769" s="225"/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</row>
    <row r="770">
      <c r="A770" s="225"/>
      <c r="B770" s="225"/>
      <c r="C770" s="225"/>
      <c r="D770" s="225"/>
      <c r="E770" s="225"/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</row>
    <row r="771">
      <c r="A771" s="225"/>
      <c r="B771" s="225"/>
      <c r="C771" s="225"/>
      <c r="D771" s="225"/>
      <c r="E771" s="225"/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</row>
    <row r="772">
      <c r="A772" s="225"/>
      <c r="B772" s="225"/>
      <c r="C772" s="225"/>
      <c r="D772" s="225"/>
      <c r="E772" s="225"/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</row>
    <row r="773">
      <c r="A773" s="225"/>
      <c r="B773" s="225"/>
      <c r="C773" s="225"/>
      <c r="D773" s="225"/>
      <c r="E773" s="225"/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</row>
    <row r="774">
      <c r="A774" s="225"/>
      <c r="B774" s="225"/>
      <c r="C774" s="225"/>
      <c r="D774" s="225"/>
      <c r="E774" s="225"/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</row>
    <row r="775">
      <c r="A775" s="225"/>
      <c r="B775" s="225"/>
      <c r="C775" s="225"/>
      <c r="D775" s="225"/>
      <c r="E775" s="225"/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</row>
    <row r="776">
      <c r="A776" s="225"/>
      <c r="B776" s="225"/>
      <c r="C776" s="225"/>
      <c r="D776" s="225"/>
      <c r="E776" s="225"/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</row>
    <row r="777">
      <c r="A777" s="225"/>
      <c r="B777" s="225"/>
      <c r="C777" s="225"/>
      <c r="D777" s="225"/>
      <c r="E777" s="225"/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</row>
    <row r="778">
      <c r="A778" s="225"/>
      <c r="B778" s="225"/>
      <c r="C778" s="225"/>
      <c r="D778" s="225"/>
      <c r="E778" s="225"/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</row>
    <row r="779">
      <c r="A779" s="225"/>
      <c r="B779" s="225"/>
      <c r="C779" s="225"/>
      <c r="D779" s="225"/>
      <c r="E779" s="225"/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</row>
    <row r="780">
      <c r="A780" s="225"/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</row>
    <row r="781">
      <c r="A781" s="225"/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</row>
    <row r="782">
      <c r="A782" s="225"/>
      <c r="B782" s="225"/>
      <c r="C782" s="225"/>
      <c r="D782" s="225"/>
      <c r="E782" s="225"/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</row>
    <row r="783">
      <c r="A783" s="225"/>
      <c r="B783" s="225"/>
      <c r="C783" s="225"/>
      <c r="D783" s="225"/>
      <c r="E783" s="225"/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</row>
    <row r="784">
      <c r="A784" s="225"/>
      <c r="B784" s="225"/>
      <c r="C784" s="225"/>
      <c r="D784" s="225"/>
      <c r="E784" s="225"/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</row>
    <row r="785">
      <c r="A785" s="225"/>
      <c r="B785" s="225"/>
      <c r="C785" s="225"/>
      <c r="D785" s="225"/>
      <c r="E785" s="225"/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</row>
    <row r="786">
      <c r="A786" s="225"/>
      <c r="B786" s="225"/>
      <c r="C786" s="225"/>
      <c r="D786" s="225"/>
      <c r="E786" s="225"/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</row>
    <row r="787">
      <c r="A787" s="225"/>
      <c r="B787" s="225"/>
      <c r="C787" s="225"/>
      <c r="D787" s="225"/>
      <c r="E787" s="225"/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</row>
    <row r="788">
      <c r="A788" s="225"/>
      <c r="B788" s="225"/>
      <c r="C788" s="225"/>
      <c r="D788" s="225"/>
      <c r="E788" s="225"/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</row>
    <row r="789">
      <c r="A789" s="225"/>
      <c r="B789" s="225"/>
      <c r="C789" s="225"/>
      <c r="D789" s="225"/>
      <c r="E789" s="225"/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</row>
    <row r="790">
      <c r="A790" s="225"/>
      <c r="B790" s="225"/>
      <c r="C790" s="225"/>
      <c r="D790" s="225"/>
      <c r="E790" s="225"/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</row>
    <row r="791">
      <c r="A791" s="225"/>
      <c r="B791" s="225"/>
      <c r="C791" s="225"/>
      <c r="D791" s="225"/>
      <c r="E791" s="225"/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</row>
    <row r="792">
      <c r="A792" s="225"/>
      <c r="B792" s="225"/>
      <c r="C792" s="225"/>
      <c r="D792" s="225"/>
      <c r="E792" s="225"/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</row>
    <row r="793">
      <c r="A793" s="225"/>
      <c r="B793" s="225"/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</row>
    <row r="794">
      <c r="A794" s="225"/>
      <c r="B794" s="225"/>
      <c r="C794" s="225"/>
      <c r="D794" s="225"/>
      <c r="E794" s="225"/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</row>
    <row r="795">
      <c r="A795" s="225"/>
      <c r="B795" s="225"/>
      <c r="C795" s="225"/>
      <c r="D795" s="225"/>
      <c r="E795" s="225"/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</row>
    <row r="796">
      <c r="A796" s="225"/>
      <c r="B796" s="225"/>
      <c r="C796" s="225"/>
      <c r="D796" s="225"/>
      <c r="E796" s="225"/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</row>
    <row r="797">
      <c r="A797" s="225"/>
      <c r="B797" s="225"/>
      <c r="C797" s="225"/>
      <c r="D797" s="225"/>
      <c r="E797" s="225"/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</row>
    <row r="798">
      <c r="A798" s="225"/>
      <c r="B798" s="225"/>
      <c r="C798" s="225"/>
      <c r="D798" s="225"/>
      <c r="E798" s="225"/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</row>
    <row r="799">
      <c r="A799" s="225"/>
      <c r="B799" s="225"/>
      <c r="C799" s="225"/>
      <c r="D799" s="225"/>
      <c r="E799" s="225"/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</row>
    <row r="800">
      <c r="A800" s="225"/>
      <c r="B800" s="225"/>
      <c r="C800" s="225"/>
      <c r="D800" s="225"/>
      <c r="E800" s="225"/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</row>
    <row r="801">
      <c r="A801" s="225"/>
      <c r="B801" s="225"/>
      <c r="C801" s="225"/>
      <c r="D801" s="225"/>
      <c r="E801" s="225"/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</row>
    <row r="802">
      <c r="A802" s="225"/>
      <c r="B802" s="225"/>
      <c r="C802" s="225"/>
      <c r="D802" s="225"/>
      <c r="E802" s="225"/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</row>
    <row r="803">
      <c r="A803" s="225"/>
      <c r="B803" s="225"/>
      <c r="C803" s="225"/>
      <c r="D803" s="225"/>
      <c r="E803" s="225"/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</row>
    <row r="804">
      <c r="A804" s="225"/>
      <c r="B804" s="225"/>
      <c r="C804" s="225"/>
      <c r="D804" s="225"/>
      <c r="E804" s="225"/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</row>
    <row r="805">
      <c r="A805" s="225"/>
      <c r="B805" s="225"/>
      <c r="C805" s="225"/>
      <c r="D805" s="225"/>
      <c r="E805" s="225"/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</row>
    <row r="806">
      <c r="A806" s="225"/>
      <c r="B806" s="225"/>
      <c r="C806" s="225"/>
      <c r="D806" s="225"/>
      <c r="E806" s="225"/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</row>
    <row r="807">
      <c r="A807" s="225"/>
      <c r="B807" s="225"/>
      <c r="C807" s="225"/>
      <c r="D807" s="225"/>
      <c r="E807" s="225"/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</row>
    <row r="808">
      <c r="A808" s="225"/>
      <c r="B808" s="225"/>
      <c r="C808" s="225"/>
      <c r="D808" s="225"/>
      <c r="E808" s="225"/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</row>
    <row r="809">
      <c r="A809" s="225"/>
      <c r="B809" s="225"/>
      <c r="C809" s="225"/>
      <c r="D809" s="225"/>
      <c r="E809" s="225"/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</row>
    <row r="810">
      <c r="A810" s="225"/>
      <c r="B810" s="225"/>
      <c r="C810" s="225"/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</row>
    <row r="811">
      <c r="A811" s="225"/>
      <c r="B811" s="225"/>
      <c r="C811" s="225"/>
      <c r="D811" s="225"/>
      <c r="E811" s="225"/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</row>
    <row r="812">
      <c r="A812" s="225"/>
      <c r="B812" s="225"/>
      <c r="C812" s="225"/>
      <c r="D812" s="225"/>
      <c r="E812" s="225"/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</row>
    <row r="813">
      <c r="A813" s="225"/>
      <c r="B813" s="225"/>
      <c r="C813" s="225"/>
      <c r="D813" s="225"/>
      <c r="E813" s="225"/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</row>
    <row r="814">
      <c r="A814" s="225"/>
      <c r="B814" s="225"/>
      <c r="C814" s="225"/>
      <c r="D814" s="225"/>
      <c r="E814" s="225"/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</row>
    <row r="815">
      <c r="A815" s="225"/>
      <c r="B815" s="225"/>
      <c r="C815" s="225"/>
      <c r="D815" s="225"/>
      <c r="E815" s="225"/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</row>
    <row r="816">
      <c r="A816" s="225"/>
      <c r="B816" s="225"/>
      <c r="C816" s="225"/>
      <c r="D816" s="225"/>
      <c r="E816" s="225"/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</row>
    <row r="817">
      <c r="A817" s="225"/>
      <c r="B817" s="225"/>
      <c r="C817" s="225"/>
      <c r="D817" s="225"/>
      <c r="E817" s="225"/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</row>
    <row r="818">
      <c r="A818" s="225"/>
      <c r="B818" s="225"/>
      <c r="C818" s="225"/>
      <c r="D818" s="225"/>
      <c r="E818" s="225"/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</row>
    <row r="819">
      <c r="A819" s="225"/>
      <c r="B819" s="225"/>
      <c r="C819" s="225"/>
      <c r="D819" s="225"/>
      <c r="E819" s="225"/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</row>
    <row r="820">
      <c r="A820" s="225"/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</row>
    <row r="821">
      <c r="A821" s="225"/>
      <c r="B821" s="225"/>
      <c r="C821" s="225"/>
      <c r="D821" s="225"/>
      <c r="E821" s="225"/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</row>
    <row r="822">
      <c r="A822" s="225"/>
      <c r="B822" s="225"/>
      <c r="C822" s="225"/>
      <c r="D822" s="225"/>
      <c r="E822" s="225"/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</row>
    <row r="823">
      <c r="A823" s="225"/>
      <c r="B823" s="225"/>
      <c r="C823" s="225"/>
      <c r="D823" s="225"/>
      <c r="E823" s="225"/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</row>
    <row r="824">
      <c r="A824" s="225"/>
      <c r="B824" s="225"/>
      <c r="C824" s="225"/>
      <c r="D824" s="225"/>
      <c r="E824" s="225"/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</row>
    <row r="825">
      <c r="A825" s="225"/>
      <c r="B825" s="225"/>
      <c r="C825" s="225"/>
      <c r="D825" s="225"/>
      <c r="E825" s="225"/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</row>
    <row r="826">
      <c r="A826" s="225"/>
      <c r="B826" s="225"/>
      <c r="C826" s="225"/>
      <c r="D826" s="225"/>
      <c r="E826" s="225"/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</row>
    <row r="827">
      <c r="A827" s="225"/>
      <c r="B827" s="225"/>
      <c r="C827" s="225"/>
      <c r="D827" s="225"/>
      <c r="E827" s="225"/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</row>
    <row r="828">
      <c r="A828" s="225"/>
      <c r="B828" s="225"/>
      <c r="C828" s="225"/>
      <c r="D828" s="225"/>
      <c r="E828" s="225"/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</row>
    <row r="829">
      <c r="A829" s="225"/>
      <c r="B829" s="225"/>
      <c r="C829" s="225"/>
      <c r="D829" s="225"/>
      <c r="E829" s="225"/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</row>
    <row r="830">
      <c r="A830" s="225"/>
      <c r="B830" s="225"/>
      <c r="C830" s="225"/>
      <c r="D830" s="225"/>
      <c r="E830" s="225"/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</row>
    <row r="831">
      <c r="A831" s="225"/>
      <c r="B831" s="225"/>
      <c r="C831" s="225"/>
      <c r="D831" s="225"/>
      <c r="E831" s="225"/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</row>
    <row r="832">
      <c r="A832" s="225"/>
      <c r="B832" s="225"/>
      <c r="C832" s="225"/>
      <c r="D832" s="225"/>
      <c r="E832" s="225"/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</row>
    <row r="833">
      <c r="A833" s="225"/>
      <c r="B833" s="225"/>
      <c r="C833" s="225"/>
      <c r="D833" s="225"/>
      <c r="E833" s="225"/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</row>
    <row r="834">
      <c r="A834" s="225"/>
      <c r="B834" s="225"/>
      <c r="C834" s="225"/>
      <c r="D834" s="225"/>
      <c r="E834" s="225"/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</row>
    <row r="835">
      <c r="A835" s="225"/>
      <c r="B835" s="225"/>
      <c r="C835" s="225"/>
      <c r="D835" s="225"/>
      <c r="E835" s="225"/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</row>
    <row r="836">
      <c r="A836" s="225"/>
      <c r="B836" s="225"/>
      <c r="C836" s="225"/>
      <c r="D836" s="225"/>
      <c r="E836" s="225"/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</row>
    <row r="837">
      <c r="A837" s="225"/>
      <c r="B837" s="225"/>
      <c r="C837" s="225"/>
      <c r="D837" s="225"/>
      <c r="E837" s="225"/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</row>
    <row r="838">
      <c r="A838" s="225"/>
      <c r="B838" s="225"/>
      <c r="C838" s="225"/>
      <c r="D838" s="225"/>
      <c r="E838" s="225"/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</row>
    <row r="839">
      <c r="A839" s="225"/>
      <c r="B839" s="225"/>
      <c r="C839" s="225"/>
      <c r="D839" s="225"/>
      <c r="E839" s="225"/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</row>
    <row r="840">
      <c r="A840" s="225"/>
      <c r="B840" s="225"/>
      <c r="C840" s="225"/>
      <c r="D840" s="225"/>
      <c r="E840" s="225"/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</row>
    <row r="841">
      <c r="A841" s="225"/>
      <c r="B841" s="225"/>
      <c r="C841" s="225"/>
      <c r="D841" s="225"/>
      <c r="E841" s="225"/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</row>
    <row r="842">
      <c r="A842" s="225"/>
      <c r="B842" s="225"/>
      <c r="C842" s="225"/>
      <c r="D842" s="225"/>
      <c r="E842" s="225"/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</row>
    <row r="843">
      <c r="A843" s="225"/>
      <c r="B843" s="225"/>
      <c r="C843" s="225"/>
      <c r="D843" s="225"/>
      <c r="E843" s="225"/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</row>
    <row r="844">
      <c r="A844" s="225"/>
      <c r="B844" s="225"/>
      <c r="C844" s="225"/>
      <c r="D844" s="225"/>
      <c r="E844" s="225"/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</row>
    <row r="845">
      <c r="A845" s="225"/>
      <c r="B845" s="225"/>
      <c r="C845" s="225"/>
      <c r="D845" s="225"/>
      <c r="E845" s="225"/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</row>
    <row r="846">
      <c r="A846" s="225"/>
      <c r="B846" s="225"/>
      <c r="C846" s="225"/>
      <c r="D846" s="225"/>
      <c r="E846" s="225"/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</row>
    <row r="847">
      <c r="A847" s="225"/>
      <c r="B847" s="225"/>
      <c r="C847" s="225"/>
      <c r="D847" s="225"/>
      <c r="E847" s="225"/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</row>
    <row r="848">
      <c r="A848" s="225"/>
      <c r="B848" s="225"/>
      <c r="C848" s="225"/>
      <c r="D848" s="225"/>
      <c r="E848" s="225"/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</row>
    <row r="849">
      <c r="A849" s="225"/>
      <c r="B849" s="225"/>
      <c r="C849" s="225"/>
      <c r="D849" s="225"/>
      <c r="E849" s="225"/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</row>
    <row r="850">
      <c r="A850" s="225"/>
      <c r="B850" s="225"/>
      <c r="C850" s="225"/>
      <c r="D850" s="225"/>
      <c r="E850" s="225"/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</row>
    <row r="851">
      <c r="A851" s="225"/>
      <c r="B851" s="225"/>
      <c r="C851" s="225"/>
      <c r="D851" s="225"/>
      <c r="E851" s="225"/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</row>
    <row r="852">
      <c r="A852" s="225"/>
      <c r="B852" s="225"/>
      <c r="C852" s="225"/>
      <c r="D852" s="225"/>
      <c r="E852" s="225"/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</row>
    <row r="853">
      <c r="A853" s="225"/>
      <c r="B853" s="225"/>
      <c r="C853" s="225"/>
      <c r="D853" s="225"/>
      <c r="E853" s="225"/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</row>
    <row r="854">
      <c r="A854" s="225"/>
      <c r="B854" s="225"/>
      <c r="C854" s="225"/>
      <c r="D854" s="225"/>
      <c r="E854" s="225"/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</row>
    <row r="855">
      <c r="A855" s="225"/>
      <c r="B855" s="225"/>
      <c r="C855" s="225"/>
      <c r="D855" s="225"/>
      <c r="E855" s="225"/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</row>
    <row r="856">
      <c r="A856" s="225"/>
      <c r="B856" s="225"/>
      <c r="C856" s="225"/>
      <c r="D856" s="225"/>
      <c r="E856" s="225"/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</row>
    <row r="857">
      <c r="A857" s="225"/>
      <c r="B857" s="225"/>
      <c r="C857" s="225"/>
      <c r="D857" s="225"/>
      <c r="E857" s="225"/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</row>
    <row r="858">
      <c r="A858" s="225"/>
      <c r="B858" s="225"/>
      <c r="C858" s="225"/>
      <c r="D858" s="225"/>
      <c r="E858" s="225"/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</row>
    <row r="859">
      <c r="A859" s="225"/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</row>
    <row r="860">
      <c r="A860" s="225"/>
      <c r="B860" s="225"/>
      <c r="C860" s="225"/>
      <c r="D860" s="225"/>
      <c r="E860" s="225"/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</row>
    <row r="861">
      <c r="A861" s="225"/>
      <c r="B861" s="225"/>
      <c r="C861" s="225"/>
      <c r="D861" s="225"/>
      <c r="E861" s="225"/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</row>
    <row r="862">
      <c r="A862" s="225"/>
      <c r="B862" s="225"/>
      <c r="C862" s="225"/>
      <c r="D862" s="225"/>
      <c r="E862" s="225"/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</row>
    <row r="863">
      <c r="A863" s="225"/>
      <c r="B863" s="225"/>
      <c r="C863" s="225"/>
      <c r="D863" s="225"/>
      <c r="E863" s="225"/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</row>
    <row r="864">
      <c r="A864" s="225"/>
      <c r="B864" s="225"/>
      <c r="C864" s="225"/>
      <c r="D864" s="225"/>
      <c r="E864" s="225"/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</row>
    <row r="865">
      <c r="A865" s="225"/>
      <c r="B865" s="225"/>
      <c r="C865" s="225"/>
      <c r="D865" s="225"/>
      <c r="E865" s="225"/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</row>
    <row r="866">
      <c r="A866" s="225"/>
      <c r="B866" s="225"/>
      <c r="C866" s="225"/>
      <c r="D866" s="225"/>
      <c r="E866" s="225"/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</row>
    <row r="867">
      <c r="A867" s="225"/>
      <c r="B867" s="225"/>
      <c r="C867" s="225"/>
      <c r="D867" s="225"/>
      <c r="E867" s="225"/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</row>
    <row r="868">
      <c r="A868" s="225"/>
      <c r="B868" s="225"/>
      <c r="C868" s="225"/>
      <c r="D868" s="225"/>
      <c r="E868" s="225"/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</row>
    <row r="869">
      <c r="A869" s="225"/>
      <c r="B869" s="225"/>
      <c r="C869" s="225"/>
      <c r="D869" s="225"/>
      <c r="E869" s="225"/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</row>
    <row r="870">
      <c r="A870" s="225"/>
      <c r="B870" s="225"/>
      <c r="C870" s="225"/>
      <c r="D870" s="225"/>
      <c r="E870" s="225"/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</row>
    <row r="871">
      <c r="A871" s="225"/>
      <c r="B871" s="225"/>
      <c r="C871" s="225"/>
      <c r="D871" s="225"/>
      <c r="E871" s="225"/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</row>
    <row r="872">
      <c r="A872" s="225"/>
      <c r="B872" s="225"/>
      <c r="C872" s="225"/>
      <c r="D872" s="225"/>
      <c r="E872" s="225"/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</row>
    <row r="873">
      <c r="A873" s="225"/>
      <c r="B873" s="225"/>
      <c r="C873" s="225"/>
      <c r="D873" s="225"/>
      <c r="E873" s="225"/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</row>
    <row r="874">
      <c r="A874" s="225"/>
      <c r="B874" s="225"/>
      <c r="C874" s="225"/>
      <c r="D874" s="225"/>
      <c r="E874" s="225"/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</row>
    <row r="875">
      <c r="A875" s="225"/>
      <c r="B875" s="225"/>
      <c r="C875" s="225"/>
      <c r="D875" s="225"/>
      <c r="E875" s="225"/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</row>
    <row r="876">
      <c r="A876" s="225"/>
      <c r="B876" s="225"/>
      <c r="C876" s="225"/>
      <c r="D876" s="225"/>
      <c r="E876" s="225"/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</row>
    <row r="877">
      <c r="A877" s="225"/>
      <c r="B877" s="225"/>
      <c r="C877" s="225"/>
      <c r="D877" s="225"/>
      <c r="E877" s="225"/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</row>
    <row r="878">
      <c r="A878" s="225"/>
      <c r="B878" s="225"/>
      <c r="C878" s="225"/>
      <c r="D878" s="225"/>
      <c r="E878" s="225"/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</row>
    <row r="879">
      <c r="A879" s="225"/>
      <c r="B879" s="225"/>
      <c r="C879" s="225"/>
      <c r="D879" s="225"/>
      <c r="E879" s="225"/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</row>
    <row r="880">
      <c r="A880" s="225"/>
      <c r="B880" s="225"/>
      <c r="C880" s="225"/>
      <c r="D880" s="225"/>
      <c r="E880" s="225"/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</row>
    <row r="881">
      <c r="A881" s="225"/>
      <c r="B881" s="225"/>
      <c r="C881" s="225"/>
      <c r="D881" s="225"/>
      <c r="E881" s="225"/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</row>
    <row r="882">
      <c r="A882" s="225"/>
      <c r="B882" s="225"/>
      <c r="C882" s="225"/>
      <c r="D882" s="225"/>
      <c r="E882" s="225"/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</row>
    <row r="883">
      <c r="A883" s="225"/>
      <c r="B883" s="225"/>
      <c r="C883" s="225"/>
      <c r="D883" s="225"/>
      <c r="E883" s="225"/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</row>
    <row r="884">
      <c r="A884" s="225"/>
      <c r="B884" s="225"/>
      <c r="C884" s="225"/>
      <c r="D884" s="225"/>
      <c r="E884" s="225"/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</row>
    <row r="885">
      <c r="A885" s="225"/>
      <c r="B885" s="225"/>
      <c r="C885" s="225"/>
      <c r="D885" s="225"/>
      <c r="E885" s="225"/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</row>
    <row r="886">
      <c r="A886" s="225"/>
      <c r="B886" s="225"/>
      <c r="C886" s="225"/>
      <c r="D886" s="225"/>
      <c r="E886" s="225"/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</row>
    <row r="887">
      <c r="A887" s="225"/>
      <c r="B887" s="225"/>
      <c r="C887" s="225"/>
      <c r="D887" s="225"/>
      <c r="E887" s="225"/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</row>
    <row r="888">
      <c r="A888" s="225"/>
      <c r="B888" s="225"/>
      <c r="C888" s="225"/>
      <c r="D888" s="225"/>
      <c r="E888" s="225"/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</row>
    <row r="889">
      <c r="A889" s="225"/>
      <c r="B889" s="225"/>
      <c r="C889" s="225"/>
      <c r="D889" s="225"/>
      <c r="E889" s="225"/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</row>
    <row r="890">
      <c r="A890" s="225"/>
      <c r="B890" s="225"/>
      <c r="C890" s="225"/>
      <c r="D890" s="225"/>
      <c r="E890" s="225"/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</row>
    <row r="891">
      <c r="A891" s="225"/>
      <c r="B891" s="225"/>
      <c r="C891" s="225"/>
      <c r="D891" s="225"/>
      <c r="E891" s="225"/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</row>
    <row r="892">
      <c r="A892" s="225"/>
      <c r="B892" s="225"/>
      <c r="C892" s="225"/>
      <c r="D892" s="225"/>
      <c r="E892" s="225"/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</row>
    <row r="893">
      <c r="A893" s="225"/>
      <c r="B893" s="225"/>
      <c r="C893" s="225"/>
      <c r="D893" s="225"/>
      <c r="E893" s="225"/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</row>
    <row r="894">
      <c r="A894" s="225"/>
      <c r="B894" s="225"/>
      <c r="C894" s="225"/>
      <c r="D894" s="225"/>
      <c r="E894" s="225"/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</row>
    <row r="895">
      <c r="A895" s="225"/>
      <c r="B895" s="225"/>
      <c r="C895" s="225"/>
      <c r="D895" s="225"/>
      <c r="E895" s="225"/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</row>
    <row r="896">
      <c r="A896" s="225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</row>
    <row r="897">
      <c r="A897" s="225"/>
      <c r="B897" s="225"/>
      <c r="C897" s="225"/>
      <c r="D897" s="225"/>
      <c r="E897" s="225"/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</row>
    <row r="898">
      <c r="A898" s="225"/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</row>
    <row r="899">
      <c r="A899" s="225"/>
      <c r="B899" s="225"/>
      <c r="C899" s="225"/>
      <c r="D899" s="225"/>
      <c r="E899" s="225"/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</row>
    <row r="900">
      <c r="A900" s="225"/>
      <c r="B900" s="225"/>
      <c r="C900" s="225"/>
      <c r="D900" s="225"/>
      <c r="E900" s="225"/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</row>
    <row r="901">
      <c r="A901" s="225"/>
      <c r="B901" s="225"/>
      <c r="C901" s="225"/>
      <c r="D901" s="225"/>
      <c r="E901" s="225"/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</row>
    <row r="902">
      <c r="A902" s="225"/>
      <c r="B902" s="225"/>
      <c r="C902" s="225"/>
      <c r="D902" s="225"/>
      <c r="E902" s="225"/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</row>
    <row r="903">
      <c r="A903" s="225"/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</row>
    <row r="904">
      <c r="A904" s="225"/>
      <c r="B904" s="225"/>
      <c r="C904" s="225"/>
      <c r="D904" s="225"/>
      <c r="E904" s="225"/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</row>
    <row r="905">
      <c r="A905" s="225"/>
      <c r="B905" s="225"/>
      <c r="C905" s="225"/>
      <c r="D905" s="225"/>
      <c r="E905" s="225"/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</row>
    <row r="906">
      <c r="A906" s="225"/>
      <c r="B906" s="225"/>
      <c r="C906" s="225"/>
      <c r="D906" s="225"/>
      <c r="E906" s="225"/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</row>
    <row r="907">
      <c r="A907" s="225"/>
      <c r="B907" s="225"/>
      <c r="C907" s="225"/>
      <c r="D907" s="225"/>
      <c r="E907" s="225"/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</row>
    <row r="908">
      <c r="A908" s="225"/>
      <c r="B908" s="225"/>
      <c r="C908" s="225"/>
      <c r="D908" s="225"/>
      <c r="E908" s="225"/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</row>
    <row r="909">
      <c r="A909" s="225"/>
      <c r="B909" s="225"/>
      <c r="C909" s="225"/>
      <c r="D909" s="225"/>
      <c r="E909" s="225"/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</row>
    <row r="910">
      <c r="A910" s="225"/>
      <c r="B910" s="225"/>
      <c r="C910" s="225"/>
      <c r="D910" s="225"/>
      <c r="E910" s="225"/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</row>
    <row r="911">
      <c r="A911" s="225"/>
      <c r="B911" s="225"/>
      <c r="C911" s="225"/>
      <c r="D911" s="225"/>
      <c r="E911" s="225"/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</row>
    <row r="912">
      <c r="A912" s="225"/>
      <c r="B912" s="225"/>
      <c r="C912" s="225"/>
      <c r="D912" s="225"/>
      <c r="E912" s="225"/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</row>
    <row r="913">
      <c r="A913" s="225"/>
      <c r="B913" s="225"/>
      <c r="C913" s="225"/>
      <c r="D913" s="225"/>
      <c r="E913" s="225"/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</row>
    <row r="914">
      <c r="A914" s="225"/>
      <c r="B914" s="225"/>
      <c r="C914" s="225"/>
      <c r="D914" s="225"/>
      <c r="E914" s="225"/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</row>
    <row r="915">
      <c r="A915" s="225"/>
      <c r="B915" s="225"/>
      <c r="C915" s="225"/>
      <c r="D915" s="225"/>
      <c r="E915" s="225"/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</row>
    <row r="916">
      <c r="A916" s="225"/>
      <c r="B916" s="225"/>
      <c r="C916" s="225"/>
      <c r="D916" s="225"/>
      <c r="E916" s="225"/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</row>
    <row r="917">
      <c r="A917" s="225"/>
      <c r="B917" s="225"/>
      <c r="C917" s="225"/>
      <c r="D917" s="225"/>
      <c r="E917" s="225"/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</row>
    <row r="918">
      <c r="A918" s="225"/>
      <c r="B918" s="225"/>
      <c r="C918" s="225"/>
      <c r="D918" s="225"/>
      <c r="E918" s="225"/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</row>
    <row r="919">
      <c r="A919" s="225"/>
      <c r="B919" s="225"/>
      <c r="C919" s="225"/>
      <c r="D919" s="225"/>
      <c r="E919" s="225"/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</row>
    <row r="920">
      <c r="A920" s="225"/>
      <c r="B920" s="225"/>
      <c r="C920" s="225"/>
      <c r="D920" s="225"/>
      <c r="E920" s="225"/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</row>
    <row r="921">
      <c r="A921" s="225"/>
      <c r="B921" s="225"/>
      <c r="C921" s="225"/>
      <c r="D921" s="225"/>
      <c r="E921" s="225"/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</row>
    <row r="922">
      <c r="A922" s="225"/>
      <c r="B922" s="225"/>
      <c r="C922" s="225"/>
      <c r="D922" s="225"/>
      <c r="E922" s="225"/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</row>
    <row r="923">
      <c r="A923" s="225"/>
      <c r="B923" s="225"/>
      <c r="C923" s="225"/>
      <c r="D923" s="225"/>
      <c r="E923" s="225"/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</row>
    <row r="924">
      <c r="A924" s="225"/>
      <c r="B924" s="225"/>
      <c r="C924" s="225"/>
      <c r="D924" s="225"/>
      <c r="E924" s="225"/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</row>
    <row r="925">
      <c r="A925" s="225"/>
      <c r="B925" s="225"/>
      <c r="C925" s="225"/>
      <c r="D925" s="225"/>
      <c r="E925" s="225"/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</row>
    <row r="926">
      <c r="A926" s="225"/>
      <c r="B926" s="225"/>
      <c r="C926" s="225"/>
      <c r="D926" s="225"/>
      <c r="E926" s="225"/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</row>
    <row r="927">
      <c r="A927" s="225"/>
      <c r="B927" s="225"/>
      <c r="C927" s="225"/>
      <c r="D927" s="225"/>
      <c r="E927" s="225"/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</row>
    <row r="928">
      <c r="A928" s="225"/>
      <c r="B928" s="225"/>
      <c r="C928" s="225"/>
      <c r="D928" s="225"/>
      <c r="E928" s="225"/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</row>
    <row r="929">
      <c r="A929" s="225"/>
      <c r="B929" s="225"/>
      <c r="C929" s="225"/>
      <c r="D929" s="225"/>
      <c r="E929" s="225"/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</row>
    <row r="930">
      <c r="A930" s="225"/>
      <c r="B930" s="225"/>
      <c r="C930" s="225"/>
      <c r="D930" s="225"/>
      <c r="E930" s="225"/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</row>
    <row r="931">
      <c r="A931" s="225"/>
      <c r="B931" s="225"/>
      <c r="C931" s="225"/>
      <c r="D931" s="225"/>
      <c r="E931" s="225"/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</row>
    <row r="932">
      <c r="A932" s="225"/>
      <c r="B932" s="225"/>
      <c r="C932" s="225"/>
      <c r="D932" s="225"/>
      <c r="E932" s="225"/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</row>
    <row r="933">
      <c r="A933" s="225"/>
      <c r="B933" s="225"/>
      <c r="C933" s="225"/>
      <c r="D933" s="225"/>
      <c r="E933" s="225"/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</row>
    <row r="934">
      <c r="A934" s="225"/>
      <c r="B934" s="225"/>
      <c r="C934" s="225"/>
      <c r="D934" s="225"/>
      <c r="E934" s="225"/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</row>
    <row r="935">
      <c r="A935" s="225"/>
      <c r="B935" s="225"/>
      <c r="C935" s="225"/>
      <c r="D935" s="225"/>
      <c r="E935" s="225"/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</row>
    <row r="936">
      <c r="A936" s="225"/>
      <c r="B936" s="225"/>
      <c r="C936" s="225"/>
      <c r="D936" s="225"/>
      <c r="E936" s="225"/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</row>
    <row r="937">
      <c r="A937" s="225"/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</row>
    <row r="938">
      <c r="A938" s="225"/>
      <c r="B938" s="225"/>
      <c r="C938" s="225"/>
      <c r="D938" s="225"/>
      <c r="E938" s="225"/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</row>
    <row r="939">
      <c r="A939" s="225"/>
      <c r="B939" s="225"/>
      <c r="C939" s="225"/>
      <c r="D939" s="225"/>
      <c r="E939" s="225"/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</row>
    <row r="940">
      <c r="A940" s="225"/>
      <c r="B940" s="225"/>
      <c r="C940" s="225"/>
      <c r="D940" s="225"/>
      <c r="E940" s="225"/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</row>
    <row r="941">
      <c r="A941" s="225"/>
      <c r="B941" s="225"/>
      <c r="C941" s="225"/>
      <c r="D941" s="225"/>
      <c r="E941" s="225"/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</row>
    <row r="942">
      <c r="A942" s="225"/>
      <c r="B942" s="225"/>
      <c r="C942" s="225"/>
      <c r="D942" s="225"/>
      <c r="E942" s="225"/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</row>
    <row r="943">
      <c r="A943" s="225"/>
      <c r="B943" s="225"/>
      <c r="C943" s="225"/>
      <c r="D943" s="225"/>
      <c r="E943" s="225"/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</row>
    <row r="944">
      <c r="A944" s="225"/>
      <c r="B944" s="225"/>
      <c r="C944" s="225"/>
      <c r="D944" s="225"/>
      <c r="E944" s="225"/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</row>
    <row r="945">
      <c r="A945" s="225"/>
      <c r="B945" s="225"/>
      <c r="C945" s="225"/>
      <c r="D945" s="225"/>
      <c r="E945" s="225"/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</row>
    <row r="946">
      <c r="A946" s="225"/>
      <c r="B946" s="225"/>
      <c r="C946" s="225"/>
      <c r="D946" s="225"/>
      <c r="E946" s="225"/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</row>
    <row r="947">
      <c r="A947" s="225"/>
      <c r="B947" s="225"/>
      <c r="C947" s="225"/>
      <c r="D947" s="225"/>
      <c r="E947" s="225"/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</row>
    <row r="948">
      <c r="A948" s="225"/>
      <c r="B948" s="225"/>
      <c r="C948" s="225"/>
      <c r="D948" s="225"/>
      <c r="E948" s="225"/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</row>
    <row r="949">
      <c r="A949" s="225"/>
      <c r="B949" s="225"/>
      <c r="C949" s="225"/>
      <c r="D949" s="225"/>
      <c r="E949" s="225"/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</row>
    <row r="950">
      <c r="A950" s="225"/>
      <c r="B950" s="225"/>
      <c r="C950" s="225"/>
      <c r="D950" s="225"/>
      <c r="E950" s="225"/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</row>
    <row r="951">
      <c r="A951" s="225"/>
      <c r="B951" s="225"/>
      <c r="C951" s="225"/>
      <c r="D951" s="225"/>
      <c r="E951" s="225"/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</row>
    <row r="952">
      <c r="A952" s="225"/>
      <c r="B952" s="225"/>
      <c r="C952" s="225"/>
      <c r="D952" s="225"/>
      <c r="E952" s="225"/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</row>
    <row r="953">
      <c r="A953" s="225"/>
      <c r="B953" s="225"/>
      <c r="C953" s="225"/>
      <c r="D953" s="225"/>
      <c r="E953" s="225"/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</row>
    <row r="954">
      <c r="A954" s="225"/>
      <c r="B954" s="225"/>
      <c r="C954" s="225"/>
      <c r="D954" s="225"/>
      <c r="E954" s="225"/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</row>
    <row r="955">
      <c r="A955" s="225"/>
      <c r="B955" s="225"/>
      <c r="C955" s="225"/>
      <c r="D955" s="225"/>
      <c r="E955" s="225"/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</row>
    <row r="956">
      <c r="A956" s="225"/>
      <c r="B956" s="225"/>
      <c r="C956" s="225"/>
      <c r="D956" s="225"/>
      <c r="E956" s="225"/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</row>
    <row r="957">
      <c r="A957" s="225"/>
      <c r="B957" s="225"/>
      <c r="C957" s="225"/>
      <c r="D957" s="225"/>
      <c r="E957" s="225"/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</row>
    <row r="958">
      <c r="A958" s="225"/>
      <c r="B958" s="225"/>
      <c r="C958" s="225"/>
      <c r="D958" s="225"/>
      <c r="E958" s="225"/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</row>
    <row r="959">
      <c r="A959" s="225"/>
      <c r="B959" s="225"/>
      <c r="C959" s="225"/>
      <c r="D959" s="225"/>
      <c r="E959" s="225"/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</row>
    <row r="960">
      <c r="A960" s="225"/>
      <c r="B960" s="225"/>
      <c r="C960" s="225"/>
      <c r="D960" s="225"/>
      <c r="E960" s="225"/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</row>
    <row r="961">
      <c r="A961" s="225"/>
      <c r="B961" s="225"/>
      <c r="C961" s="225"/>
      <c r="D961" s="225"/>
      <c r="E961" s="225"/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</row>
    <row r="962">
      <c r="A962" s="225"/>
      <c r="B962" s="225"/>
      <c r="C962" s="225"/>
      <c r="D962" s="225"/>
      <c r="E962" s="225"/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</row>
    <row r="963">
      <c r="A963" s="225"/>
      <c r="B963" s="225"/>
      <c r="C963" s="225"/>
      <c r="D963" s="225"/>
      <c r="E963" s="225"/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</row>
    <row r="964">
      <c r="A964" s="225"/>
      <c r="B964" s="225"/>
      <c r="C964" s="225"/>
      <c r="D964" s="225"/>
      <c r="E964" s="225"/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</row>
    <row r="965">
      <c r="A965" s="225"/>
      <c r="B965" s="225"/>
      <c r="C965" s="225"/>
      <c r="D965" s="225"/>
      <c r="E965" s="225"/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</row>
    <row r="966">
      <c r="A966" s="225"/>
      <c r="B966" s="225"/>
      <c r="C966" s="225"/>
      <c r="D966" s="225"/>
      <c r="E966" s="225"/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</row>
    <row r="967">
      <c r="A967" s="225"/>
      <c r="B967" s="225"/>
      <c r="C967" s="225"/>
      <c r="D967" s="225"/>
      <c r="E967" s="225"/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</row>
    <row r="968">
      <c r="A968" s="225"/>
      <c r="B968" s="225"/>
      <c r="C968" s="225"/>
      <c r="D968" s="225"/>
      <c r="E968" s="225"/>
      <c r="F968" s="22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</row>
    <row r="969">
      <c r="A969" s="225"/>
      <c r="B969" s="225"/>
      <c r="C969" s="225"/>
      <c r="D969" s="225"/>
      <c r="E969" s="225"/>
      <c r="F969" s="22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</row>
    <row r="970">
      <c r="A970" s="225"/>
      <c r="B970" s="225"/>
      <c r="C970" s="225"/>
      <c r="D970" s="225"/>
      <c r="E970" s="225"/>
      <c r="F970" s="22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</row>
    <row r="971">
      <c r="A971" s="225"/>
      <c r="B971" s="225"/>
      <c r="C971" s="225"/>
      <c r="D971" s="225"/>
      <c r="E971" s="225"/>
      <c r="F971" s="22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</row>
    <row r="972">
      <c r="A972" s="225"/>
      <c r="B972" s="225"/>
      <c r="C972" s="225"/>
      <c r="D972" s="225"/>
      <c r="E972" s="225"/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</row>
    <row r="973">
      <c r="A973" s="225"/>
      <c r="B973" s="225"/>
      <c r="C973" s="225"/>
      <c r="D973" s="225"/>
      <c r="E973" s="225"/>
      <c r="F973" s="22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</row>
  </sheetData>
  <mergeCells count="1">
    <mergeCell ref="B2:F2"/>
  </mergeCells>
  <drawing r:id="rId1"/>
</worksheet>
</file>