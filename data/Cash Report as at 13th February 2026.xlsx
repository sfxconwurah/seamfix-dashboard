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  <sheet state="visible" name="Cash Utilizations from Safe" sheetId="6" r:id="rId10"/>
  </sheets>
  <definedNames/>
  <calcPr/>
</workbook>
</file>

<file path=xl/sharedStrings.xml><?xml version="1.0" encoding="utf-8"?>
<sst xmlns="http://schemas.openxmlformats.org/spreadsheetml/2006/main" count="492" uniqueCount="285">
  <si>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</si>
  <si>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</si>
  <si>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</si>
  <si>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</si>
  <si>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</si>
  <si>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</si>
  <si>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</si>
  <si>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</si>
  <si>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NIMC Sponsorship</t>
  </si>
  <si>
    <t>Refund</t>
  </si>
  <si>
    <t>MWC REgistration</t>
  </si>
  <si>
    <t>Flight Ticket/Accommodation</t>
  </si>
  <si>
    <t>Tatvasoft</t>
  </si>
  <si>
    <t>Hotel/Acc</t>
  </si>
  <si>
    <t>Management Allowance</t>
  </si>
  <si>
    <t>Office Supplies &amp; Fuel</t>
  </si>
  <si>
    <t>Software Tools</t>
  </si>
  <si>
    <t>Shipping &amp; Freight</t>
  </si>
  <si>
    <t>AWS</t>
  </si>
  <si>
    <t>UAE funding</t>
  </si>
  <si>
    <t>BTA</t>
  </si>
  <si>
    <t>NIMC -Licenses Fee</t>
  </si>
  <si>
    <t>VAT</t>
  </si>
  <si>
    <t>WHT</t>
  </si>
  <si>
    <t>Hosting</t>
  </si>
  <si>
    <t>Salary</t>
  </si>
  <si>
    <t>Paye</t>
  </si>
  <si>
    <t>Bis Premises &amp; Dev Levy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</si>
  <si>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</si>
  <si>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</si>
  <si>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</si>
  <si>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</si>
  <si>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</si>
  <si>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</si>
  <si>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</si>
  <si>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</si>
  <si>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MWC Registration</t>
  </si>
  <si>
    <t>SCB</t>
  </si>
  <si>
    <t>UBA Main</t>
  </si>
  <si>
    <t>PAYE</t>
  </si>
  <si>
    <t>UBA (PROJECT) </t>
  </si>
  <si>
    <t>UBA (COLLECTION 1)</t>
  </si>
  <si>
    <t>Bank Charges</t>
  </si>
  <si>
    <t>UBA (COLLECTION 2)</t>
  </si>
  <si>
    <t>UBA APG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</si>
  <si>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</si>
  <si>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</si>
  <si>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</si>
  <si>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</si>
  <si>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</si>
  <si>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</si>
  <si>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</si>
  <si>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</si>
  <si>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</si>
  <si>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</si>
  <si>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</si>
  <si>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</si>
  <si>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</si>
  <si>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</si>
  <si>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</si>
  <si>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</si>
  <si>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</si>
  <si>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</si>
  <si>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</si>
  <si>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</si>
  <si>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</si>
  <si>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Insurance Claim</t>
  </si>
  <si>
    <t>MTN CIV Income</t>
  </si>
  <si>
    <t>Interest Earned</t>
  </si>
  <si>
    <t>NIMC Income</t>
  </si>
  <si>
    <t>iTranscript Income</t>
  </si>
  <si>
    <t>NextGen</t>
  </si>
  <si>
    <t>Loan Repayment</t>
  </si>
  <si>
    <t>MTN Income</t>
  </si>
  <si>
    <t>Inflows</t>
  </si>
  <si>
    <t>Nimc Income</t>
  </si>
  <si>
    <t>IDQR Income</t>
  </si>
  <si>
    <t>UBA MAIN</t>
  </si>
  <si>
    <t>UBA Project</t>
  </si>
  <si>
    <t>sa</t>
  </si>
  <si>
    <t>SEAMFIX LIMITED</t>
  </si>
  <si>
    <t>CASH AND CASH EQUIVALENT REPORT AS AT 13TH FEBRUARY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</si>
  <si>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</si>
  <si>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</si>
  <si>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</si>
  <si>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</si>
  <si>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</si>
  <si>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</si>
  <si>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</si>
  <si>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</si>
  <si>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</si>
  <si>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</si>
  <si>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</si>
  <si>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
Outflow: </t>
  </si>
  <si>
    <t xml:space="preserve">Inflow: 
Outflow: </t>
  </si>
  <si>
    <t>Inflow: IDQR Income
Outflow: Bank Charges</t>
  </si>
  <si>
    <t xml:space="preserve">Inflow: Interbank transfer
Outflow: </t>
  </si>
  <si>
    <t>Inflow: Nimc Income
Outflow: Bank cahrges &amp; PAYE</t>
  </si>
  <si>
    <t xml:space="preserve">Inflows: 
Outflow: Flight booking </t>
  </si>
  <si>
    <t xml:space="preserve">C </t>
  </si>
  <si>
    <t>Inflow: Refund and MTN income
Outflow: Payment Batch, management Allowance  &amp; Bank charge,</t>
  </si>
  <si>
    <t>Inflows:
Outflow: Bank charges</t>
  </si>
  <si>
    <t>Wema</t>
  </si>
  <si>
    <t>Wema card A/c</t>
  </si>
  <si>
    <t>Inflow: Interbank transfer
Outflow:</t>
  </si>
  <si>
    <t>Momo Account</t>
  </si>
  <si>
    <t>TOTAL CASH (NGN)</t>
  </si>
  <si>
    <t>ZENITH BANK (USD)</t>
  </si>
  <si>
    <t xml:space="preserve">Inflow: iTranscript Income
Outflow: </t>
  </si>
  <si>
    <t>Inflow: 
Outflow: Management allowance</t>
  </si>
  <si>
    <t>Inflow: 
Outflow:</t>
  </si>
  <si>
    <t>GTB MAIN (USD)</t>
  </si>
  <si>
    <t xml:space="preserve">Inflow:Nimc Income
Outflow: </t>
  </si>
  <si>
    <t>GTB  DEBIT CARD (USD)</t>
  </si>
  <si>
    <t>Inflow: Hotel refund
Outflow:Software Tools, Flight &amp; hotel bookings and MWC registration</t>
  </si>
  <si>
    <t>Inflow: NIMC Income and MTN CIV Income
Outflow:</t>
  </si>
  <si>
    <t>TOTAL CASH (USD</t>
  </si>
  <si>
    <t>TOTAL INVESTMENTS (NGN)</t>
  </si>
  <si>
    <t>INVESTMENT HOUSE</t>
  </si>
  <si>
    <t>OPENING BALANCE (PRINCIPAL &amp; iNTEREST PAID</t>
  </si>
  <si>
    <t>COMMENTS</t>
  </si>
  <si>
    <t>STANBIC IBTC </t>
  </si>
  <si>
    <t>FBN QUEST</t>
  </si>
  <si>
    <t>CORDROS MMF</t>
  </si>
  <si>
    <t>Alitheia funds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</si>
  <si>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</si>
  <si>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</si>
  <si>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</si>
  <si>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</si>
  <si>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</si>
  <si>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</si>
  <si>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</si>
  <si>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</si>
  <si>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</si>
  <si>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</si>
  <si>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</si>
  <si>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</si>
  <si>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</si>
  <si>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</si>
  <si>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</si>
  <si>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</si>
  <si>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</si>
  <si>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</si>
  <si>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</si>
  <si>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</si>
  <si>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- 13TH FEBRUARY 2026</t>
  </si>
  <si>
    <t>Inflows:</t>
  </si>
  <si>
    <t>Amount</t>
  </si>
  <si>
    <t>% Ratio</t>
  </si>
  <si>
    <t>Details</t>
  </si>
  <si>
    <t>Exc rate</t>
  </si>
  <si>
    <t>Naira Equivalent</t>
  </si>
  <si>
    <t>Opening Balance- 7th Feb NGN</t>
  </si>
  <si>
    <t>Opening Balance- 7th Feb USD</t>
  </si>
  <si>
    <t>Opening Balance- 7th Feb GBP</t>
  </si>
  <si>
    <t>Total Opening Balance</t>
  </si>
  <si>
    <t>MTN NG Income</t>
  </si>
  <si>
    <t>Total Cash Inflows for the week</t>
  </si>
  <si>
    <t>INFLOWS</t>
  </si>
  <si>
    <t>TOTAL CASH BALANCE BEFORE OUTFLOWS</t>
  </si>
  <si>
    <t>Total Cash Outflow for the week</t>
  </si>
  <si>
    <t>Net Cash Inflow for the Week</t>
  </si>
  <si>
    <t>CASH BALANCE AS AT 13TH FEB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</si>
  <si>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</si>
  <si>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</si>
  <si>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</si>
  <si>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</si>
  <si>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</si>
  <si>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</si>
  <si>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</si>
  <si>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Microware Solutions Limited</t>
  </si>
  <si>
    <t>40% balnace payment for  Acumatica IMPLEMENTATION SERVICE FEE</t>
  </si>
  <si>
    <t xml:space="preserve">K.k business company ltd </t>
  </si>
  <si>
    <t>New motorcycle purchase</t>
  </si>
  <si>
    <t xml:space="preserve">Doris Obiakor </t>
  </si>
  <si>
    <t>Refund for printing of document for NIMC Expression of interest submission.</t>
  </si>
  <si>
    <t>Ezeaku Frederick</t>
  </si>
  <si>
    <t>UNN accumulated partner splits for 2025</t>
  </si>
  <si>
    <t>Yusuf Oni</t>
  </si>
  <si>
    <t xml:space="preserve">Wedding gift </t>
  </si>
  <si>
    <t>Bolt</t>
  </si>
  <si>
    <t>Staff Bolt Rides for January 2026</t>
  </si>
  <si>
    <t>Joseph Sani</t>
  </si>
  <si>
    <t>Criminal Verification for the Seamfix staff</t>
  </si>
  <si>
    <t>Registration of a new Dispatch bike</t>
  </si>
  <si>
    <t>Mankind Global</t>
  </si>
  <si>
    <t>Upgrading Philip Nwosu's Laptop with 512SSD</t>
  </si>
  <si>
    <t>Reliance Family Clinic Nigeria Limited</t>
  </si>
  <si>
    <t>Reliance Pre-Employment Test fee</t>
  </si>
  <si>
    <t>BREAKDOWN OF SEAMFIX CASH BALANCES AS AT 13TH FEB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</si>
  <si>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</si>
  <si>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</si>
  <si>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</si>
  <si>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</si>
  <si>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</si>
  <si>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</si>
  <si>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</si>
  <si>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</si>
  <si>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</si>
  <si>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</si>
  <si>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</si>
  <si>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</si>
  <si>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</si>
  <si>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</si>
  <si>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</si>
  <si>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Stanbic IBTC Asset Management</t>
  </si>
  <si>
    <t>Mutual Fund</t>
  </si>
  <si>
    <t xml:space="preserve">Cardinal Stone Asset Management Ltd </t>
  </si>
  <si>
    <t>FBNQuest Asset management</t>
  </si>
  <si>
    <t>FBN Quest &amp; Stanbic Investment</t>
  </si>
  <si>
    <t>This is held in Naira with FBN and Stanbic. Naira equivalent is N110.2m</t>
  </si>
  <si>
    <t>Absa Bank</t>
  </si>
  <si>
    <t>Fixed Deposit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</si>
  <si>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</si>
  <si>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</si>
  <si>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</si>
  <si>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</si>
  <si>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</si>
  <si>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</si>
  <si>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</si>
  <si>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Total Naira Investments</t>
  </si>
  <si>
    <t>USAGE OF LAST FOUR CASH WITHDRAWALS FOR SAFE</t>
  </si>
  <si>
    <t>Date</t>
  </si>
  <si>
    <t>Inflow</t>
  </si>
  <si>
    <t>Outflow</t>
  </si>
  <si>
    <t>Balance</t>
  </si>
  <si>
    <t>14/10/2025</t>
  </si>
  <si>
    <t>Balance brought forward from 13th Oct 2025</t>
  </si>
  <si>
    <t>Cash withdrawn from SCB</t>
  </si>
  <si>
    <t>BTA to George for MWC Event Kigali</t>
  </si>
  <si>
    <t>BTA to Kolade for MWC Event Kigali</t>
  </si>
  <si>
    <t>BTA to Cynthia for MWC Event Kigali</t>
  </si>
  <si>
    <t>Media coverage for MWC Event handed over to Cynthia</t>
  </si>
  <si>
    <t>BTA to Chimezie for MWC Event Kigali</t>
  </si>
  <si>
    <t>BTA to Frank for MWC Event Kigali</t>
  </si>
  <si>
    <t>BTA refund from George for Kigali Trip</t>
  </si>
  <si>
    <t>BTA refund from Cynthia for Kigali Trip</t>
  </si>
  <si>
    <t>Cash withdrwan from GTBank</t>
  </si>
  <si>
    <t>Oct 2025 Management allowance - Lilian</t>
  </si>
  <si>
    <t>Oct 2025 Management allowance - Tobi</t>
  </si>
  <si>
    <t>Oct 2025 Management allowance - Kolade</t>
  </si>
  <si>
    <t>Oct 2025 Management allowance - Diyan</t>
  </si>
  <si>
    <t>BTA refund from Kolade for Kigali Trip</t>
  </si>
  <si>
    <t>BTA for South African trip - Chimezie</t>
  </si>
  <si>
    <t>BTA for South African trip - Frank</t>
  </si>
  <si>
    <t>Cash deposit into SCB account</t>
  </si>
  <si>
    <t>17/11/2025</t>
  </si>
  <si>
    <t>BTA for Kenyan trip - Kolade</t>
  </si>
  <si>
    <t>BTA for Kenyan trip - Samuel</t>
  </si>
  <si>
    <t>BTA for Kenyan trip - Jessica</t>
  </si>
  <si>
    <t>24/11/2025</t>
  </si>
  <si>
    <t>Nov management Allowance to Kolade</t>
  </si>
  <si>
    <t>BTA refund by Kolade for Kenyan trip</t>
  </si>
  <si>
    <t>30/11/2025</t>
  </si>
  <si>
    <t>BTA refund by Jessica for Kenyan trip</t>
  </si>
  <si>
    <t>Dec Management Allowance - Frank</t>
  </si>
  <si>
    <t>Cash withdrawn from Access</t>
  </si>
  <si>
    <t>16/12/2025</t>
  </si>
  <si>
    <t>Nov Management allowance to Tobi</t>
  </si>
  <si>
    <t>Dec Management allowance to Tobi</t>
  </si>
  <si>
    <t>13th month Management allowance to Tobi</t>
  </si>
  <si>
    <t>Nov Management allowance to Lilian</t>
  </si>
  <si>
    <t>Dec Management allowance to Lilian</t>
  </si>
  <si>
    <t>13th month Management allowance to Lilian</t>
  </si>
  <si>
    <t>Dec Management allowance to Kolade</t>
  </si>
  <si>
    <t>13th month Management allowance to Kolade</t>
  </si>
  <si>
    <t>Nov Management allowance to Diyan</t>
  </si>
  <si>
    <t>Dec Management allowance to Diyan</t>
  </si>
  <si>
    <t>13th month Management allowance to Diyan</t>
  </si>
  <si>
    <t>24/12/2025</t>
  </si>
  <si>
    <t>Cash deposit in SCB</t>
  </si>
  <si>
    <t>BTA to Frank Atube for Abidjan Trip</t>
  </si>
  <si>
    <t>23/01/2026</t>
  </si>
  <si>
    <t>Cash withdrawn from GTbank</t>
  </si>
  <si>
    <t>Part payment of Jan Management allowance - Lilian</t>
  </si>
  <si>
    <t>27/01/2026</t>
  </si>
  <si>
    <t>Jan Management allowance - Lilian balance</t>
  </si>
  <si>
    <t>Jan Management allowance - Frank</t>
  </si>
  <si>
    <t>Jan Management allowance  - Kolade</t>
  </si>
  <si>
    <t>Jan Management allowance  - Diyan</t>
  </si>
  <si>
    <t>Jan Management allowance  - Tobi</t>
  </si>
  <si>
    <t>BTA - Frank</t>
  </si>
  <si>
    <t>BTA - George</t>
  </si>
  <si>
    <t>13/02/2026</t>
  </si>
  <si>
    <t>Feb. Management allowance - Frank Atube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</si>
</sst>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#,##0_);[Red]\(#,##0\)"/>
    <numFmt numFmtId="169" formatCode="#,##0.00\ [$₦-467];\-#,##0.00\ [$₦-467]"/>
    <numFmt numFmtId="170" formatCode="[$£]#,##0.00"/>
    <numFmt numFmtId="171" formatCode="&quot;$&quot;#,##0.00"/>
    <numFmt numFmtId="172" formatCode="[$₦-470]#,##0.00"/>
    <numFmt numFmtId="173" formatCode="[$₦]#,##0.00"/>
    <numFmt numFmtId="174" formatCode="d mmm yyyy"/>
    <numFmt numFmtId="175" formatCode="[$₦-466]\ #,##0.00"/>
    <numFmt numFmtId="176" formatCode="_(&quot;$&quot;* #,##0.00_);_(&quot;$&quot;* \(#,##0.00\);_(&quot;$&quot;* &quot;-&quot;??_);_(@_)"/>
    <numFmt numFmtId="177" formatCode="0000000000"/>
    <numFmt numFmtId="178" formatCode="[$₦-46A]#,##0.00"/>
    <numFmt numFmtId="179" formatCode="&quot;$&quot;#,##0"/>
    <numFmt numFmtId="180" formatCode="mm/dd/yyyy"/>
  </numFmts>
  <fonts count="27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1.0"/>
      <color theme="1"/>
      <name val="Calibri"/>
    </font>
    <font>
      <sz val="9.0"/>
      <color theme="1"/>
      <name val="Arial"/>
      <scheme val="minor"/>
    </font>
    <font>
      <b/>
      <sz val="9.0"/>
      <color theme="1"/>
      <name val="Arial"/>
    </font>
    <font>
      <color rgb="FF000000"/>
      <name val="Verdana"/>
    </font>
    <font>
      <color theme="1"/>
      <name val="Arial"/>
    </font>
    <font>
      <sz val="9.0"/>
      <color rgb="FF000000"/>
      <name val="Arial"/>
      <scheme val="minor"/>
    </font>
    <font>
      <b/>
      <sz val="9.0"/>
      <color theme="1"/>
      <name val="Arial"/>
      <scheme val="minor"/>
    </font>
    <font/>
    <font>
      <b/>
      <sz val="9.0"/>
      <color rgb="FF000000"/>
      <name val="Arial"/>
      <scheme val="minor"/>
    </font>
    <font>
      <b/>
      <i/>
      <sz val="9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222222"/>
      <name val="Arial"/>
      <scheme val="minor"/>
    </font>
    <font>
      <sz val="10.0"/>
      <color rgb="FF222222"/>
      <name val="Arial"/>
      <scheme val="minor"/>
    </font>
    <font>
      <sz val="9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41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</border>
    <border>
      <left/>
      <right style="thin">
        <color rgb="FF000000"/>
      </right>
      <top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</border>
    <border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1" numFmtId="4" xfId="0" applyAlignment="1" applyBorder="1" applyFont="1" applyNumberFormat="1">
      <alignment horizontal="center"/>
    </xf>
    <xf borderId="6" fillId="2" fontId="4" numFmtId="0" xfId="0" applyAlignment="1" applyBorder="1" applyFont="1">
      <alignment horizontal="center"/>
    </xf>
    <xf borderId="5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7" fillId="2" fontId="5" numFmtId="0" xfId="0" applyAlignment="1" applyBorder="1" applyFont="1">
      <alignment vertical="center"/>
    </xf>
    <xf borderId="8" fillId="2" fontId="1" numFmtId="164" xfId="0" applyAlignment="1" applyBorder="1" applyFont="1" applyNumberFormat="1">
      <alignment vertical="center"/>
    </xf>
    <xf borderId="9" fillId="2" fontId="5" numFmtId="165" xfId="0" applyAlignment="1" applyBorder="1" applyFont="1" applyNumberFormat="1">
      <alignment vertical="center"/>
    </xf>
    <xf borderId="10" fillId="0" fontId="6" numFmtId="166" xfId="0" applyAlignment="1" applyBorder="1" applyFont="1" applyNumberFormat="1">
      <alignment readingOrder="0"/>
    </xf>
    <xf borderId="10" fillId="0" fontId="7" numFmtId="166" xfId="0" applyAlignment="1" applyBorder="1" applyFont="1" applyNumberFormat="1">
      <alignment readingOrder="0"/>
    </xf>
    <xf borderId="11" fillId="2" fontId="1" numFmtId="4" xfId="0" applyBorder="1" applyFont="1" applyNumberFormat="1"/>
    <xf borderId="0" fillId="2" fontId="1" numFmtId="4" xfId="0" applyAlignment="1" applyFont="1" applyNumberFormat="1">
      <alignment horizontal="right"/>
    </xf>
    <xf borderId="7" fillId="2" fontId="1" numFmtId="0" xfId="0" applyAlignment="1" applyBorder="1" applyFont="1">
      <alignment vertical="center"/>
    </xf>
    <xf borderId="9" fillId="2" fontId="1" numFmtId="165" xfId="0" applyAlignment="1" applyBorder="1" applyFont="1" applyNumberFormat="1">
      <alignment vertical="center"/>
    </xf>
    <xf borderId="7" fillId="2" fontId="1" numFmtId="167" xfId="0" applyAlignment="1" applyBorder="1" applyFont="1" applyNumberFormat="1">
      <alignment vertical="center"/>
    </xf>
    <xf borderId="8" fillId="2" fontId="1" numFmtId="167" xfId="0" applyAlignment="1" applyBorder="1" applyFont="1" applyNumberFormat="1">
      <alignment horizontal="right" vertical="center"/>
    </xf>
    <xf borderId="0" fillId="0" fontId="1" numFmtId="4" xfId="0" applyFont="1" applyNumberFormat="1"/>
    <xf borderId="0" fillId="0" fontId="2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167" xfId="0" applyFont="1" applyNumberFormat="1"/>
    <xf borderId="5" fillId="2" fontId="1" numFmtId="0" xfId="0" applyAlignment="1" applyBorder="1" applyFont="1">
      <alignment horizontal="left" readingOrder="0"/>
    </xf>
    <xf borderId="0" fillId="0" fontId="8" numFmtId="4" xfId="0" applyFont="1" applyNumberFormat="1"/>
    <xf borderId="12" fillId="2" fontId="5" numFmtId="165" xfId="0" applyAlignment="1" applyBorder="1" applyFont="1" applyNumberFormat="1">
      <alignment vertical="center"/>
    </xf>
    <xf borderId="0" fillId="2" fontId="1" numFmtId="4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5" fillId="2" fontId="1" numFmtId="0" xfId="0" applyAlignment="1" applyBorder="1" applyFont="1">
      <alignment horizontal="left"/>
    </xf>
    <xf borderId="0" fillId="0" fontId="1" numFmtId="167" xfId="0" applyFont="1" applyNumberFormat="1"/>
    <xf borderId="0" fillId="0" fontId="1" numFmtId="0" xfId="0" applyFont="1"/>
    <xf borderId="0" fillId="0" fontId="1" numFmtId="164" xfId="0" applyFont="1" applyNumberFormat="1"/>
    <xf borderId="0" fillId="0" fontId="4" numFmtId="166" xfId="0" applyAlignment="1" applyFont="1" applyNumberFormat="1">
      <alignment horizontal="right" readingOrder="0" vertical="bottom"/>
    </xf>
    <xf borderId="11" fillId="2" fontId="1" numFmtId="0" xfId="0" applyBorder="1" applyFont="1"/>
    <xf borderId="0" fillId="0" fontId="4" numFmtId="4" xfId="0" applyAlignment="1" applyFont="1" applyNumberFormat="1">
      <alignment horizontal="right" readingOrder="0" vertical="bottom"/>
    </xf>
    <xf borderId="0" fillId="0" fontId="5" numFmtId="4" xfId="0" applyFont="1" applyNumberFormat="1"/>
    <xf borderId="0" fillId="0" fontId="9" numFmtId="4" xfId="0" applyFont="1" applyNumberFormat="1"/>
    <xf borderId="0" fillId="0" fontId="10" numFmtId="166" xfId="0" applyAlignment="1" applyFont="1" applyNumberFormat="1">
      <alignment horizontal="right" readingOrder="0" shrinkToFit="0" vertical="bottom" wrapText="0"/>
    </xf>
    <xf borderId="0" fillId="0" fontId="10" numFmtId="4" xfId="0" applyAlignment="1" applyFont="1" applyNumberFormat="1">
      <alignment horizontal="right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0" fontId="9" numFmtId="167" xfId="0" applyFont="1" applyNumberFormat="1"/>
    <xf borderId="8" fillId="2" fontId="5" numFmtId="164" xfId="0" applyAlignment="1" applyBorder="1" applyFont="1" applyNumberFormat="1">
      <alignment vertical="center"/>
    </xf>
    <xf borderId="10" fillId="0" fontId="11" numFmtId="166" xfId="0" applyAlignment="1" applyBorder="1" applyFont="1" applyNumberFormat="1">
      <alignment horizontal="right" readingOrder="0"/>
    </xf>
    <xf borderId="13" fillId="2" fontId="1" numFmtId="165" xfId="0" applyAlignment="1" applyBorder="1" applyFont="1" applyNumberFormat="1">
      <alignment vertical="center"/>
    </xf>
    <xf borderId="8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10" fillId="2" fontId="1" numFmtId="4" xfId="0" applyAlignment="1" applyBorder="1" applyFont="1" applyNumberFormat="1">
      <alignment vertical="center"/>
    </xf>
    <xf borderId="7" fillId="2" fontId="1" numFmtId="166" xfId="0" applyAlignment="1" applyBorder="1" applyFont="1" applyNumberFormat="1">
      <alignment readingOrder="0" vertical="center"/>
    </xf>
    <xf borderId="7" fillId="2" fontId="1" numFmtId="164" xfId="0" applyAlignment="1" applyBorder="1" applyFont="1" applyNumberFormat="1">
      <alignment vertical="center"/>
    </xf>
    <xf borderId="8" fillId="2" fontId="1" numFmtId="4" xfId="0" applyAlignment="1" applyBorder="1" applyFont="1" applyNumberFormat="1">
      <alignment vertical="center"/>
    </xf>
    <xf borderId="14" fillId="2" fontId="2" numFmtId="2" xfId="0" applyAlignment="1" applyBorder="1" applyFont="1" applyNumberFormat="1">
      <alignment horizontal="center" vertical="center"/>
    </xf>
    <xf borderId="10" fillId="0" fontId="4" numFmtId="166" xfId="0" applyAlignment="1" applyBorder="1" applyFont="1" applyNumberFormat="1">
      <alignment horizontal="right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16" fillId="2" fontId="1" numFmtId="165" xfId="0" applyAlignment="1" applyBorder="1" applyFont="1" applyNumberFormat="1">
      <alignment vertical="center"/>
    </xf>
    <xf borderId="1" fillId="2" fontId="1" numFmtId="166" xfId="0" applyBorder="1" applyFont="1" applyNumberFormat="1"/>
    <xf borderId="17" fillId="2" fontId="1" numFmtId="4" xfId="0" applyAlignment="1" applyBorder="1" applyFont="1" applyNumberFormat="1">
      <alignment horizontal="right"/>
    </xf>
    <xf borderId="1" fillId="2" fontId="2" numFmtId="4" xfId="0" applyBorder="1" applyFont="1" applyNumberFormat="1"/>
    <xf borderId="1" fillId="2" fontId="1" numFmtId="0" xfId="0" applyAlignment="1" applyBorder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12" numFmtId="0" xfId="0" applyFont="1"/>
    <xf borderId="0" fillId="0" fontId="3" numFmtId="164" xfId="0" applyFont="1" applyNumberFormat="1"/>
    <xf borderId="18" fillId="0" fontId="12" numFmtId="164" xfId="0" applyBorder="1" applyFont="1" applyNumberFormat="1"/>
    <xf borderId="10" fillId="0" fontId="3" numFmtId="166" xfId="0" applyAlignment="1" applyBorder="1" applyFont="1" applyNumberFormat="1">
      <alignment horizontal="right"/>
    </xf>
    <xf borderId="10" fillId="0" fontId="6" numFmtId="166" xfId="0" applyBorder="1" applyFont="1" applyNumberFormat="1"/>
    <xf borderId="18" fillId="0" fontId="3" numFmtId="164" xfId="0" applyBorder="1" applyFont="1" applyNumberFormat="1"/>
    <xf borderId="0" fillId="0" fontId="2" numFmtId="4" xfId="0" applyFont="1" applyNumberFormat="1"/>
    <xf borderId="0" fillId="0" fontId="5" numFmtId="0" xfId="0" applyFont="1"/>
    <xf borderId="0" fillId="0" fontId="5" numFmtId="4" xfId="0" applyFont="1" applyNumberFormat="1"/>
    <xf borderId="0" fillId="0" fontId="1" numFmtId="0" xfId="0" applyFont="1"/>
    <xf borderId="0" fillId="0" fontId="2" numFmtId="164" xfId="0" applyFont="1" applyNumberFormat="1"/>
    <xf borderId="0" fillId="0" fontId="9" numFmtId="164" xfId="0" applyFont="1" applyNumberFormat="1"/>
    <xf borderId="10" fillId="0" fontId="3" numFmtId="166" xfId="0" applyAlignment="1" applyBorder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0" fontId="6" numFmtId="4" xfId="0" applyFont="1" applyNumberFormat="1"/>
    <xf borderId="0" fillId="0" fontId="12" numFmtId="164" xfId="0" applyAlignment="1" applyFont="1" applyNumberFormat="1">
      <alignment horizontal="right"/>
    </xf>
    <xf borderId="10" fillId="0" fontId="4" numFmtId="166" xfId="0" applyAlignment="1" applyBorder="1" applyFont="1" applyNumberFormat="1">
      <alignment horizontal="right" readingOrder="0" vertical="bottom"/>
    </xf>
    <xf borderId="10" fillId="2" fontId="13" numFmtId="166" xfId="0" applyAlignment="1" applyBorder="1" applyFont="1" applyNumberFormat="1">
      <alignment horizontal="right" readingOrder="0" shrinkToFit="0" vertical="bottom" wrapText="0"/>
    </xf>
    <xf borderId="10" fillId="0" fontId="10" numFmtId="166" xfId="0" applyAlignment="1" applyBorder="1" applyFont="1" applyNumberFormat="1">
      <alignment horizontal="right" readingOrder="0" shrinkToFit="0" vertical="bottom" wrapText="0"/>
    </xf>
    <xf borderId="0" fillId="0" fontId="12" numFmtId="4" xfId="0" applyFont="1" applyNumberFormat="1"/>
    <xf borderId="0" fillId="0" fontId="9" numFmtId="4" xfId="0" applyFont="1" applyNumberFormat="1"/>
    <xf borderId="19" fillId="0" fontId="3" numFmtId="164" xfId="0" applyBorder="1" applyFont="1" applyNumberFormat="1"/>
    <xf borderId="0" fillId="0" fontId="10" numFmtId="164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center"/>
    </xf>
    <xf borderId="10" fillId="0" fontId="3" numFmtId="164" xfId="0" applyBorder="1" applyFont="1" applyNumberFormat="1"/>
    <xf borderId="10" fillId="0" fontId="12" numFmtId="4" xfId="0" applyAlignment="1" applyBorder="1" applyFont="1" applyNumberFormat="1">
      <alignment horizontal="right"/>
    </xf>
    <xf borderId="0" fillId="0" fontId="12" numFmtId="4" xfId="0" applyAlignment="1" applyFont="1" applyNumberFormat="1">
      <alignment horizontal="right"/>
    </xf>
    <xf borderId="0" fillId="0" fontId="11" numFmtId="0" xfId="0" applyFont="1"/>
    <xf borderId="0" fillId="0" fontId="14" numFmtId="4" xfId="0" applyAlignment="1" applyFont="1" applyNumberFormat="1">
      <alignment horizontal="right" readingOrder="0" shrinkToFit="0" vertical="bottom" wrapText="0"/>
    </xf>
    <xf borderId="1" fillId="2" fontId="15" numFmtId="166" xfId="0" applyAlignment="1" applyBorder="1" applyFont="1" applyNumberFormat="1">
      <alignment horizontal="right" readingOrder="0"/>
    </xf>
    <xf borderId="20" fillId="2" fontId="15" numFmtId="166" xfId="0" applyAlignment="1" applyBorder="1" applyFont="1" applyNumberFormat="1">
      <alignment horizontal="right"/>
    </xf>
    <xf borderId="0" fillId="0" fontId="11" numFmtId="4" xfId="0" applyAlignment="1" applyFont="1" applyNumberFormat="1">
      <alignment horizontal="right"/>
    </xf>
    <xf borderId="1" fillId="2" fontId="15" numFmtId="164" xfId="0" applyBorder="1" applyFont="1" applyNumberFormat="1"/>
    <xf borderId="18" fillId="0" fontId="16" numFmtId="168" xfId="0" applyAlignment="1" applyBorder="1" applyFont="1" applyNumberFormat="1">
      <alignment horizontal="center" shrinkToFit="0" wrapText="1"/>
    </xf>
    <xf borderId="21" fillId="0" fontId="17" numFmtId="0" xfId="0" applyBorder="1" applyFont="1"/>
    <xf borderId="22" fillId="0" fontId="17" numFmtId="0" xfId="0" applyBorder="1" applyFont="1"/>
    <xf borderId="0" fillId="0" fontId="11" numFmtId="4" xfId="0" applyFont="1" applyNumberFormat="1"/>
    <xf borderId="18" fillId="0" fontId="16" numFmtId="168" xfId="0" applyAlignment="1" applyBorder="1" applyFont="1" applyNumberFormat="1">
      <alignment horizontal="center" readingOrder="0" shrinkToFit="0" wrapText="1"/>
    </xf>
    <xf borderId="10" fillId="3" fontId="16" numFmtId="168" xfId="0" applyAlignment="1" applyBorder="1" applyFill="1" applyFont="1" applyNumberFormat="1">
      <alignment horizontal="center" shrinkToFit="0" wrapText="1"/>
    </xf>
    <xf borderId="10" fillId="3" fontId="16" numFmtId="169" xfId="0" applyAlignment="1" applyBorder="1" applyFont="1" applyNumberFormat="1">
      <alignment horizontal="center" shrinkToFit="0" wrapText="1"/>
    </xf>
    <xf borderId="10" fillId="3" fontId="16" numFmtId="0" xfId="0" applyAlignment="1" applyBorder="1" applyFont="1">
      <alignment horizontal="center" shrinkToFit="0" wrapText="1"/>
    </xf>
    <xf borderId="10" fillId="0" fontId="15" numFmtId="168" xfId="0" applyAlignment="1" applyBorder="1" applyFont="1" applyNumberFormat="1">
      <alignment horizontal="center"/>
    </xf>
    <xf borderId="10" fillId="0" fontId="18" numFmtId="164" xfId="0" applyBorder="1" applyFont="1" applyNumberFormat="1"/>
    <xf borderId="10" fillId="0" fontId="18" numFmtId="166" xfId="0" applyBorder="1" applyFont="1" applyNumberFormat="1"/>
    <xf borderId="10" fillId="0" fontId="15" numFmtId="164" xfId="0" applyAlignment="1" applyBorder="1" applyFont="1" applyNumberFormat="1">
      <alignment horizontal="center"/>
    </xf>
    <xf borderId="10" fillId="0" fontId="15" numFmtId="166" xfId="0" applyBorder="1" applyFont="1" applyNumberFormat="1"/>
    <xf borderId="10" fillId="0" fontId="11" numFmtId="166" xfId="0" applyAlignment="1" applyBorder="1" applyFont="1" applyNumberFormat="1">
      <alignment horizontal="right"/>
    </xf>
    <xf borderId="10" fillId="0" fontId="15" numFmtId="164" xfId="0" applyBorder="1" applyFont="1" applyNumberFormat="1"/>
    <xf borderId="10" fillId="0" fontId="11" numFmtId="0" xfId="0" applyAlignment="1" applyBorder="1" applyFont="1">
      <alignment shrinkToFit="0" wrapText="1"/>
    </xf>
    <xf borderId="0" fillId="0" fontId="11" numFmtId="169" xfId="0" applyFont="1" applyNumberFormat="1"/>
    <xf borderId="10" fillId="2" fontId="18" numFmtId="164" xfId="0" applyBorder="1" applyFont="1" applyNumberFormat="1"/>
    <xf borderId="10" fillId="0" fontId="11" numFmtId="0" xfId="0" applyAlignment="1" applyBorder="1" applyFont="1">
      <alignment readingOrder="0" shrinkToFit="0" wrapText="1"/>
    </xf>
    <xf borderId="18" fillId="2" fontId="11" numFmtId="166" xfId="0" applyBorder="1" applyFont="1" applyNumberFormat="1"/>
    <xf borderId="18" fillId="2" fontId="16" numFmtId="166" xfId="0" applyBorder="1" applyFont="1" applyNumberFormat="1"/>
    <xf borderId="10" fillId="0" fontId="15" numFmtId="166" xfId="0" applyAlignment="1" applyBorder="1" applyFont="1" applyNumberFormat="1">
      <alignment horizontal="right" readingOrder="0" vertical="bottom"/>
    </xf>
    <xf borderId="10" fillId="0" fontId="11" numFmtId="0" xfId="0" applyAlignment="1" applyBorder="1" applyFont="1">
      <alignment horizontal="left" readingOrder="0" shrinkToFit="0" wrapText="1"/>
    </xf>
    <xf borderId="18" fillId="2" fontId="16" numFmtId="4" xfId="0" applyAlignment="1" applyBorder="1" applyFont="1" applyNumberFormat="1">
      <alignment readingOrder="0"/>
    </xf>
    <xf borderId="0" fillId="0" fontId="16" numFmtId="166" xfId="0" applyAlignment="1" applyFont="1" applyNumberFormat="1">
      <alignment horizontal="right" shrinkToFit="0" vertical="bottom" wrapText="0"/>
    </xf>
    <xf borderId="11" fillId="2" fontId="16" numFmtId="166" xfId="0" applyAlignment="1" applyBorder="1" applyFont="1" applyNumberFormat="1">
      <alignment horizontal="right"/>
    </xf>
    <xf borderId="22" fillId="0" fontId="18" numFmtId="164" xfId="0" applyBorder="1" applyFont="1" applyNumberFormat="1"/>
    <xf borderId="10" fillId="0" fontId="15" numFmtId="0" xfId="0" applyBorder="1" applyFont="1"/>
    <xf borderId="23" fillId="0" fontId="18" numFmtId="168" xfId="0" applyAlignment="1" applyBorder="1" applyFont="1" applyNumberFormat="1">
      <alignment horizontal="center" shrinkToFit="0" wrapText="1"/>
    </xf>
    <xf borderId="10" fillId="0" fontId="16" numFmtId="166" xfId="0" applyBorder="1" applyFont="1" applyNumberFormat="1"/>
    <xf borderId="10" fillId="0" fontId="11" numFmtId="0" xfId="0" applyBorder="1" applyFont="1"/>
    <xf borderId="10" fillId="0" fontId="18" numFmtId="164" xfId="0" applyAlignment="1" applyBorder="1" applyFont="1" applyNumberFormat="1">
      <alignment horizontal="right" shrinkToFit="0" wrapText="1"/>
    </xf>
    <xf borderId="24" fillId="0" fontId="15" numFmtId="168" xfId="0" applyAlignment="1" applyBorder="1" applyFont="1" applyNumberFormat="1">
      <alignment horizontal="center"/>
    </xf>
    <xf borderId="21" fillId="0" fontId="15" numFmtId="164" xfId="0" applyBorder="1" applyFont="1" applyNumberFormat="1"/>
    <xf borderId="25" fillId="0" fontId="15" numFmtId="0" xfId="0" applyAlignment="1" applyBorder="1" applyFont="1">
      <alignment horizontal="right"/>
    </xf>
    <xf borderId="10" fillId="0" fontId="11" numFmtId="169" xfId="0" applyBorder="1" applyFont="1" applyNumberFormat="1"/>
    <xf borderId="10" fillId="0" fontId="15" numFmtId="164" xfId="0" applyAlignment="1" applyBorder="1" applyFont="1" applyNumberFormat="1">
      <alignment horizontal="right"/>
    </xf>
    <xf borderId="10" fillId="0" fontId="15" numFmtId="166" xfId="0" applyAlignment="1" applyBorder="1" applyFont="1" applyNumberFormat="1">
      <alignment horizontal="right"/>
    </xf>
    <xf borderId="0" fillId="0" fontId="15" numFmtId="166" xfId="0" applyFont="1" applyNumberFormat="1"/>
    <xf borderId="26" fillId="0" fontId="16" numFmtId="170" xfId="0" applyAlignment="1" applyBorder="1" applyFont="1" applyNumberFormat="1">
      <alignment horizontal="right" shrinkToFit="0" wrapText="1"/>
    </xf>
    <xf borderId="10" fillId="0" fontId="15" numFmtId="164" xfId="0" applyAlignment="1" applyBorder="1" applyFont="1" applyNumberFormat="1">
      <alignment horizontal="center" readingOrder="0"/>
    </xf>
    <xf borderId="27" fillId="2" fontId="18" numFmtId="164" xfId="0" applyBorder="1" applyFont="1" applyNumberFormat="1"/>
    <xf borderId="10" fillId="2" fontId="15" numFmtId="171" xfId="0" applyAlignment="1" applyBorder="1" applyFont="1" applyNumberFormat="1">
      <alignment horizontal="right"/>
    </xf>
    <xf borderId="18" fillId="0" fontId="18" numFmtId="164" xfId="0" applyBorder="1" applyFont="1" applyNumberFormat="1"/>
    <xf borderId="10" fillId="0" fontId="18" numFmtId="171" xfId="0" applyAlignment="1" applyBorder="1" applyFont="1" applyNumberFormat="1">
      <alignment horizontal="right"/>
    </xf>
    <xf borderId="28" fillId="0" fontId="15" numFmtId="171" xfId="0" applyAlignment="1" applyBorder="1" applyFont="1" applyNumberFormat="1">
      <alignment horizontal="right"/>
    </xf>
    <xf borderId="10" fillId="0" fontId="16" numFmtId="171" xfId="0" applyBorder="1" applyFont="1" applyNumberFormat="1"/>
    <xf borderId="29" fillId="0" fontId="18" numFmtId="164" xfId="0" applyBorder="1" applyFont="1" applyNumberFormat="1"/>
    <xf borderId="18" fillId="0" fontId="16" numFmtId="0" xfId="0" applyAlignment="1" applyBorder="1" applyFont="1">
      <alignment horizontal="center"/>
    </xf>
    <xf borderId="10" fillId="0" fontId="11" numFmtId="4" xfId="0" applyBorder="1" applyFont="1" applyNumberFormat="1"/>
    <xf borderId="10" fillId="0" fontId="19" numFmtId="164" xfId="0" applyAlignment="1" applyBorder="1" applyFont="1" applyNumberFormat="1">
      <alignment horizontal="right" shrinkToFit="0" wrapText="1"/>
    </xf>
    <xf borderId="10" fillId="0" fontId="18" numFmtId="172" xfId="0" applyAlignment="1" applyBorder="1" applyFont="1" applyNumberFormat="1">
      <alignment horizontal="right" shrinkToFit="0" wrapText="1"/>
    </xf>
    <xf borderId="10" fillId="0" fontId="16" numFmtId="169" xfId="0" applyBorder="1" applyFont="1" applyNumberFormat="1"/>
    <xf borderId="0" fillId="0" fontId="15" numFmtId="0" xfId="0" applyFont="1"/>
    <xf borderId="0" fillId="0" fontId="15" numFmtId="169" xfId="0" applyFont="1" applyNumberFormat="1"/>
    <xf borderId="0" fillId="0" fontId="15" numFmtId="4" xfId="0" applyFont="1" applyNumberFormat="1"/>
    <xf borderId="0" fillId="0" fontId="16" numFmtId="0" xfId="0" applyFont="1"/>
    <xf borderId="0" fillId="0" fontId="11" numFmtId="170" xfId="0" applyAlignment="1" applyFont="1" applyNumberFormat="1">
      <alignment horizontal="right" shrinkToFit="0" wrapText="1"/>
    </xf>
    <xf borderId="1" fillId="2" fontId="15" numFmtId="4" xfId="0" applyBorder="1" applyFont="1" applyNumberFormat="1"/>
    <xf borderId="18" fillId="0" fontId="18" numFmtId="168" xfId="0" applyAlignment="1" applyBorder="1" applyFont="1" applyNumberFormat="1">
      <alignment horizontal="center" shrinkToFit="0" wrapText="1"/>
    </xf>
    <xf borderId="10" fillId="0" fontId="16" numFmtId="0" xfId="0" applyAlignment="1" applyBorder="1" applyFont="1">
      <alignment horizontal="center"/>
    </xf>
    <xf borderId="30" fillId="3" fontId="15" numFmtId="168" xfId="0" applyAlignment="1" applyBorder="1" applyFont="1" applyNumberFormat="1">
      <alignment horizontal="center" shrinkToFit="0" wrapText="1"/>
    </xf>
    <xf borderId="31" fillId="3" fontId="18" numFmtId="164" xfId="0" applyAlignment="1" applyBorder="1" applyFont="1" applyNumberFormat="1">
      <alignment shrinkToFit="0" wrapText="1"/>
    </xf>
    <xf borderId="10" fillId="3" fontId="18" numFmtId="0" xfId="0" applyAlignment="1" applyBorder="1" applyFont="1">
      <alignment horizontal="center" shrinkToFit="0" wrapText="1"/>
    </xf>
    <xf borderId="10" fillId="3" fontId="16" numFmtId="0" xfId="0" applyAlignment="1" applyBorder="1" applyFont="1">
      <alignment horizontal="center"/>
    </xf>
    <xf borderId="28" fillId="0" fontId="11" numFmtId="168" xfId="0" applyAlignment="1" applyBorder="1" applyFont="1" applyNumberFormat="1">
      <alignment horizontal="center" shrinkToFit="0" wrapText="1"/>
    </xf>
    <xf borderId="26" fillId="0" fontId="11" numFmtId="164" xfId="0" applyAlignment="1" applyBorder="1" applyFont="1" applyNumberFormat="1">
      <alignment shrinkToFit="0" wrapText="1"/>
    </xf>
    <xf borderId="26" fillId="0" fontId="15" numFmtId="173" xfId="0" applyAlignment="1" applyBorder="1" applyFont="1" applyNumberFormat="1">
      <alignment horizontal="right"/>
    </xf>
    <xf borderId="26" fillId="0" fontId="11" numFmtId="164" xfId="0" applyAlignment="1" applyBorder="1" applyFont="1" applyNumberFormat="1">
      <alignment horizontal="center" shrinkToFit="0" wrapText="1"/>
    </xf>
    <xf borderId="26" fillId="0" fontId="11" numFmtId="173" xfId="0" applyAlignment="1" applyBorder="1" applyFont="1" applyNumberFormat="1">
      <alignment horizontal="right" shrinkToFit="0" wrapText="1"/>
    </xf>
    <xf borderId="26" fillId="0" fontId="11" numFmtId="164" xfId="0" applyAlignment="1" applyBorder="1" applyFont="1" applyNumberFormat="1">
      <alignment horizontal="right" shrinkToFit="0" wrapText="1"/>
    </xf>
    <xf borderId="10" fillId="0" fontId="16" numFmtId="0" xfId="0" applyBorder="1" applyFont="1"/>
    <xf borderId="28" fillId="0" fontId="15" numFmtId="173" xfId="0" applyAlignment="1" applyBorder="1" applyFont="1" applyNumberFormat="1">
      <alignment horizontal="right"/>
    </xf>
    <xf borderId="28" fillId="0" fontId="15" numFmtId="166" xfId="0" applyAlignment="1" applyBorder="1" applyFont="1" applyNumberFormat="1">
      <alignment horizontal="right"/>
    </xf>
    <xf borderId="10" fillId="0" fontId="15" numFmtId="173" xfId="0" applyAlignment="1" applyBorder="1" applyFont="1" applyNumberFormat="1">
      <alignment horizontal="right"/>
    </xf>
    <xf borderId="10" fillId="0" fontId="16" numFmtId="0" xfId="0" applyAlignment="1" applyBorder="1" applyFont="1">
      <alignment horizontal="left"/>
    </xf>
    <xf borderId="24" fillId="0" fontId="16" numFmtId="168" xfId="0" applyAlignment="1" applyBorder="1" applyFont="1" applyNumberFormat="1">
      <alignment horizontal="center" shrinkToFit="0" wrapText="1"/>
    </xf>
    <xf borderId="25" fillId="0" fontId="17" numFmtId="0" xfId="0" applyBorder="1" applyFont="1"/>
    <xf borderId="26" fillId="0" fontId="17" numFmtId="0" xfId="0" applyBorder="1" applyFont="1"/>
    <xf borderId="26" fillId="0" fontId="16" numFmtId="173" xfId="0" applyAlignment="1" applyBorder="1" applyFont="1" applyNumberFormat="1">
      <alignment horizontal="right" shrinkToFit="0" wrapText="1"/>
    </xf>
    <xf borderId="30" fillId="3" fontId="11" numFmtId="168" xfId="0" applyAlignment="1" applyBorder="1" applyFont="1" applyNumberFormat="1">
      <alignment horizontal="center" shrinkToFit="0" wrapText="1"/>
    </xf>
    <xf borderId="31" fillId="3" fontId="16" numFmtId="164" xfId="0" applyAlignment="1" applyBorder="1" applyFont="1" applyNumberFormat="1">
      <alignment shrinkToFit="0" wrapText="1"/>
    </xf>
    <xf borderId="10" fillId="3" fontId="18" numFmtId="0" xfId="0" applyAlignment="1" applyBorder="1" applyFont="1">
      <alignment horizontal="center"/>
    </xf>
    <xf borderId="32" fillId="3" fontId="18" numFmtId="0" xfId="0" applyAlignment="1" applyBorder="1" applyFont="1">
      <alignment horizontal="center"/>
    </xf>
    <xf borderId="30" fillId="2" fontId="15" numFmtId="171" xfId="0" applyAlignment="1" applyBorder="1" applyFont="1" applyNumberFormat="1">
      <alignment horizontal="right"/>
    </xf>
    <xf borderId="33" fillId="2" fontId="11" numFmtId="171" xfId="0" applyAlignment="1" applyBorder="1" applyFont="1" applyNumberFormat="1">
      <alignment horizontal="right" readingOrder="0"/>
    </xf>
    <xf borderId="10" fillId="0" fontId="15" numFmtId="171" xfId="0" applyAlignment="1" applyBorder="1" applyFont="1" applyNumberFormat="1">
      <alignment horizontal="right"/>
    </xf>
    <xf borderId="25" fillId="0" fontId="15" numFmtId="164" xfId="0" applyAlignment="1" applyBorder="1" applyFont="1" applyNumberFormat="1">
      <alignment horizontal="right" shrinkToFit="0" wrapText="1"/>
    </xf>
    <xf borderId="10" fillId="0" fontId="11" numFmtId="164" xfId="0" applyAlignment="1" applyBorder="1" applyFont="1" applyNumberFormat="1">
      <alignment horizontal="center" shrinkToFit="0" wrapText="1"/>
    </xf>
    <xf borderId="10" fillId="0" fontId="11" numFmtId="173" xfId="0" applyAlignment="1" applyBorder="1" applyFont="1" applyNumberFormat="1">
      <alignment horizontal="center"/>
    </xf>
    <xf borderId="10" fillId="2" fontId="15" numFmtId="171" xfId="0" applyAlignment="1" applyBorder="1" applyFont="1" applyNumberFormat="1">
      <alignment horizontal="right"/>
    </xf>
    <xf borderId="10" fillId="0" fontId="15" numFmtId="171" xfId="0" applyAlignment="1" applyBorder="1" applyFont="1" applyNumberFormat="1">
      <alignment horizontal="right" readingOrder="0"/>
    </xf>
    <xf borderId="10" fillId="0" fontId="11" numFmtId="0" xfId="0" applyAlignment="1" applyBorder="1" applyFont="1">
      <alignment horizontal="center"/>
    </xf>
    <xf borderId="10" fillId="0" fontId="11" numFmtId="164" xfId="0" applyAlignment="1" applyBorder="1" applyFont="1" applyNumberFormat="1">
      <alignment shrinkToFit="0" wrapText="1"/>
    </xf>
    <xf borderId="24" fillId="0" fontId="11" numFmtId="168" xfId="0" applyAlignment="1" applyBorder="1" applyFont="1" applyNumberFormat="1">
      <alignment horizontal="left" shrinkToFit="0" wrapText="1"/>
    </xf>
    <xf borderId="30" fillId="2" fontId="15" numFmtId="171" xfId="0" applyAlignment="1" applyBorder="1" applyFont="1" applyNumberFormat="1">
      <alignment horizontal="right" readingOrder="0"/>
    </xf>
    <xf borderId="33" fillId="2" fontId="11" numFmtId="171" xfId="0" applyAlignment="1" applyBorder="1" applyFont="1" applyNumberFormat="1">
      <alignment horizontal="right"/>
    </xf>
    <xf borderId="10" fillId="0" fontId="11" numFmtId="171" xfId="0" applyAlignment="1" applyBorder="1" applyFont="1" applyNumberFormat="1">
      <alignment horizontal="center" shrinkToFit="0" wrapText="1"/>
    </xf>
    <xf borderId="10" fillId="0" fontId="11" numFmtId="174" xfId="0" applyAlignment="1" applyBorder="1" applyFont="1" applyNumberFormat="1">
      <alignment horizontal="center" readingOrder="0"/>
    </xf>
    <xf borderId="10" fillId="0" fontId="16" numFmtId="171" xfId="0" applyAlignment="1" applyBorder="1" applyFont="1" applyNumberFormat="1">
      <alignment horizontal="right" shrinkToFit="0" wrapText="1"/>
    </xf>
    <xf borderId="18" fillId="0" fontId="15" numFmtId="164" xfId="0" applyAlignment="1" applyBorder="1" applyFont="1" applyNumberFormat="1">
      <alignment horizontal="right" shrinkToFit="0" wrapText="1"/>
    </xf>
    <xf borderId="10" fillId="0" fontId="16" numFmtId="171" xfId="0" applyAlignment="1" applyBorder="1" applyFont="1" applyNumberFormat="1">
      <alignment horizontal="center" shrinkToFit="0" wrapText="1"/>
    </xf>
    <xf borderId="0" fillId="0" fontId="11" numFmtId="171" xfId="0" applyFont="1" applyNumberFormat="1"/>
    <xf borderId="0" fillId="0" fontId="16" numFmtId="0" xfId="0" applyAlignment="1" applyFont="1">
      <alignment horizontal="center" shrinkToFit="0" wrapText="1"/>
    </xf>
    <xf borderId="34" fillId="3" fontId="16" numFmtId="0" xfId="0" applyAlignment="1" applyBorder="1" applyFont="1">
      <alignment horizontal="center" shrinkToFit="0" wrapText="1"/>
    </xf>
    <xf borderId="32" fillId="3" fontId="16" numFmtId="0" xfId="0" applyAlignment="1" applyBorder="1" applyFont="1">
      <alignment horizontal="center" shrinkToFit="0" wrapText="1"/>
    </xf>
    <xf borderId="35" fillId="0" fontId="11" numFmtId="171" xfId="0" applyBorder="1" applyFont="1" applyNumberFormat="1"/>
    <xf borderId="0" fillId="0" fontId="11" numFmtId="0" xfId="0" applyFont="1"/>
    <xf borderId="28" fillId="0" fontId="11" numFmtId="0" xfId="0" applyAlignment="1" applyBorder="1" applyFont="1">
      <alignment shrinkToFit="0" wrapText="1"/>
    </xf>
    <xf borderId="26" fillId="0" fontId="11" numFmtId="175" xfId="0" applyAlignment="1" applyBorder="1" applyFont="1" applyNumberFormat="1">
      <alignment horizontal="right" shrinkToFit="0" wrapText="1"/>
    </xf>
    <xf borderId="26" fillId="0" fontId="11" numFmtId="4" xfId="0" applyAlignment="1" applyBorder="1" applyFont="1" applyNumberFormat="1">
      <alignment horizontal="center" shrinkToFit="0" wrapText="1"/>
    </xf>
    <xf borderId="0" fillId="0" fontId="11" numFmtId="4" xfId="0" applyAlignment="1" applyFont="1" applyNumberFormat="1">
      <alignment horizontal="right" shrinkToFit="0" wrapText="1"/>
    </xf>
    <xf borderId="35" fillId="0" fontId="11" numFmtId="0" xfId="0" applyBorder="1" applyFont="1"/>
    <xf borderId="26" fillId="0" fontId="11" numFmtId="176" xfId="0" applyAlignment="1" applyBorder="1" applyFont="1" applyNumberFormat="1">
      <alignment horizontal="right" shrinkToFit="0" wrapText="1"/>
    </xf>
    <xf borderId="18" fillId="0" fontId="11" numFmtId="164" xfId="0" applyAlignment="1" applyBorder="1" applyFont="1" applyNumberFormat="1">
      <alignment horizontal="center"/>
    </xf>
    <xf borderId="19" fillId="0" fontId="11" numFmtId="4" xfId="0" applyAlignment="1" applyBorder="1" applyFont="1" applyNumberFormat="1">
      <alignment horizontal="right" shrinkToFit="0" wrapText="1"/>
    </xf>
    <xf borderId="26" fillId="0" fontId="11" numFmtId="170" xfId="0" applyAlignment="1" applyBorder="1" applyFont="1" applyNumberFormat="1">
      <alignment horizontal="right" shrinkToFit="0" wrapText="1"/>
    </xf>
    <xf borderId="24" fillId="0" fontId="11" numFmtId="4" xfId="0" applyAlignment="1" applyBorder="1" applyFont="1" applyNumberFormat="1">
      <alignment horizontal="center" shrinkToFit="0" wrapText="1"/>
    </xf>
    <xf borderId="35" fillId="0" fontId="16" numFmtId="4" xfId="0" applyBorder="1" applyFont="1" applyNumberFormat="1"/>
    <xf borderId="24" fillId="0" fontId="16" numFmtId="0" xfId="0" applyAlignment="1" applyBorder="1" applyFont="1">
      <alignment horizontal="center" shrinkToFit="0" wrapText="1"/>
    </xf>
    <xf borderId="18" fillId="0" fontId="16" numFmtId="4" xfId="0" applyAlignment="1" applyBorder="1" applyFont="1" applyNumberFormat="1">
      <alignment horizontal="right" shrinkToFit="0" wrapText="1"/>
    </xf>
    <xf borderId="1" fillId="2" fontId="20" numFmtId="0" xfId="0" applyBorder="1" applyFont="1"/>
    <xf borderId="0" fillId="0" fontId="20" numFmtId="0" xfId="0" applyFont="1"/>
    <xf borderId="10" fillId="2" fontId="20" numFmtId="0" xfId="0" applyBorder="1" applyFont="1"/>
    <xf borderId="0" fillId="0" fontId="20" numFmtId="0" xfId="0" applyFont="1"/>
    <xf borderId="18" fillId="2" fontId="21" numFmtId="0" xfId="0" applyAlignment="1" applyBorder="1" applyFont="1">
      <alignment horizontal="center" readingOrder="0"/>
    </xf>
    <xf borderId="29" fillId="2" fontId="21" numFmtId="0" xfId="0" applyAlignment="1" applyBorder="1" applyFont="1">
      <alignment shrinkToFit="0" wrapText="1"/>
    </xf>
    <xf borderId="36" fillId="2" fontId="21" numFmtId="0" xfId="0" applyAlignment="1" applyBorder="1" applyFont="1">
      <alignment horizontal="center"/>
    </xf>
    <xf borderId="10" fillId="2" fontId="21" numFmtId="0" xfId="0" applyAlignment="1" applyBorder="1" applyFont="1">
      <alignment horizontal="right"/>
    </xf>
    <xf borderId="10" fillId="2" fontId="21" numFmtId="0" xfId="0" applyAlignment="1" applyBorder="1" applyFont="1">
      <alignment horizontal="center"/>
    </xf>
    <xf borderId="11" fillId="2" fontId="20" numFmtId="0" xfId="0" applyBorder="1" applyFont="1"/>
    <xf borderId="10" fillId="2" fontId="20" numFmtId="0" xfId="0" applyAlignment="1" applyBorder="1" applyFont="1">
      <alignment shrinkToFit="0" wrapText="1"/>
    </xf>
    <xf borderId="10" fillId="0" fontId="3" numFmtId="4" xfId="0" applyAlignment="1" applyBorder="1" applyFont="1" applyNumberFormat="1">
      <alignment horizontal="right"/>
    </xf>
    <xf borderId="10" fillId="2" fontId="20" numFmtId="4" xfId="0" applyAlignment="1" applyBorder="1" applyFont="1" applyNumberFormat="1">
      <alignment horizontal="right"/>
    </xf>
    <xf borderId="37" fillId="2" fontId="20" numFmtId="0" xfId="0" applyBorder="1" applyFont="1"/>
    <xf borderId="10" fillId="2" fontId="20" numFmtId="0" xfId="0" applyAlignment="1" applyBorder="1" applyFont="1">
      <alignment readingOrder="0"/>
    </xf>
    <xf borderId="10" fillId="2" fontId="0" numFmtId="173" xfId="0" applyAlignment="1" applyBorder="1" applyFont="1" applyNumberFormat="1">
      <alignment horizontal="right"/>
    </xf>
    <xf borderId="10" fillId="2" fontId="20" numFmtId="4" xfId="0" applyAlignment="1" applyBorder="1" applyFont="1" applyNumberFormat="1">
      <alignment horizontal="center"/>
    </xf>
    <xf borderId="10" fillId="2" fontId="0" numFmtId="171" xfId="0" applyAlignment="1" applyBorder="1" applyFont="1" applyNumberFormat="1">
      <alignment horizontal="right"/>
    </xf>
    <xf borderId="10" fillId="2" fontId="20" numFmtId="164" xfId="0" applyAlignment="1" applyBorder="1" applyFont="1" applyNumberFormat="1">
      <alignment horizontal="center"/>
    </xf>
    <xf borderId="10" fillId="2" fontId="20" numFmtId="0" xfId="0" applyAlignment="1" applyBorder="1" applyFont="1">
      <alignment readingOrder="0" shrinkToFit="0" wrapText="1"/>
    </xf>
    <xf borderId="38" fillId="0" fontId="20" numFmtId="170" xfId="0" applyAlignment="1" applyBorder="1" applyFont="1" applyNumberFormat="1">
      <alignment horizontal="right" shrinkToFit="0" wrapText="1"/>
    </xf>
    <xf borderId="10" fillId="0" fontId="20" numFmtId="164" xfId="0" applyAlignment="1" applyBorder="1" applyFont="1" applyNumberFormat="1">
      <alignment horizontal="center"/>
    </xf>
    <xf borderId="10" fillId="0" fontId="20" numFmtId="0" xfId="0" applyBorder="1" applyFont="1"/>
    <xf borderId="10" fillId="0" fontId="20" numFmtId="4" xfId="0" applyAlignment="1" applyBorder="1" applyFont="1" applyNumberFormat="1">
      <alignment horizontal="right"/>
    </xf>
    <xf borderId="10" fillId="2" fontId="21" numFmtId="0" xfId="0" applyBorder="1" applyFont="1"/>
    <xf borderId="10" fillId="2" fontId="21" numFmtId="4" xfId="0" applyAlignment="1" applyBorder="1" applyFont="1" applyNumberFormat="1">
      <alignment horizontal="right"/>
    </xf>
    <xf borderId="10" fillId="0" fontId="8" numFmtId="0" xfId="0" applyBorder="1" applyFont="1"/>
    <xf borderId="10" fillId="0" fontId="8" numFmtId="4" xfId="0" applyBorder="1" applyFont="1" applyNumberFormat="1"/>
    <xf borderId="10" fillId="0" fontId="8" numFmtId="0" xfId="0" applyAlignment="1" applyBorder="1" applyFont="1">
      <alignment readingOrder="0"/>
    </xf>
    <xf borderId="10" fillId="0" fontId="20" numFmtId="0" xfId="0" applyAlignment="1" applyBorder="1" applyFont="1">
      <alignment horizontal="right"/>
    </xf>
    <xf borderId="10" fillId="2" fontId="21" numFmtId="0" xfId="0" applyAlignment="1" applyBorder="1" applyFont="1">
      <alignment shrinkToFit="0" wrapText="1"/>
    </xf>
    <xf borderId="29" fillId="2" fontId="21" numFmtId="0" xfId="0" applyBorder="1" applyFont="1"/>
    <xf borderId="10" fillId="0" fontId="20" numFmtId="4" xfId="0" applyBorder="1" applyFont="1" applyNumberFormat="1"/>
    <xf borderId="10" fillId="0" fontId="20" numFmtId="167" xfId="0" applyBorder="1" applyFont="1" applyNumberFormat="1"/>
    <xf borderId="10" fillId="0" fontId="20" numFmtId="0" xfId="0" applyBorder="1" applyFont="1"/>
    <xf borderId="10" fillId="0" fontId="8" numFmtId="0" xfId="0" applyBorder="1" applyFont="1"/>
    <xf borderId="10" fillId="0" fontId="20" numFmtId="0" xfId="0" applyAlignment="1" applyBorder="1" applyFont="1">
      <alignment readingOrder="0"/>
    </xf>
    <xf borderId="10" fillId="2" fontId="20" numFmtId="4" xfId="0" applyBorder="1" applyFont="1" applyNumberFormat="1"/>
    <xf borderId="10" fillId="2" fontId="0" numFmtId="0" xfId="0" applyBorder="1" applyFont="1"/>
    <xf borderId="34" fillId="2" fontId="21" numFmtId="164" xfId="0" applyAlignment="1" applyBorder="1" applyFont="1" applyNumberFormat="1">
      <alignment horizontal="right"/>
    </xf>
    <xf borderId="10" fillId="0" fontId="22" numFmtId="164" xfId="0" applyBorder="1" applyFont="1" applyNumberFormat="1"/>
    <xf borderId="30" fillId="2" fontId="21" numFmtId="0" xfId="0" applyBorder="1" applyFont="1"/>
    <xf borderId="10" fillId="2" fontId="21" numFmtId="4" xfId="0" applyBorder="1" applyFont="1" applyNumberFormat="1"/>
    <xf borderId="10" fillId="2" fontId="20" numFmtId="167" xfId="0" applyBorder="1" applyFont="1" applyNumberFormat="1"/>
    <xf borderId="33" fillId="2" fontId="20" numFmtId="4" xfId="0" applyAlignment="1" applyBorder="1" applyFont="1" applyNumberFormat="1">
      <alignment horizontal="right"/>
    </xf>
    <xf borderId="10" fillId="2" fontId="21" numFmtId="164" xfId="0" applyBorder="1" applyFont="1" applyNumberFormat="1"/>
    <xf borderId="10" fillId="2" fontId="23" numFmtId="0" xfId="0" applyBorder="1" applyFont="1"/>
    <xf borderId="10" fillId="2" fontId="23" numFmtId="4" xfId="0" applyBorder="1" applyFont="1" applyNumberFormat="1"/>
    <xf borderId="0" fillId="2" fontId="20" numFmtId="0" xfId="0" applyFont="1"/>
    <xf borderId="10" fillId="2" fontId="20" numFmtId="167" xfId="0" applyAlignment="1" applyBorder="1" applyFont="1" applyNumberFormat="1">
      <alignment horizontal="right"/>
    </xf>
    <xf borderId="10" fillId="2" fontId="21" numFmtId="0" xfId="0" applyAlignment="1" applyBorder="1" applyFont="1">
      <alignment readingOrder="0"/>
    </xf>
    <xf borderId="10" fillId="2" fontId="24" numFmtId="0" xfId="0" applyAlignment="1" applyBorder="1" applyFont="1">
      <alignment horizontal="left"/>
    </xf>
    <xf borderId="10" fillId="2" fontId="24" numFmtId="0" xfId="0" applyAlignment="1" applyBorder="1" applyFont="1">
      <alignment horizontal="right"/>
    </xf>
    <xf borderId="10" fillId="2" fontId="24" numFmtId="0" xfId="0" applyAlignment="1" applyBorder="1" applyFont="1">
      <alignment horizontal="center"/>
    </xf>
    <xf borderId="10" fillId="2" fontId="25" numFmtId="0" xfId="0" applyBorder="1" applyFont="1"/>
    <xf borderId="10" fillId="2" fontId="25" numFmtId="171" xfId="0" applyAlignment="1" applyBorder="1" applyFont="1" applyNumberFormat="1">
      <alignment horizontal="right"/>
    </xf>
    <xf borderId="10" fillId="2" fontId="25" numFmtId="164" xfId="0" applyAlignment="1" applyBorder="1" applyFont="1" applyNumberFormat="1">
      <alignment horizontal="right"/>
    </xf>
    <xf borderId="33" fillId="2" fontId="25" numFmtId="0" xfId="0" applyBorder="1" applyFont="1"/>
    <xf borderId="33" fillId="2" fontId="25" numFmtId="0" xfId="0" applyAlignment="1" applyBorder="1" applyFont="1">
      <alignment horizontal="right"/>
    </xf>
    <xf borderId="33" fillId="2" fontId="25" numFmtId="164" xfId="0" applyAlignment="1" applyBorder="1" applyFont="1" applyNumberFormat="1">
      <alignment horizontal="right"/>
    </xf>
    <xf borderId="33" fillId="2" fontId="0" numFmtId="4" xfId="0" applyBorder="1" applyFont="1" applyNumberFormat="1"/>
    <xf borderId="10" fillId="2" fontId="24" numFmtId="0" xfId="0" applyBorder="1" applyFont="1"/>
    <xf borderId="18" fillId="0" fontId="21" numFmtId="0" xfId="0" applyAlignment="1" applyBorder="1" applyFont="1">
      <alignment horizontal="center"/>
    </xf>
    <xf borderId="35" fillId="0" fontId="21" numFmtId="0" xfId="0" applyAlignment="1" applyBorder="1" applyFont="1">
      <alignment horizontal="center"/>
    </xf>
    <xf borderId="10" fillId="0" fontId="21" numFmtId="0" xfId="0" applyAlignment="1" applyBorder="1" applyFont="1">
      <alignment horizontal="center"/>
    </xf>
    <xf borderId="10" fillId="0" fontId="3" numFmtId="167" xfId="0" applyAlignment="1" applyBorder="1" applyFont="1" applyNumberFormat="1">
      <alignment vertical="bottom"/>
    </xf>
    <xf borderId="10" fillId="0" fontId="4" numFmtId="4" xfId="0" applyAlignment="1" applyBorder="1" applyFont="1" applyNumberFormat="1">
      <alignment horizontal="right" readingOrder="0" shrinkToFit="0" vertical="bottom" wrapText="0"/>
    </xf>
    <xf borderId="26" fillId="2" fontId="26" numFmtId="4" xfId="0" applyAlignment="1" applyBorder="1" applyFont="1" applyNumberFormat="1">
      <alignment vertical="bottom"/>
    </xf>
    <xf borderId="35" fillId="2" fontId="0" numFmtId="0" xfId="0" applyAlignment="1" applyBorder="1" applyFont="1">
      <alignment shrinkToFit="0" wrapText="1"/>
    </xf>
    <xf borderId="10" fillId="0" fontId="3" numFmtId="4" xfId="0" applyAlignment="1" applyBorder="1" applyFont="1" applyNumberFormat="1">
      <alignment vertical="bottom"/>
    </xf>
    <xf borderId="10" fillId="0" fontId="3" numFmtId="177" xfId="0" applyAlignment="1" applyBorder="1" applyFont="1" applyNumberFormat="1">
      <alignment vertical="bottom"/>
    </xf>
    <xf borderId="10" fillId="0" fontId="3" numFmtId="171" xfId="0" applyAlignment="1" applyBorder="1" applyFont="1" applyNumberFormat="1">
      <alignment vertical="bottom"/>
    </xf>
    <xf borderId="10" fillId="2" fontId="26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35" fillId="2" fontId="20" numFmtId="0" xfId="0" applyBorder="1" applyFont="1"/>
    <xf borderId="26" fillId="0" fontId="3" numFmtId="0" xfId="0" applyAlignment="1" applyBorder="1" applyFont="1">
      <alignment vertical="bottom"/>
    </xf>
    <xf borderId="10" fillId="0" fontId="21" numFmtId="0" xfId="0" applyAlignment="1" applyBorder="1" applyFont="1">
      <alignment readingOrder="0"/>
    </xf>
    <xf borderId="10" fillId="0" fontId="21" numFmtId="4" xfId="0" applyBorder="1" applyFont="1" applyNumberFormat="1"/>
    <xf borderId="18" fillId="0" fontId="20" numFmtId="0" xfId="0" applyBorder="1" applyFont="1"/>
    <xf borderId="35" fillId="0" fontId="20" numFmtId="0" xfId="0" applyBorder="1" applyFont="1"/>
    <xf borderId="18" fillId="3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0" fillId="0" fontId="1" numFmtId="0" xfId="0" applyBorder="1" applyFont="1"/>
    <xf borderId="10" fillId="0" fontId="1" numFmtId="173" xfId="0" applyBorder="1" applyFont="1" applyNumberFormat="1"/>
    <xf borderId="10" fillId="0" fontId="1" numFmtId="4" xfId="0" applyAlignment="1" applyBorder="1" applyFont="1" applyNumberFormat="1">
      <alignment horizontal="right"/>
    </xf>
    <xf borderId="26" fillId="0" fontId="1" numFmtId="4" xfId="0" applyAlignment="1" applyBorder="1" applyFont="1" applyNumberFormat="1">
      <alignment horizontal="right" shrinkToFit="0" wrapText="1"/>
    </xf>
    <xf borderId="10" fillId="0" fontId="1" numFmtId="4" xfId="0" applyAlignment="1" applyBorder="1" applyFont="1" applyNumberFormat="1">
      <alignment horizontal="center"/>
    </xf>
    <xf borderId="1" fillId="2" fontId="2" numFmtId="171" xfId="0" applyAlignment="1" applyBorder="1" applyFont="1" applyNumberFormat="1">
      <alignment horizontal="right"/>
    </xf>
    <xf borderId="10" fillId="0" fontId="1" numFmtId="171" xfId="0" applyAlignment="1" applyBorder="1" applyFont="1" applyNumberFormat="1">
      <alignment horizontal="right"/>
    </xf>
    <xf borderId="26" fillId="0" fontId="1" numFmtId="170" xfId="0" applyAlignment="1" applyBorder="1" applyFont="1" applyNumberFormat="1">
      <alignment horizontal="right" shrinkToFit="0" wrapText="1"/>
    </xf>
    <xf borderId="10" fillId="0" fontId="1" numFmtId="164" xfId="0" applyAlignment="1" applyBorder="1" applyFont="1" applyNumberFormat="1">
      <alignment horizontal="center"/>
    </xf>
    <xf borderId="0" fillId="0" fontId="2" numFmtId="171" xfId="0" applyAlignment="1" applyFont="1" applyNumberFormat="1">
      <alignment horizontal="right"/>
    </xf>
    <xf borderId="24" fillId="0" fontId="1" numFmtId="4" xfId="0" applyAlignment="1" applyBorder="1" applyFont="1" applyNumberFormat="1">
      <alignment horizontal="center" shrinkToFit="0" wrapText="1"/>
    </xf>
    <xf borderId="0" fillId="0" fontId="1" numFmtId="178" xfId="0" applyFont="1" applyNumberFormat="1"/>
    <xf borderId="10" fillId="0" fontId="1" numFmtId="0" xfId="0" applyAlignment="1" applyBorder="1" applyFont="1">
      <alignment horizontal="left"/>
    </xf>
    <xf borderId="18" fillId="0" fontId="5" numFmtId="0" xfId="0" applyAlignment="1" applyBorder="1" applyFont="1">
      <alignment horizontal="center"/>
    </xf>
    <xf borderId="10" fillId="0" fontId="5" numFmtId="173" xfId="0" applyAlignment="1" applyBorder="1" applyFont="1" applyNumberFormat="1">
      <alignment horizontal="center"/>
    </xf>
    <xf borderId="10" fillId="0" fontId="5" numFmtId="171" xfId="0" applyAlignment="1" applyBorder="1" applyFont="1" applyNumberFormat="1">
      <alignment horizontal="right"/>
    </xf>
    <xf borderId="10" fillId="0" fontId="5" numFmtId="170" xfId="0" applyBorder="1" applyFont="1" applyNumberFormat="1"/>
    <xf borderId="10" fillId="0" fontId="5" numFmtId="173" xfId="0" applyBorder="1" applyFont="1" applyNumberFormat="1"/>
    <xf borderId="1" fillId="2" fontId="1" numFmtId="171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71" xfId="0" applyFont="1" applyNumberFormat="1"/>
    <xf borderId="18" fillId="3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center"/>
    </xf>
    <xf borderId="28" fillId="0" fontId="1" numFmtId="0" xfId="0" applyBorder="1" applyFont="1"/>
    <xf borderId="26" fillId="0" fontId="1" numFmtId="171" xfId="0" applyAlignment="1" applyBorder="1" applyFont="1" applyNumberFormat="1">
      <alignment horizontal="right"/>
    </xf>
    <xf borderId="10" fillId="0" fontId="2" numFmtId="171" xfId="0" applyAlignment="1" applyBorder="1" applyFont="1" applyNumberFormat="1">
      <alignment horizontal="right" readingOrder="0"/>
    </xf>
    <xf borderId="26" fillId="0" fontId="1" numFmtId="0" xfId="0" applyBorder="1" applyFont="1"/>
    <xf borderId="0" fillId="0" fontId="4" numFmtId="17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vertical="center"/>
    </xf>
    <xf borderId="10" fillId="0" fontId="20" numFmtId="171" xfId="0" applyAlignment="1" applyBorder="1" applyFont="1" applyNumberFormat="1">
      <alignment horizontal="right" readingOrder="0"/>
    </xf>
    <xf borderId="26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vertical="center"/>
    </xf>
    <xf borderId="10" fillId="0" fontId="2" numFmtId="171" xfId="0" applyAlignment="1" applyBorder="1" applyFont="1" applyNumberFormat="1">
      <alignment horizontal="right"/>
    </xf>
    <xf borderId="26" fillId="0" fontId="1" numFmtId="0" xfId="0" applyAlignment="1" applyBorder="1" applyFont="1">
      <alignment vertical="center"/>
    </xf>
    <xf borderId="26" fillId="0" fontId="1" numFmtId="0" xfId="0" applyAlignment="1" applyBorder="1" applyFont="1">
      <alignment readingOrder="0" shrinkToFit="0" vertical="center" wrapText="1"/>
    </xf>
    <xf borderId="0" fillId="0" fontId="4" numFmtId="4" xfId="0" applyAlignment="1" applyFont="1" applyNumberFormat="1">
      <alignment horizontal="right" readingOrder="0" shrinkToFit="0" vertical="bottom" wrapText="0"/>
    </xf>
    <xf borderId="10" fillId="0" fontId="1" numFmtId="171" xfId="0" applyAlignment="1" applyBorder="1" applyFont="1" applyNumberFormat="1">
      <alignment horizontal="right" readingOrder="0"/>
    </xf>
    <xf borderId="10" fillId="0" fontId="1" numFmtId="171" xfId="0" applyBorder="1" applyFont="1" applyNumberFormat="1"/>
    <xf borderId="26" fillId="0" fontId="1" numFmtId="174" xfId="0" applyAlignment="1" applyBorder="1" applyFont="1" applyNumberFormat="1">
      <alignment readingOrder="0"/>
    </xf>
    <xf borderId="31" fillId="2" fontId="5" numFmtId="171" xfId="0" applyAlignment="1" applyBorder="1" applyFont="1" applyNumberFormat="1">
      <alignment horizontal="right"/>
    </xf>
    <xf borderId="39" fillId="2" fontId="5" numFmtId="171" xfId="0" applyAlignment="1" applyBorder="1" applyFont="1" applyNumberFormat="1">
      <alignment horizontal="right"/>
    </xf>
    <xf borderId="29" fillId="0" fontId="1" numFmtId="0" xfId="0" applyBorder="1" applyFont="1"/>
    <xf borderId="23" fillId="0" fontId="1" numFmtId="0" xfId="0" applyBorder="1" applyFont="1"/>
    <xf borderId="23" fillId="0" fontId="2" numFmtId="164" xfId="0" applyAlignment="1" applyBorder="1" applyFont="1" applyNumberFormat="1">
      <alignment horizontal="center"/>
    </xf>
    <xf borderId="0" fillId="0" fontId="1" numFmtId="173" xfId="0" applyAlignment="1" applyFont="1" applyNumberFormat="1">
      <alignment horizontal="right" shrinkToFit="0" wrapText="1"/>
    </xf>
    <xf borderId="0" fillId="0" fontId="2" numFmtId="171" xfId="0" applyAlignment="1" applyFont="1" applyNumberFormat="1">
      <alignment horizontal="right" readingOrder="0"/>
    </xf>
    <xf borderId="10" fillId="0" fontId="2" numFmtId="171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173" xfId="0" applyAlignment="1" applyBorder="1" applyFont="1" applyNumberFormat="1">
      <alignment horizontal="left"/>
    </xf>
    <xf borderId="10" fillId="0" fontId="5" numFmtId="0" xfId="0" applyBorder="1" applyFont="1"/>
    <xf borderId="10" fillId="0" fontId="5" numFmtId="171" xfId="0" applyBorder="1" applyFont="1" applyNumberFormat="1"/>
    <xf borderId="10" fillId="0" fontId="9" numFmtId="171" xfId="0" applyAlignment="1" applyBorder="1" applyFont="1" applyNumberFormat="1">
      <alignment horizontal="center"/>
    </xf>
    <xf borderId="10" fillId="0" fontId="2" numFmtId="173" xfId="0" applyBorder="1" applyFont="1" applyNumberFormat="1"/>
    <xf borderId="23" fillId="0" fontId="2" numFmtId="171" xfId="0" applyAlignment="1" applyBorder="1" applyFont="1" applyNumberFormat="1">
      <alignment horizontal="right"/>
    </xf>
    <xf borderId="0" fillId="0" fontId="1" numFmtId="171" xfId="0" applyAlignment="1" applyFont="1" applyNumberFormat="1">
      <alignment horizontal="right"/>
    </xf>
    <xf borderId="40" fillId="0" fontId="17" numFmtId="0" xfId="0" applyBorder="1" applyFont="1"/>
    <xf borderId="10" fillId="0" fontId="1" numFmtId="166" xfId="0" applyAlignment="1" applyBorder="1" applyFont="1" applyNumberFormat="1">
      <alignment horizontal="right" shrinkToFit="0" vertical="top" wrapText="1"/>
    </xf>
    <xf borderId="10" fillId="0" fontId="1" numFmtId="166" xfId="0" applyAlignment="1" applyBorder="1" applyFont="1" applyNumberFormat="1">
      <alignment horizontal="right"/>
    </xf>
    <xf borderId="10" fillId="0" fontId="1" numFmtId="166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0" fillId="2" fontId="1" numFmtId="164" xfId="0" applyAlignment="1" applyBorder="1" applyFont="1" applyNumberFormat="1">
      <alignment shrinkToFit="0" wrapText="1"/>
    </xf>
    <xf borderId="10" fillId="0" fontId="2" numFmtId="166" xfId="0" applyAlignment="1" applyBorder="1" applyFont="1" applyNumberFormat="1">
      <alignment horizontal="right"/>
    </xf>
    <xf borderId="0" fillId="0" fontId="1" numFmtId="166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18" fillId="0" fontId="21" numFmtId="0" xfId="0" applyAlignment="1" applyBorder="1" applyFont="1">
      <alignment horizontal="center" readingOrder="0"/>
    </xf>
    <xf borderId="10" fillId="0" fontId="21" numFmtId="0" xfId="0" applyAlignment="1" applyBorder="1" applyFont="1">
      <alignment horizontal="center" readingOrder="0"/>
    </xf>
    <xf borderId="10" fillId="0" fontId="20" numFmtId="0" xfId="0" applyAlignment="1" applyBorder="1" applyFont="1">
      <alignment horizontal="right" vertical="bottom"/>
    </xf>
    <xf borderId="10" fillId="0" fontId="20" numFmtId="0" xfId="0" applyAlignment="1" applyBorder="1" applyFont="1">
      <alignment readingOrder="0" vertical="bottom"/>
    </xf>
    <xf borderId="10" fillId="0" fontId="20" numFmtId="0" xfId="0" applyAlignment="1" applyBorder="1" applyFont="1">
      <alignment vertical="bottom"/>
    </xf>
    <xf borderId="10" fillId="0" fontId="20" numFmtId="179" xfId="0" applyAlignment="1" applyBorder="1" applyFont="1" applyNumberFormat="1">
      <alignment horizontal="right" vertical="bottom"/>
    </xf>
    <xf borderId="10" fillId="0" fontId="20" numFmtId="171" xfId="0" applyAlignment="1" applyBorder="1" applyFont="1" applyNumberFormat="1">
      <alignment readingOrder="0"/>
    </xf>
    <xf borderId="10" fillId="0" fontId="20" numFmtId="171" xfId="0" applyAlignment="1" applyBorder="1" applyFont="1" applyNumberFormat="1">
      <alignment vertical="bottom"/>
    </xf>
    <xf borderId="10" fillId="0" fontId="20" numFmtId="171" xfId="0" applyAlignment="1" applyBorder="1" applyFont="1" applyNumberFormat="1">
      <alignment horizontal="right" vertical="bottom"/>
    </xf>
    <xf borderId="10" fillId="0" fontId="20" numFmtId="179" xfId="0" applyAlignment="1" applyBorder="1" applyFont="1" applyNumberFormat="1">
      <alignment vertical="bottom"/>
    </xf>
    <xf borderId="10" fillId="0" fontId="20" numFmtId="180" xfId="0" applyAlignment="1" applyBorder="1" applyFont="1" applyNumberFormat="1">
      <alignment horizontal="right" vertical="bottom"/>
    </xf>
    <xf borderId="10" fillId="0" fontId="20" numFmtId="4" xfId="0" applyAlignment="1" applyBorder="1" applyFont="1" applyNumberFormat="1">
      <alignment horizontal="right" vertical="bottom"/>
    </xf>
    <xf borderId="10" fillId="0" fontId="20" numFmtId="4" xfId="0" applyAlignment="1" applyBorder="1" applyFont="1" applyNumberFormat="1">
      <alignment vertical="bottom"/>
    </xf>
    <xf borderId="10" fillId="0" fontId="20" numFmtId="171" xfId="0" applyAlignment="1" applyBorder="1" applyFont="1" applyNumberFormat="1">
      <alignment horizontal="right" vertical="bottom"/>
    </xf>
    <xf borderId="10" fillId="2" fontId="20" numFmtId="171" xfId="0" applyAlignment="1" applyBorder="1" applyFont="1" applyNumberFormat="1">
      <alignment horizontal="right" vertical="bottom"/>
    </xf>
    <xf borderId="10" fillId="0" fontId="14" numFmtId="0" xfId="0" applyAlignment="1" applyBorder="1" applyFont="1">
      <alignment horizontal="right" vertical="bottom"/>
    </xf>
    <xf borderId="10" fillId="0" fontId="14" numFmtId="0" xfId="0" applyAlignment="1" applyBorder="1" applyFont="1">
      <alignment vertical="bottom"/>
    </xf>
    <xf borderId="10" fillId="0" fontId="14" numFmtId="4" xfId="0" applyAlignment="1" applyBorder="1" applyFont="1" applyNumberFormat="1">
      <alignment vertical="bottom"/>
    </xf>
    <xf borderId="10" fillId="0" fontId="14" numFmtId="179" xfId="0" applyAlignment="1" applyBorder="1" applyFont="1" applyNumberFormat="1">
      <alignment horizontal="right" vertical="bottom"/>
    </xf>
    <xf borderId="10" fillId="0" fontId="14" numFmtId="171" xfId="0" applyAlignment="1" applyBorder="1" applyFont="1" applyNumberFormat="1">
      <alignment vertical="bottom"/>
    </xf>
    <xf borderId="10" fillId="0" fontId="14" numFmtId="180" xfId="0" applyAlignment="1" applyBorder="1" applyFont="1" applyNumberFormat="1">
      <alignment horizontal="right" vertical="bottom"/>
    </xf>
    <xf borderId="10" fillId="0" fontId="14" numFmtId="171" xfId="0" applyAlignment="1" applyBorder="1" applyFont="1" applyNumberFormat="1">
      <alignment horizontal="right" vertical="bottom"/>
    </xf>
    <xf borderId="10" fillId="0" fontId="20" numFmtId="0" xfId="0" applyAlignment="1" applyBorder="1" applyFont="1">
      <alignment horizontal="right" readingOrder="0"/>
    </xf>
    <xf borderId="10" fillId="0" fontId="20" numFmtId="179" xfId="0" applyAlignment="1" applyBorder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76022190.63</v>
      </c>
      <c r="E2" s="3">
        <f>SUM(G2:AC2)</f>
        <v>76022190.63</v>
      </c>
      <c r="F2" s="6"/>
      <c r="G2" s="6">
        <f t="shared" ref="G2:AC2" si="1">G38</f>
        <v>6500000</v>
      </c>
      <c r="H2" s="6">
        <f t="shared" si="1"/>
        <v>34539540.42</v>
      </c>
      <c r="I2" s="6">
        <f t="shared" si="1"/>
        <v>646.13</v>
      </c>
      <c r="J2" s="6">
        <f t="shared" si="1"/>
        <v>0</v>
      </c>
      <c r="K2" s="6">
        <f t="shared" si="1"/>
        <v>0</v>
      </c>
      <c r="L2" s="6">
        <f t="shared" si="1"/>
        <v>1661252.738</v>
      </c>
      <c r="M2" s="6">
        <f t="shared" si="1"/>
        <v>2420995.563</v>
      </c>
      <c r="N2" s="6">
        <f t="shared" si="1"/>
        <v>0</v>
      </c>
      <c r="O2" s="6">
        <f t="shared" si="1"/>
        <v>0</v>
      </c>
      <c r="P2" s="6">
        <f t="shared" si="1"/>
        <v>7013010</v>
      </c>
      <c r="Q2" s="6">
        <f t="shared" si="1"/>
        <v>868500</v>
      </c>
      <c r="R2" s="6">
        <f t="shared" si="1"/>
        <v>286865.1802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22731380.6</v>
      </c>
      <c r="AC2" s="6">
        <f t="shared" si="1"/>
        <v>0</v>
      </c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1" t="s">
        <v>5</v>
      </c>
      <c r="H3" s="11" t="s">
        <v>6</v>
      </c>
      <c r="I3" s="12" t="s">
        <v>7</v>
      </c>
      <c r="J3" s="13" t="s">
        <v>8</v>
      </c>
      <c r="K3" s="11" t="s">
        <v>9</v>
      </c>
      <c r="L3" s="14" t="s">
        <v>10</v>
      </c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4" t="s">
        <v>18</v>
      </c>
      <c r="U3" s="14" t="s">
        <v>19</v>
      </c>
      <c r="V3" s="12" t="s">
        <v>20</v>
      </c>
      <c r="W3" s="12" t="s">
        <v>21</v>
      </c>
      <c r="X3" s="15" t="s">
        <v>22</v>
      </c>
      <c r="Y3" s="12" t="s">
        <v>23</v>
      </c>
      <c r="Z3" s="12" t="s">
        <v>24</v>
      </c>
      <c r="AA3" s="14" t="s">
        <v>25</v>
      </c>
      <c r="AB3" s="11" t="s">
        <v>26</v>
      </c>
      <c r="AC3" s="14" t="s">
        <v>27</v>
      </c>
    </row>
    <row r="4" ht="15.75" customHeight="1">
      <c r="A4" s="16" t="s">
        <v>28</v>
      </c>
      <c r="B4" s="17"/>
      <c r="C4" s="18" t="s">
        <v>29</v>
      </c>
      <c r="D4" s="19">
        <v>0.0</v>
      </c>
      <c r="E4" s="20">
        <f t="shared" ref="E4:E24" si="2">SUM(G4:AC4)</f>
        <v>0</v>
      </c>
      <c r="F4" s="2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ht="15.75" customHeight="1">
      <c r="A5" s="23" t="s">
        <v>30</v>
      </c>
      <c r="B5" s="17">
        <f>G2</f>
        <v>6500000</v>
      </c>
      <c r="C5" s="24" t="s">
        <v>31</v>
      </c>
      <c r="D5" s="19">
        <v>0.0</v>
      </c>
      <c r="E5" s="20">
        <f t="shared" si="2"/>
        <v>0</v>
      </c>
      <c r="F5" s="2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ht="15.75" customHeight="1">
      <c r="A6" s="25" t="s">
        <v>32</v>
      </c>
      <c r="B6" s="26">
        <f>H2</f>
        <v>34539540.42</v>
      </c>
      <c r="C6" s="18" t="s">
        <v>33</v>
      </c>
      <c r="D6" s="19">
        <v>0.0</v>
      </c>
      <c r="E6" s="20">
        <f t="shared" si="2"/>
        <v>0</v>
      </c>
      <c r="F6" s="2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ht="15.75" customHeight="1">
      <c r="A7" s="27" t="str">
        <f>R3</f>
        <v>Software Tools</v>
      </c>
      <c r="B7" s="28">
        <f>R2</f>
        <v>286865.1802</v>
      </c>
      <c r="C7" s="24" t="s">
        <v>34</v>
      </c>
      <c r="D7" s="19">
        <v>0.0</v>
      </c>
      <c r="E7" s="20">
        <f t="shared" si="2"/>
        <v>0</v>
      </c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ht="15.75" customHeight="1">
      <c r="A8" s="29" t="s">
        <v>14</v>
      </c>
      <c r="B8" s="30">
        <f>P2</f>
        <v>7013010</v>
      </c>
      <c r="C8" s="24" t="s">
        <v>35</v>
      </c>
      <c r="D8" s="19">
        <v>0.0</v>
      </c>
      <c r="E8" s="20">
        <f t="shared" si="2"/>
        <v>0</v>
      </c>
      <c r="F8" s="2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ht="15.75" customHeight="1">
      <c r="A9" s="31" t="s">
        <v>36</v>
      </c>
      <c r="B9" s="28">
        <f>L2</f>
        <v>1661252.738</v>
      </c>
      <c r="C9" s="18" t="s">
        <v>37</v>
      </c>
      <c r="D9" s="19">
        <v>0.0</v>
      </c>
      <c r="E9" s="20">
        <f t="shared" si="2"/>
        <v>0</v>
      </c>
      <c r="F9" s="2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ht="15.75" customHeight="1">
      <c r="A10" s="11" t="s">
        <v>11</v>
      </c>
      <c r="B10" s="32">
        <f>M2</f>
        <v>2420995.563</v>
      </c>
      <c r="C10" s="33" t="s">
        <v>38</v>
      </c>
      <c r="D10" s="19">
        <v>30.0</v>
      </c>
      <c r="E10" s="20">
        <f t="shared" si="2"/>
        <v>30</v>
      </c>
      <c r="F10" s="21"/>
      <c r="G10" s="22"/>
      <c r="H10" s="22"/>
      <c r="I10" s="34">
        <v>30.0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ht="15.75" customHeight="1">
      <c r="A11" s="35" t="s">
        <v>39</v>
      </c>
      <c r="B11" s="32">
        <f>AB2</f>
        <v>22731380.6</v>
      </c>
      <c r="C11" s="18" t="s">
        <v>40</v>
      </c>
      <c r="D11" s="19">
        <v>0.0</v>
      </c>
      <c r="E11" s="20">
        <f t="shared" si="2"/>
        <v>0</v>
      </c>
      <c r="F11" s="2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ht="15.75" customHeight="1">
      <c r="A12" s="36" t="s">
        <v>15</v>
      </c>
      <c r="B12" s="32">
        <f>Q2</f>
        <v>868500</v>
      </c>
      <c r="C12" s="24" t="s">
        <v>41</v>
      </c>
      <c r="D12" s="19">
        <v>0.0</v>
      </c>
      <c r="E12" s="20">
        <f t="shared" si="2"/>
        <v>0</v>
      </c>
      <c r="F12" s="2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ht="15.75" customHeight="1">
      <c r="A13" s="37" t="s">
        <v>42</v>
      </c>
      <c r="B13" s="30">
        <f>I2</f>
        <v>646.13</v>
      </c>
      <c r="C13" s="18" t="s">
        <v>43</v>
      </c>
      <c r="D13" s="19">
        <v>0.0</v>
      </c>
      <c r="E13" s="20">
        <f t="shared" si="2"/>
        <v>0</v>
      </c>
      <c r="F13" s="2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ht="15.75" customHeight="1">
      <c r="C14" s="24" t="s">
        <v>44</v>
      </c>
      <c r="D14" s="19">
        <v>0.0</v>
      </c>
      <c r="E14" s="20">
        <f t="shared" si="2"/>
        <v>0</v>
      </c>
      <c r="F14" s="21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ht="15.75" customHeight="1">
      <c r="C15" s="18" t="s">
        <v>45</v>
      </c>
      <c r="D15" s="19">
        <v>0.0</v>
      </c>
      <c r="E15" s="20">
        <f t="shared" si="2"/>
        <v>0</v>
      </c>
      <c r="F15" s="21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ht="15.75" customHeight="1">
      <c r="C16" s="18" t="s">
        <v>46</v>
      </c>
      <c r="D16" s="19">
        <v>0.0</v>
      </c>
      <c r="E16" s="20">
        <f t="shared" si="2"/>
        <v>0</v>
      </c>
      <c r="F16" s="2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ht="15.75" customHeight="1">
      <c r="C17" s="24" t="s">
        <v>47</v>
      </c>
      <c r="D17" s="19">
        <v>0.0</v>
      </c>
      <c r="E17" s="20">
        <f t="shared" si="2"/>
        <v>0</v>
      </c>
      <c r="F17" s="2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ht="15.75" customHeight="1">
      <c r="A18" s="38"/>
      <c r="B18" s="39"/>
      <c r="C18" s="18" t="s">
        <v>48</v>
      </c>
      <c r="D18" s="40">
        <v>2.27317806E7</v>
      </c>
      <c r="E18" s="20">
        <f t="shared" si="2"/>
        <v>22731780.6</v>
      </c>
      <c r="F18" s="41"/>
      <c r="G18" s="22"/>
      <c r="H18" s="22"/>
      <c r="I18" s="34">
        <v>400.0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42">
        <v>2.27313806E7</v>
      </c>
      <c r="AC18" s="22"/>
    </row>
    <row r="19" ht="15.75" customHeight="1">
      <c r="A19" s="43" t="s">
        <v>4</v>
      </c>
      <c r="B19" s="44">
        <f>SUM(B5:B18)</f>
        <v>76022190.63</v>
      </c>
      <c r="C19" s="18" t="s">
        <v>49</v>
      </c>
      <c r="D19" s="40">
        <v>472295.85</v>
      </c>
      <c r="E19" s="20">
        <f t="shared" si="2"/>
        <v>472295.85</v>
      </c>
      <c r="F19" s="21"/>
      <c r="G19" s="22"/>
      <c r="H19" s="22"/>
      <c r="I19" s="22"/>
      <c r="J19" s="22"/>
      <c r="K19" s="22"/>
      <c r="L19" s="22"/>
      <c r="M19" s="42">
        <v>472295.85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ht="15.75" customHeight="1">
      <c r="A20" s="27" t="s">
        <v>30</v>
      </c>
      <c r="B20" s="30">
        <f>B5</f>
        <v>6500000</v>
      </c>
      <c r="C20" s="18" t="s">
        <v>50</v>
      </c>
      <c r="D20" s="45">
        <v>4.669975655E7</v>
      </c>
      <c r="E20" s="20">
        <f t="shared" si="2"/>
        <v>46699756.55</v>
      </c>
      <c r="F20" s="21"/>
      <c r="G20" s="34">
        <v>6500000.0</v>
      </c>
      <c r="H20" s="46">
        <v>3.453954042E7</v>
      </c>
      <c r="I20" s="47">
        <v>216.13</v>
      </c>
      <c r="J20" s="22"/>
      <c r="K20" s="22"/>
      <c r="L20" s="22"/>
      <c r="M20" s="22"/>
      <c r="N20" s="22"/>
      <c r="O20" s="22"/>
      <c r="P20" s="47">
        <v>5660000.0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ht="15.75" customHeight="1">
      <c r="A21" s="38"/>
      <c r="B21" s="48">
        <f>SUM(B19-B20)</f>
        <v>69522190.63</v>
      </c>
      <c r="C21" s="18" t="s">
        <v>51</v>
      </c>
      <c r="D21" s="19">
        <v>0.0</v>
      </c>
      <c r="E21" s="20">
        <f t="shared" si="2"/>
        <v>0</v>
      </c>
      <c r="F21" s="2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ht="15.75" customHeight="1">
      <c r="A22" s="38"/>
      <c r="B22" s="49"/>
      <c r="C22" s="18" t="s">
        <v>52</v>
      </c>
      <c r="D22" s="50">
        <v>868500.0</v>
      </c>
      <c r="E22" s="20">
        <f t="shared" si="2"/>
        <v>868500</v>
      </c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50">
        <v>868500.0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ht="15.75" customHeight="1">
      <c r="A23" s="38"/>
      <c r="B23" s="37"/>
      <c r="C23" s="51" t="s">
        <v>53</v>
      </c>
      <c r="D23" s="19">
        <v>0.0</v>
      </c>
      <c r="E23" s="20">
        <f t="shared" si="2"/>
        <v>0</v>
      </c>
      <c r="F23" s="2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ht="15.75" customHeight="1">
      <c r="A24" s="38"/>
      <c r="B24" s="38"/>
      <c r="C24" s="18" t="s">
        <v>54</v>
      </c>
      <c r="D24" s="19">
        <v>0.0</v>
      </c>
      <c r="E24" s="20">
        <f t="shared" si="2"/>
        <v>0</v>
      </c>
      <c r="F24" s="2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ht="15.75" customHeight="1">
      <c r="A25" s="23"/>
      <c r="B25" s="52"/>
      <c r="C25" s="53"/>
      <c r="D25" s="19">
        <v>0.0</v>
      </c>
      <c r="E25" s="54"/>
      <c r="F25" s="21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ht="15.75" customHeight="1">
      <c r="A26" s="55"/>
      <c r="B26" s="52"/>
      <c r="C26" s="18" t="s">
        <v>55</v>
      </c>
      <c r="D26" s="19">
        <v>0.0</v>
      </c>
      <c r="E26" s="20">
        <f t="shared" ref="E26:E35" si="3">SUM(G26:AB26)</f>
        <v>0</v>
      </c>
      <c r="F26" s="2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ht="15.75" customHeight="1">
      <c r="A27" s="56"/>
      <c r="B27" s="52"/>
      <c r="C27" s="18" t="s">
        <v>56</v>
      </c>
      <c r="D27" s="19">
        <f>1000*C36</f>
        <v>1353010</v>
      </c>
      <c r="E27" s="20">
        <f t="shared" si="3"/>
        <v>1353010</v>
      </c>
      <c r="F27" s="21"/>
      <c r="G27" s="22"/>
      <c r="H27" s="22"/>
      <c r="I27" s="22"/>
      <c r="J27" s="22"/>
      <c r="K27" s="22"/>
      <c r="L27" s="22"/>
      <c r="M27" s="22"/>
      <c r="N27" s="22"/>
      <c r="O27" s="22"/>
      <c r="P27" s="22">
        <f>1000*C36</f>
        <v>1353010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ht="15.75" customHeight="1">
      <c r="A28" s="55"/>
      <c r="B28" s="52"/>
      <c r="C28" s="24" t="s">
        <v>57</v>
      </c>
      <c r="D28" s="19">
        <v>0.0</v>
      </c>
      <c r="E28" s="20">
        <f t="shared" si="3"/>
        <v>0</v>
      </c>
      <c r="F28" s="2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ht="15.75" customHeight="1">
      <c r="A29" s="55"/>
      <c r="B29" s="52"/>
      <c r="C29" s="24" t="s">
        <v>58</v>
      </c>
      <c r="D29" s="19">
        <v>0.0</v>
      </c>
      <c r="E29" s="20">
        <f t="shared" si="3"/>
        <v>0</v>
      </c>
      <c r="F29" s="2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ht="15.75" customHeight="1">
      <c r="A30" s="55"/>
      <c r="B30" s="52"/>
      <c r="C30" s="18" t="s">
        <v>48</v>
      </c>
      <c r="D30" s="19">
        <v>0.0</v>
      </c>
      <c r="E30" s="20">
        <f t="shared" si="3"/>
        <v>0</v>
      </c>
      <c r="F30" s="4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ht="15.75" customHeight="1">
      <c r="A31" s="55"/>
      <c r="B31" s="52"/>
      <c r="C31" s="18" t="s">
        <v>59</v>
      </c>
      <c r="D31" s="19">
        <f>2880.11*C36
</f>
        <v>3896817.631</v>
      </c>
      <c r="E31" s="20">
        <f t="shared" si="3"/>
        <v>3896817.631</v>
      </c>
      <c r="F31" s="21"/>
      <c r="G31" s="22"/>
      <c r="H31" s="22"/>
      <c r="I31" s="22"/>
      <c r="J31" s="22"/>
      <c r="K31" s="22"/>
      <c r="L31" s="34">
        <f>1227.82*C36
</f>
        <v>1661252.738</v>
      </c>
      <c r="M31" s="22">
        <f>1440.27*
C36</f>
        <v>1948699.713</v>
      </c>
      <c r="N31" s="22"/>
      <c r="O31" s="22"/>
      <c r="P31" s="22"/>
      <c r="Q31" s="22"/>
      <c r="R31" s="22">
        <f>212.02*C36
</f>
        <v>286865.1802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ht="15.75" customHeight="1">
      <c r="A32" s="55"/>
      <c r="B32" s="57"/>
      <c r="C32" s="18" t="s">
        <v>37</v>
      </c>
      <c r="D32" s="19">
        <v>0.0</v>
      </c>
      <c r="E32" s="20">
        <f t="shared" si="3"/>
        <v>0</v>
      </c>
      <c r="F32" s="2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ht="15.75" customHeight="1">
      <c r="A33" s="23"/>
      <c r="B33" s="57"/>
      <c r="C33" s="18" t="s">
        <v>60</v>
      </c>
      <c r="D33" s="19">
        <v>0.0</v>
      </c>
      <c r="E33" s="20">
        <f t="shared" si="3"/>
        <v>0</v>
      </c>
      <c r="F33" s="2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ht="15.75" customHeight="1">
      <c r="A34" s="23"/>
      <c r="B34" s="52"/>
      <c r="C34" s="18" t="s">
        <v>61</v>
      </c>
      <c r="D34" s="19">
        <v>0.0</v>
      </c>
      <c r="E34" s="20">
        <f t="shared" si="3"/>
        <v>0</v>
      </c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ht="15.75" customHeight="1">
      <c r="A35" s="23"/>
      <c r="B35" s="52"/>
      <c r="C35" s="24" t="s">
        <v>62</v>
      </c>
      <c r="D35" s="19">
        <v>0.0</v>
      </c>
      <c r="E35" s="20">
        <f t="shared" si="3"/>
        <v>0</v>
      </c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ht="15.75" customHeight="1">
      <c r="A36" s="23"/>
      <c r="B36" s="52"/>
      <c r="C36" s="58">
        <f>Income!C36</f>
        <v>1353.01</v>
      </c>
      <c r="D36" s="59"/>
      <c r="E36" s="54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ht="15.75" customHeight="1">
      <c r="A37" s="60"/>
      <c r="B37" s="61"/>
      <c r="C37" s="62"/>
      <c r="D37" s="20">
        <f t="shared" ref="D37:E37" si="4">SUM(D4:D35)</f>
        <v>76022190.63</v>
      </c>
      <c r="E37" s="20">
        <f t="shared" si="4"/>
        <v>76022190.63</v>
      </c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ht="15.75" customHeight="1">
      <c r="A38" s="1"/>
      <c r="B38" s="1"/>
      <c r="C38" s="3"/>
      <c r="D38" s="63"/>
      <c r="E38" s="1"/>
      <c r="F38" s="6"/>
      <c r="G38" s="64">
        <f t="shared" ref="G38:AC38" si="5">SUM(G4:G37)</f>
        <v>6500000</v>
      </c>
      <c r="H38" s="64">
        <f t="shared" si="5"/>
        <v>34539540.42</v>
      </c>
      <c r="I38" s="64">
        <f t="shared" si="5"/>
        <v>646.13</v>
      </c>
      <c r="J38" s="64">
        <f t="shared" si="5"/>
        <v>0</v>
      </c>
      <c r="K38" s="64">
        <f t="shared" si="5"/>
        <v>0</v>
      </c>
      <c r="L38" s="64">
        <f t="shared" si="5"/>
        <v>1661252.738</v>
      </c>
      <c r="M38" s="64">
        <f t="shared" si="5"/>
        <v>2420995.563</v>
      </c>
      <c r="N38" s="64">
        <f t="shared" si="5"/>
        <v>0</v>
      </c>
      <c r="O38" s="64">
        <f t="shared" si="5"/>
        <v>0</v>
      </c>
      <c r="P38" s="64">
        <f t="shared" si="5"/>
        <v>7013010</v>
      </c>
      <c r="Q38" s="64">
        <f t="shared" si="5"/>
        <v>868500</v>
      </c>
      <c r="R38" s="64">
        <f t="shared" si="5"/>
        <v>286865.1802</v>
      </c>
      <c r="S38" s="64">
        <f t="shared" si="5"/>
        <v>0</v>
      </c>
      <c r="T38" s="64">
        <f t="shared" si="5"/>
        <v>0</v>
      </c>
      <c r="U38" s="64">
        <f t="shared" si="5"/>
        <v>0</v>
      </c>
      <c r="V38" s="64">
        <f t="shared" si="5"/>
        <v>0</v>
      </c>
      <c r="W38" s="64">
        <f t="shared" si="5"/>
        <v>0</v>
      </c>
      <c r="X38" s="64">
        <f t="shared" si="5"/>
        <v>0</v>
      </c>
      <c r="Y38" s="64">
        <f t="shared" si="5"/>
        <v>0</v>
      </c>
      <c r="Z38" s="64">
        <f t="shared" si="5"/>
        <v>0</v>
      </c>
      <c r="AA38" s="64">
        <f t="shared" si="5"/>
        <v>0</v>
      </c>
      <c r="AB38" s="64">
        <f t="shared" si="5"/>
        <v>22731380.6</v>
      </c>
      <c r="AC38" s="64">
        <f t="shared" si="5"/>
        <v>0</v>
      </c>
    </row>
    <row r="39" ht="15.75" customHeight="1">
      <c r="A39" s="1"/>
      <c r="B39" s="3"/>
      <c r="C39" s="65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6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5 D36:E36">
      <formula1>AND(ISNUMBER(D25),(NOT(OR(NOT(ISERROR(DATEVALUE(D25))), AND(ISNUMBER(D25), LEFT(CELL("format", D25))="D")))))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</cols>
  <sheetData>
    <row r="1" ht="15.75" customHeight="1">
      <c r="A1" s="67"/>
      <c r="B1" s="67"/>
      <c r="C1" s="4"/>
      <c r="D1" s="68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</row>
    <row r="2" ht="15.75" customHeight="1">
      <c r="A2" s="67"/>
      <c r="B2" s="67"/>
      <c r="C2" s="67"/>
      <c r="D2" s="69">
        <f>SUM(D4:D35)</f>
        <v>157706028.5</v>
      </c>
      <c r="E2" s="4">
        <f>SUM(F2:AF2)</f>
        <v>157706028.5</v>
      </c>
      <c r="F2" s="69">
        <f t="shared" ref="F2:Y2" si="1">F36</f>
        <v>6500000</v>
      </c>
      <c r="G2" s="69">
        <f t="shared" si="1"/>
        <v>195663.5027</v>
      </c>
      <c r="H2" s="69">
        <f t="shared" si="1"/>
        <v>10993.48</v>
      </c>
      <c r="I2" s="69">
        <f t="shared" si="1"/>
        <v>0</v>
      </c>
      <c r="J2" s="69">
        <f t="shared" si="1"/>
        <v>0</v>
      </c>
      <c r="K2" s="69">
        <f t="shared" si="1"/>
        <v>35884531.22</v>
      </c>
      <c r="L2" s="69">
        <f t="shared" si="1"/>
        <v>0</v>
      </c>
      <c r="M2" s="69">
        <f t="shared" si="1"/>
        <v>66857989</v>
      </c>
      <c r="N2" s="69">
        <f t="shared" si="1"/>
        <v>527863.3214</v>
      </c>
      <c r="O2" s="69">
        <f t="shared" si="1"/>
        <v>0</v>
      </c>
      <c r="P2" s="69">
        <f t="shared" si="1"/>
        <v>0</v>
      </c>
      <c r="Q2" s="69">
        <f t="shared" si="1"/>
        <v>0</v>
      </c>
      <c r="R2" s="69">
        <f t="shared" si="1"/>
        <v>47728988</v>
      </c>
      <c r="S2" s="69">
        <f t="shared" si="1"/>
        <v>0</v>
      </c>
      <c r="T2" s="69">
        <f t="shared" si="1"/>
        <v>0</v>
      </c>
      <c r="U2" s="69">
        <f t="shared" si="1"/>
        <v>0</v>
      </c>
      <c r="V2" s="69">
        <f t="shared" si="1"/>
        <v>0</v>
      </c>
      <c r="W2" s="69">
        <f t="shared" si="1"/>
        <v>0</v>
      </c>
      <c r="X2" s="67" t="str">
        <f t="shared" si="1"/>
        <v/>
      </c>
      <c r="Y2" s="67" t="str">
        <f t="shared" si="1"/>
        <v/>
      </c>
      <c r="Z2" s="67"/>
      <c r="AA2" s="67"/>
      <c r="AB2" s="67"/>
      <c r="AC2" s="67"/>
      <c r="AD2" s="67"/>
      <c r="AE2" s="67"/>
      <c r="AF2" s="67"/>
      <c r="AG2" s="67"/>
    </row>
    <row r="3" ht="15.75" customHeight="1">
      <c r="A3" s="67"/>
      <c r="B3" s="67"/>
      <c r="C3" s="67"/>
      <c r="D3" s="70"/>
      <c r="E3" s="67" t="s">
        <v>4</v>
      </c>
      <c r="F3" s="67" t="s">
        <v>30</v>
      </c>
      <c r="G3" s="67" t="s">
        <v>63</v>
      </c>
      <c r="H3" s="67" t="s">
        <v>64</v>
      </c>
      <c r="I3" s="67" t="s">
        <v>65</v>
      </c>
      <c r="J3" s="67" t="s">
        <v>66</v>
      </c>
      <c r="K3" s="67" t="s">
        <v>67</v>
      </c>
      <c r="L3" s="67" t="s">
        <v>68</v>
      </c>
      <c r="M3" s="67" t="s">
        <v>69</v>
      </c>
      <c r="N3" s="67" t="s">
        <v>70</v>
      </c>
      <c r="O3" s="67" t="s">
        <v>71</v>
      </c>
      <c r="P3" s="67" t="s">
        <v>72</v>
      </c>
      <c r="Q3" s="67" t="s">
        <v>66</v>
      </c>
      <c r="R3" s="71" t="s">
        <v>73</v>
      </c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</row>
    <row r="4" ht="15.75" customHeight="1">
      <c r="A4" s="72" t="s">
        <v>74</v>
      </c>
      <c r="B4" s="73"/>
      <c r="C4" s="74" t="s">
        <v>29</v>
      </c>
      <c r="D4" s="75">
        <v>0.0</v>
      </c>
      <c r="E4" s="76">
        <f t="shared" ref="E4:E29" si="2">SUM(F4:W4)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67"/>
      <c r="Y4" s="67"/>
      <c r="Z4" s="67"/>
      <c r="AA4" s="67"/>
      <c r="AB4" s="67"/>
      <c r="AC4" s="67"/>
      <c r="AD4" s="67"/>
      <c r="AE4" s="67"/>
      <c r="AF4" s="67"/>
      <c r="AG4" s="67"/>
    </row>
    <row r="5" ht="15.75" customHeight="1">
      <c r="A5" s="67" t="s">
        <v>30</v>
      </c>
      <c r="B5" s="73">
        <f>F2</f>
        <v>6500000</v>
      </c>
      <c r="C5" s="77" t="s">
        <v>31</v>
      </c>
      <c r="D5" s="75">
        <v>0.0</v>
      </c>
      <c r="E5" s="76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7"/>
      <c r="Y5" s="67"/>
      <c r="Z5" s="67"/>
      <c r="AA5" s="67"/>
      <c r="AB5" s="67"/>
      <c r="AC5" s="67"/>
      <c r="AD5" s="67"/>
      <c r="AE5" s="67"/>
      <c r="AF5" s="67"/>
      <c r="AG5" s="67"/>
    </row>
    <row r="6" ht="15.75" customHeight="1">
      <c r="A6" s="67" t="s">
        <v>75</v>
      </c>
      <c r="B6" s="69">
        <f>M2</f>
        <v>66857989</v>
      </c>
      <c r="C6" s="74" t="s">
        <v>33</v>
      </c>
      <c r="D6" s="75">
        <v>0.0</v>
      </c>
      <c r="E6" s="76">
        <f t="shared" si="2"/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7"/>
      <c r="Y6" s="67"/>
      <c r="Z6" s="67"/>
      <c r="AA6" s="67"/>
      <c r="AB6" s="67"/>
      <c r="AC6" s="67"/>
      <c r="AD6" s="67"/>
      <c r="AE6" s="67"/>
      <c r="AF6" s="67"/>
      <c r="AG6" s="67"/>
    </row>
    <row r="7" ht="15.75" customHeight="1">
      <c r="A7" s="67" t="s">
        <v>76</v>
      </c>
      <c r="B7" s="32">
        <f>H2</f>
        <v>10993.48</v>
      </c>
      <c r="C7" s="77" t="s">
        <v>34</v>
      </c>
      <c r="D7" s="75">
        <v>0.0</v>
      </c>
      <c r="E7" s="76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67"/>
      <c r="Y7" s="67"/>
      <c r="Z7" s="67"/>
      <c r="AA7" s="67"/>
      <c r="AB7" s="67"/>
      <c r="AC7" s="67"/>
      <c r="AD7" s="67"/>
      <c r="AE7" s="67"/>
      <c r="AF7" s="67"/>
      <c r="AG7" s="67"/>
    </row>
    <row r="8" ht="15.75" customHeight="1">
      <c r="A8" s="71" t="s">
        <v>70</v>
      </c>
      <c r="B8" s="78">
        <f>N2</f>
        <v>527863.3214</v>
      </c>
      <c r="C8" s="77" t="s">
        <v>35</v>
      </c>
      <c r="D8" s="75">
        <v>0.0</v>
      </c>
      <c r="E8" s="76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67"/>
      <c r="Y8" s="67"/>
      <c r="Z8" s="67"/>
      <c r="AA8" s="67"/>
      <c r="AB8" s="67"/>
      <c r="AC8" s="67"/>
      <c r="AD8" s="67"/>
      <c r="AE8" s="67"/>
      <c r="AF8" s="67"/>
      <c r="AG8" s="67"/>
    </row>
    <row r="9" ht="15.75" customHeight="1">
      <c r="A9" s="67" t="s">
        <v>63</v>
      </c>
      <c r="B9" s="78">
        <f>G2</f>
        <v>195663.5027</v>
      </c>
      <c r="C9" s="74" t="s">
        <v>37</v>
      </c>
      <c r="D9" s="75">
        <v>0.0</v>
      </c>
      <c r="E9" s="76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67"/>
      <c r="Y9" s="67"/>
      <c r="Z9" s="67"/>
      <c r="AA9" s="67"/>
      <c r="AB9" s="67"/>
      <c r="AC9" s="67"/>
      <c r="AD9" s="67"/>
      <c r="AE9" s="67"/>
      <c r="AF9" s="67"/>
      <c r="AG9" s="67"/>
    </row>
    <row r="10" ht="15.75" customHeight="1">
      <c r="A10" s="67" t="s">
        <v>67</v>
      </c>
      <c r="B10" s="32">
        <f>K2</f>
        <v>35884531.22</v>
      </c>
      <c r="C10" s="74" t="s">
        <v>77</v>
      </c>
      <c r="D10" s="75">
        <v>10993.48</v>
      </c>
      <c r="E10" s="76">
        <f t="shared" si="2"/>
        <v>10993.48</v>
      </c>
      <c r="F10" s="4"/>
      <c r="G10" s="4"/>
      <c r="H10" s="75">
        <v>10993.48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67"/>
      <c r="Y10" s="67"/>
      <c r="Z10" s="67"/>
      <c r="AA10" s="67"/>
      <c r="AB10" s="67"/>
      <c r="AC10" s="67"/>
      <c r="AD10" s="67"/>
      <c r="AE10" s="67"/>
      <c r="AF10" s="67"/>
      <c r="AG10" s="67"/>
    </row>
    <row r="11" ht="15.75" customHeight="1">
      <c r="A11" s="67" t="s">
        <v>69</v>
      </c>
      <c r="B11" s="32">
        <f>R2</f>
        <v>47728988</v>
      </c>
      <c r="C11" s="74" t="s">
        <v>78</v>
      </c>
      <c r="D11" s="75">
        <v>0.0</v>
      </c>
      <c r="E11" s="76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67"/>
      <c r="Y11" s="67"/>
      <c r="Z11" s="67"/>
      <c r="AA11" s="67"/>
      <c r="AB11" s="67"/>
      <c r="AC11" s="67"/>
      <c r="AD11" s="67"/>
      <c r="AE11" s="67"/>
      <c r="AF11" s="67"/>
      <c r="AG11" s="67"/>
    </row>
    <row r="12" ht="15.75" customHeight="1">
      <c r="A12" s="79" t="s">
        <v>4</v>
      </c>
      <c r="B12" s="80">
        <f>SUM(B5:B11)</f>
        <v>157706028.5</v>
      </c>
      <c r="C12" s="77" t="s">
        <v>41</v>
      </c>
      <c r="D12" s="75">
        <v>0.0</v>
      </c>
      <c r="E12" s="76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67"/>
      <c r="Y12" s="67"/>
      <c r="Z12" s="67"/>
      <c r="AA12" s="67"/>
      <c r="AB12" s="67"/>
      <c r="AC12" s="67"/>
      <c r="AD12" s="67"/>
      <c r="AE12" s="67"/>
      <c r="AF12" s="67"/>
      <c r="AG12" s="67"/>
    </row>
    <row r="13" ht="15.75" customHeight="1">
      <c r="A13" s="81"/>
      <c r="B13" s="82">
        <f>B5</f>
        <v>6500000</v>
      </c>
      <c r="C13" s="74" t="s">
        <v>43</v>
      </c>
      <c r="D13" s="75">
        <v>0.0</v>
      </c>
      <c r="E13" s="76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67"/>
      <c r="Y13" s="67"/>
      <c r="Z13" s="67"/>
      <c r="AA13" s="67"/>
      <c r="AB13" s="67"/>
      <c r="AC13" s="67"/>
      <c r="AD13" s="67"/>
      <c r="AE13" s="67"/>
      <c r="AF13" s="67"/>
      <c r="AG13" s="67"/>
    </row>
    <row r="14" ht="15.75" customHeight="1">
      <c r="A14" s="72"/>
      <c r="B14" s="83">
        <f>B12-B13</f>
        <v>151206028.5</v>
      </c>
      <c r="C14" s="77" t="s">
        <v>44</v>
      </c>
      <c r="D14" s="75">
        <v>0.0</v>
      </c>
      <c r="E14" s="76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67"/>
      <c r="Y14" s="67"/>
      <c r="Z14" s="67"/>
      <c r="AA14" s="67"/>
      <c r="AB14" s="67"/>
      <c r="AC14" s="67"/>
      <c r="AD14" s="67"/>
      <c r="AE14" s="67"/>
      <c r="AF14" s="67"/>
      <c r="AG14" s="67"/>
    </row>
    <row r="15" ht="15.75" customHeight="1">
      <c r="C15" s="74" t="s">
        <v>45</v>
      </c>
      <c r="D15" s="75">
        <v>0.0</v>
      </c>
      <c r="E15" s="76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67"/>
      <c r="Y15" s="67"/>
      <c r="Z15" s="67"/>
      <c r="AA15" s="67"/>
      <c r="AB15" s="67"/>
      <c r="AC15" s="67"/>
      <c r="AD15" s="67"/>
      <c r="AE15" s="67"/>
      <c r="AF15" s="67"/>
      <c r="AG15" s="67"/>
    </row>
    <row r="16" ht="15.75" customHeight="1">
      <c r="A16" s="67"/>
      <c r="B16" s="67"/>
      <c r="C16" s="74" t="s">
        <v>46</v>
      </c>
      <c r="D16" s="84">
        <v>5000000.0</v>
      </c>
      <c r="E16" s="76">
        <f t="shared" si="2"/>
        <v>5000000</v>
      </c>
      <c r="F16" s="85">
        <v>5000000.0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67"/>
      <c r="Y16" s="67"/>
      <c r="Z16" s="67"/>
      <c r="AA16" s="67"/>
      <c r="AB16" s="67"/>
      <c r="AC16" s="67"/>
      <c r="AD16" s="67"/>
      <c r="AE16" s="67"/>
      <c r="AF16" s="67"/>
      <c r="AG16" s="67"/>
    </row>
    <row r="17" ht="15.75" customHeight="1">
      <c r="A17" s="67"/>
      <c r="B17" s="86"/>
      <c r="C17" s="77" t="s">
        <v>47</v>
      </c>
      <c r="D17" s="75">
        <v>0.0</v>
      </c>
      <c r="E17" s="76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67"/>
      <c r="Y17" s="67"/>
      <c r="Z17" s="67"/>
      <c r="AA17" s="67"/>
      <c r="AB17" s="67"/>
      <c r="AC17" s="67"/>
      <c r="AD17" s="67"/>
      <c r="AE17" s="67"/>
      <c r="AF17" s="67"/>
      <c r="AG17" s="67"/>
    </row>
    <row r="18" ht="15.75" customHeight="1">
      <c r="A18" s="67"/>
      <c r="B18" s="87"/>
      <c r="C18" s="74" t="s">
        <v>48</v>
      </c>
      <c r="D18" s="88">
        <v>2.7756E7</v>
      </c>
      <c r="E18" s="76">
        <f t="shared" si="2"/>
        <v>27756000</v>
      </c>
      <c r="F18" s="4"/>
      <c r="G18" s="4"/>
      <c r="H18" s="4"/>
      <c r="I18" s="4"/>
      <c r="J18" s="4"/>
      <c r="K18" s="4"/>
      <c r="L18" s="4"/>
      <c r="M18" s="42">
        <v>2.7756E7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67"/>
      <c r="Y18" s="67"/>
      <c r="Z18" s="67"/>
      <c r="AA18" s="67"/>
      <c r="AB18" s="67"/>
      <c r="AC18" s="67"/>
      <c r="AD18" s="67"/>
      <c r="AE18" s="67"/>
      <c r="AF18" s="67"/>
      <c r="AG18" s="67"/>
    </row>
    <row r="19" ht="15.75" customHeight="1">
      <c r="A19" s="67"/>
      <c r="B19" s="67"/>
      <c r="C19" s="74" t="s">
        <v>49</v>
      </c>
      <c r="D19" s="89"/>
      <c r="E19" s="76">
        <f t="shared" si="2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67"/>
      <c r="Y19" s="67"/>
      <c r="Z19" s="67"/>
      <c r="AA19" s="67"/>
      <c r="AB19" s="67"/>
      <c r="AC19" s="67"/>
      <c r="AD19" s="67"/>
      <c r="AE19" s="67"/>
      <c r="AF19" s="67"/>
      <c r="AG19" s="67"/>
    </row>
    <row r="20" ht="15.75" customHeight="1">
      <c r="A20" s="67"/>
      <c r="B20" s="67"/>
      <c r="C20" s="74" t="s">
        <v>50</v>
      </c>
      <c r="D20" s="90">
        <v>4.7763278E7</v>
      </c>
      <c r="E20" s="76">
        <f t="shared" si="2"/>
        <v>47763278</v>
      </c>
      <c r="F20" s="4"/>
      <c r="G20" s="47">
        <v>34290.0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7">
        <v>4.7728988E7</v>
      </c>
      <c r="S20" s="4"/>
      <c r="T20" s="4"/>
      <c r="U20" s="4"/>
      <c r="V20" s="4"/>
      <c r="W20" s="4"/>
      <c r="X20" s="67"/>
      <c r="Y20" s="67"/>
      <c r="Z20" s="67"/>
      <c r="AA20" s="67"/>
      <c r="AB20" s="67"/>
      <c r="AC20" s="67"/>
      <c r="AD20" s="67"/>
      <c r="AE20" s="67"/>
      <c r="AF20" s="67"/>
      <c r="AG20" s="67"/>
    </row>
    <row r="21" ht="15.75" customHeight="1">
      <c r="A21" s="67"/>
      <c r="B21" s="73"/>
      <c r="C21" s="74" t="s">
        <v>51</v>
      </c>
      <c r="D21" s="75">
        <v>0.0</v>
      </c>
      <c r="E21" s="76">
        <f t="shared" si="2"/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67"/>
      <c r="Y21" s="67"/>
      <c r="Z21" s="67"/>
      <c r="AA21" s="67"/>
      <c r="AB21" s="67"/>
      <c r="AC21" s="67"/>
      <c r="AD21" s="67"/>
      <c r="AE21" s="67"/>
      <c r="AF21" s="67"/>
      <c r="AG21" s="67"/>
    </row>
    <row r="22" ht="15.75" customHeight="1">
      <c r="A22" s="67"/>
      <c r="B22" s="91"/>
      <c r="C22" s="74" t="s">
        <v>52</v>
      </c>
      <c r="D22" s="84">
        <v>1500000.0</v>
      </c>
      <c r="E22" s="76">
        <f t="shared" si="2"/>
        <v>1500000</v>
      </c>
      <c r="F22" s="85">
        <v>1500000.0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7"/>
      <c r="Y22" s="67"/>
      <c r="Z22" s="67"/>
      <c r="AA22" s="67"/>
      <c r="AB22" s="67"/>
      <c r="AC22" s="67"/>
      <c r="AD22" s="67"/>
      <c r="AE22" s="67"/>
      <c r="AF22" s="67"/>
      <c r="AG22" s="67"/>
    </row>
    <row r="23" ht="15.75" customHeight="1">
      <c r="A23" s="67"/>
      <c r="B23" s="92"/>
      <c r="C23" s="93" t="s">
        <v>53</v>
      </c>
      <c r="D23" s="75">
        <v>0.0</v>
      </c>
      <c r="E23" s="76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7"/>
      <c r="Y23" s="67"/>
      <c r="Z23" s="67"/>
      <c r="AA23" s="67"/>
      <c r="AB23" s="67"/>
      <c r="AC23" s="67"/>
      <c r="AD23" s="67"/>
      <c r="AE23" s="67"/>
      <c r="AF23" s="67"/>
      <c r="AG23" s="67"/>
    </row>
    <row r="24" ht="15.75" customHeight="1">
      <c r="A24" s="4"/>
      <c r="B24" s="73"/>
      <c r="C24" s="74" t="s">
        <v>54</v>
      </c>
      <c r="D24" s="75">
        <v>0.0</v>
      </c>
      <c r="E24" s="76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7"/>
      <c r="Y24" s="67"/>
      <c r="Z24" s="67"/>
      <c r="AA24" s="67"/>
      <c r="AB24" s="67"/>
      <c r="AC24" s="67"/>
      <c r="AD24" s="67"/>
      <c r="AE24" s="67"/>
      <c r="AF24" s="67"/>
      <c r="AG24" s="67"/>
    </row>
    <row r="25" ht="15.75" customHeight="1">
      <c r="A25" s="47"/>
      <c r="B25" s="73"/>
      <c r="C25" s="67"/>
      <c r="D25" s="75">
        <v>0.0</v>
      </c>
      <c r="E25" s="76">
        <f t="shared" si="2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7"/>
      <c r="Y25" s="67"/>
      <c r="Z25" s="67"/>
      <c r="AA25" s="67"/>
      <c r="AB25" s="67"/>
      <c r="AC25" s="67"/>
      <c r="AD25" s="67"/>
      <c r="AE25" s="67"/>
      <c r="AF25" s="67"/>
      <c r="AG25" s="67"/>
    </row>
    <row r="26" ht="15.75" customHeight="1">
      <c r="A26" s="94"/>
      <c r="B26" s="73"/>
      <c r="C26" s="74" t="s">
        <v>55</v>
      </c>
      <c r="D26" s="75">
        <f>390.14*C36
</f>
        <v>527863.3214</v>
      </c>
      <c r="E26" s="76">
        <f t="shared" si="2"/>
        <v>527863.3214</v>
      </c>
      <c r="F26" s="4"/>
      <c r="G26" s="4"/>
      <c r="H26" s="4"/>
      <c r="I26" s="4"/>
      <c r="J26" s="4"/>
      <c r="K26" s="4"/>
      <c r="L26" s="4"/>
      <c r="M26" s="4"/>
      <c r="N26" s="4">
        <f>390.14*C36
</f>
        <v>527863.3214</v>
      </c>
      <c r="O26" s="4"/>
      <c r="P26" s="4"/>
      <c r="Q26" s="4"/>
      <c r="R26" s="4"/>
      <c r="S26" s="4"/>
      <c r="T26" s="4"/>
      <c r="U26" s="4"/>
      <c r="V26" s="4"/>
      <c r="W26" s="4"/>
      <c r="X26" s="67"/>
      <c r="Y26" s="67"/>
      <c r="Z26" s="67"/>
      <c r="AA26" s="67"/>
      <c r="AB26" s="67"/>
      <c r="AC26" s="67"/>
      <c r="AD26" s="67"/>
      <c r="AE26" s="67"/>
      <c r="AF26" s="67"/>
      <c r="AG26" s="67"/>
    </row>
    <row r="27" ht="14.25" customHeight="1">
      <c r="A27" s="47"/>
      <c r="B27" s="67"/>
      <c r="C27" s="74" t="s">
        <v>56</v>
      </c>
      <c r="D27" s="75">
        <v>0.0</v>
      </c>
      <c r="E27" s="76">
        <f t="shared" si="2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7"/>
      <c r="Y27" s="67"/>
      <c r="Z27" s="67"/>
      <c r="AA27" s="67"/>
      <c r="AB27" s="67"/>
      <c r="AC27" s="67"/>
      <c r="AD27" s="67"/>
      <c r="AE27" s="67"/>
      <c r="AF27" s="67"/>
      <c r="AG27" s="67"/>
    </row>
    <row r="28" ht="15.75" customHeight="1">
      <c r="A28" s="47"/>
      <c r="B28" s="95"/>
      <c r="C28" s="77" t="s">
        <v>57</v>
      </c>
      <c r="D28" s="75">
        <v>0.0</v>
      </c>
      <c r="E28" s="76">
        <f t="shared" si="2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7"/>
      <c r="Y28" s="67"/>
      <c r="Z28" s="67"/>
      <c r="AA28" s="67"/>
      <c r="AB28" s="67"/>
      <c r="AC28" s="67"/>
      <c r="AD28" s="67"/>
      <c r="AE28" s="67"/>
      <c r="AF28" s="67"/>
      <c r="AG28" s="67"/>
    </row>
    <row r="29" ht="15.75" customHeight="1">
      <c r="A29" s="47"/>
      <c r="B29" s="73"/>
      <c r="C29" s="77" t="s">
        <v>58</v>
      </c>
      <c r="D29" s="75">
        <v>0.0</v>
      </c>
      <c r="E29" s="76">
        <f t="shared" si="2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7"/>
      <c r="Y29" s="67"/>
      <c r="Z29" s="67"/>
      <c r="AA29" s="67"/>
      <c r="AB29" s="67"/>
      <c r="AC29" s="67"/>
      <c r="AD29" s="67"/>
      <c r="AE29" s="67"/>
      <c r="AF29" s="67"/>
      <c r="AG29" s="67"/>
    </row>
    <row r="30" ht="15.75" customHeight="1">
      <c r="A30" s="67"/>
      <c r="B30" s="73"/>
      <c r="C30" s="74" t="s">
        <v>48</v>
      </c>
      <c r="D30" s="75">
        <f>17000*C36</f>
        <v>23001170</v>
      </c>
      <c r="E30" s="76">
        <f>SUM(G30:W30)</f>
        <v>23001170</v>
      </c>
      <c r="F30" s="4"/>
      <c r="G30" s="4"/>
      <c r="H30" s="4"/>
      <c r="I30" s="4"/>
      <c r="J30" s="4"/>
      <c r="K30" s="4"/>
      <c r="L30" s="4"/>
      <c r="M30" s="4">
        <f>17000*C36</f>
        <v>23001170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67"/>
      <c r="Y30" s="67"/>
      <c r="Z30" s="67"/>
      <c r="AA30" s="67"/>
      <c r="AB30" s="67"/>
      <c r="AC30" s="67"/>
      <c r="AD30" s="67"/>
      <c r="AE30" s="67"/>
      <c r="AF30" s="67"/>
      <c r="AG30" s="67"/>
    </row>
    <row r="31" ht="13.5" customHeight="1">
      <c r="A31" s="67"/>
      <c r="B31" s="73"/>
      <c r="C31" s="74" t="s">
        <v>59</v>
      </c>
      <c r="D31" s="75">
        <f>119.27*C36</f>
        <v>161373.5027</v>
      </c>
      <c r="E31" s="76">
        <f>SUM(F31:W31)</f>
        <v>161373.5027</v>
      </c>
      <c r="F31" s="4"/>
      <c r="G31" s="4">
        <f>119.27*C36</f>
        <v>161373.5027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7"/>
      <c r="Y31" s="67"/>
      <c r="Z31" s="67"/>
      <c r="AA31" s="67"/>
      <c r="AB31" s="67"/>
      <c r="AC31" s="67"/>
      <c r="AD31" s="67"/>
      <c r="AE31" s="67"/>
      <c r="AF31" s="67"/>
      <c r="AG31" s="67"/>
    </row>
    <row r="32" ht="15.75" customHeight="1">
      <c r="A32" s="67"/>
      <c r="B32" s="73"/>
      <c r="C32" s="74" t="s">
        <v>37</v>
      </c>
      <c r="D32" s="75">
        <v>0.0</v>
      </c>
      <c r="E32" s="76">
        <f>SUM(G32:W32)</f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7"/>
      <c r="Y32" s="67"/>
      <c r="Z32" s="67"/>
      <c r="AA32" s="67"/>
      <c r="AB32" s="67"/>
      <c r="AC32" s="67"/>
      <c r="AD32" s="67"/>
      <c r="AE32" s="67"/>
      <c r="AF32" s="67"/>
      <c r="AG32" s="67"/>
    </row>
    <row r="33" ht="15.75" customHeight="1">
      <c r="A33" s="67"/>
      <c r="B33" s="73"/>
      <c r="C33" s="74" t="s">
        <v>60</v>
      </c>
      <c r="D33" s="75">
        <v>0.0</v>
      </c>
      <c r="E33" s="76">
        <f t="shared" ref="E33:E35" si="3">SUM(F33:W33)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7"/>
      <c r="Y33" s="67"/>
      <c r="Z33" s="67"/>
      <c r="AA33" s="67"/>
      <c r="AB33" s="67"/>
      <c r="AC33" s="67"/>
      <c r="AD33" s="67"/>
      <c r="AE33" s="67"/>
      <c r="AF33" s="67"/>
      <c r="AG33" s="67"/>
    </row>
    <row r="34" ht="15.75" customHeight="1">
      <c r="A34" s="67"/>
      <c r="B34" s="73"/>
      <c r="C34" s="74" t="s">
        <v>61</v>
      </c>
      <c r="D34" s="75">
        <v>0.0</v>
      </c>
      <c r="E34" s="76">
        <f t="shared" si="3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67"/>
      <c r="Y34" s="67"/>
      <c r="Z34" s="67"/>
      <c r="AA34" s="67"/>
      <c r="AB34" s="67"/>
      <c r="AC34" s="67"/>
      <c r="AD34" s="67"/>
      <c r="AE34" s="67"/>
      <c r="AF34" s="67"/>
      <c r="AG34" s="67"/>
    </row>
    <row r="35" ht="15.75" customHeight="1">
      <c r="A35" s="67"/>
      <c r="B35" s="73"/>
      <c r="C35" s="77" t="s">
        <v>62</v>
      </c>
      <c r="D35" s="75">
        <f>38422*C36
</f>
        <v>51985350.22</v>
      </c>
      <c r="E35" s="76">
        <f t="shared" si="3"/>
        <v>51985350.22</v>
      </c>
      <c r="F35" s="4"/>
      <c r="G35" s="4"/>
      <c r="H35" s="4"/>
      <c r="I35" s="4"/>
      <c r="J35" s="4"/>
      <c r="K35" s="4">
        <f>26522*C36
</f>
        <v>35884531.22</v>
      </c>
      <c r="L35" s="4"/>
      <c r="M35" s="4">
        <f>11900*C36</f>
        <v>16100819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67"/>
      <c r="Y35" s="67"/>
      <c r="Z35" s="67"/>
      <c r="AA35" s="67"/>
      <c r="AB35" s="67"/>
      <c r="AC35" s="67"/>
      <c r="AD35" s="67"/>
      <c r="AE35" s="67"/>
      <c r="AF35" s="67"/>
      <c r="AG35" s="67"/>
    </row>
    <row r="36" ht="15.75" customHeight="1">
      <c r="A36" s="67"/>
      <c r="B36" s="73"/>
      <c r="C36" s="96">
        <f>'Cash Report'!E31</f>
        <v>1353.01</v>
      </c>
      <c r="D36" s="97">
        <f t="shared" ref="D36:W36" si="4">SUM(D4:D35)</f>
        <v>157706028.5</v>
      </c>
      <c r="E36" s="97">
        <f t="shared" si="4"/>
        <v>157706028.5</v>
      </c>
      <c r="F36" s="97">
        <f t="shared" si="4"/>
        <v>6500000</v>
      </c>
      <c r="G36" s="97">
        <f t="shared" si="4"/>
        <v>195663.5027</v>
      </c>
      <c r="H36" s="97">
        <f t="shared" si="4"/>
        <v>10993.48</v>
      </c>
      <c r="I36" s="97">
        <f t="shared" si="4"/>
        <v>0</v>
      </c>
      <c r="J36" s="97">
        <f t="shared" si="4"/>
        <v>0</v>
      </c>
      <c r="K36" s="97">
        <f t="shared" si="4"/>
        <v>35884531.22</v>
      </c>
      <c r="L36" s="97">
        <f t="shared" si="4"/>
        <v>0</v>
      </c>
      <c r="M36" s="97">
        <f t="shared" si="4"/>
        <v>66857989</v>
      </c>
      <c r="N36" s="97">
        <f t="shared" si="4"/>
        <v>527863.3214</v>
      </c>
      <c r="O36" s="97">
        <f t="shared" si="4"/>
        <v>0</v>
      </c>
      <c r="P36" s="97">
        <f t="shared" si="4"/>
        <v>0</v>
      </c>
      <c r="Q36" s="97">
        <f t="shared" si="4"/>
        <v>0</v>
      </c>
      <c r="R36" s="97">
        <f t="shared" si="4"/>
        <v>47728988</v>
      </c>
      <c r="S36" s="97">
        <f t="shared" si="4"/>
        <v>0</v>
      </c>
      <c r="T36" s="97">
        <f t="shared" si="4"/>
        <v>0</v>
      </c>
      <c r="U36" s="97">
        <f t="shared" si="4"/>
        <v>0</v>
      </c>
      <c r="V36" s="97">
        <f t="shared" si="4"/>
        <v>0</v>
      </c>
      <c r="W36" s="97">
        <f t="shared" si="4"/>
        <v>0</v>
      </c>
      <c r="X36" s="67"/>
      <c r="Y36" s="67"/>
      <c r="Z36" s="67"/>
      <c r="AA36" s="67"/>
      <c r="AB36" s="67"/>
      <c r="AC36" s="67"/>
      <c r="AD36" s="67"/>
      <c r="AE36" s="67"/>
      <c r="AF36" s="67"/>
      <c r="AG36" s="67"/>
    </row>
    <row r="37" ht="15.75" customHeight="1">
      <c r="A37" s="67"/>
      <c r="B37" s="73"/>
      <c r="C37" s="67"/>
      <c r="D37" s="98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</row>
    <row r="38" ht="15.75" customHeight="1">
      <c r="A38" s="67"/>
      <c r="B38" s="67"/>
      <c r="C38" s="67"/>
      <c r="D38" s="70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</row>
    <row r="39" ht="15.75" customHeight="1">
      <c r="A39" s="67"/>
      <c r="B39" s="67"/>
      <c r="C39" s="67"/>
      <c r="D39" s="69">
        <f>D36-F36</f>
        <v>151206028.5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</row>
    <row r="40" ht="15.75" customHeight="1">
      <c r="A40" s="67"/>
      <c r="B40" s="67"/>
      <c r="C40" s="67"/>
      <c r="D40" s="70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</row>
    <row r="41" ht="15.75" customHeight="1">
      <c r="A41" s="67"/>
      <c r="B41" s="67"/>
      <c r="C41" s="67"/>
      <c r="D41" s="70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</row>
    <row r="42" ht="15.75" customHeight="1">
      <c r="A42" s="67"/>
      <c r="B42" s="67"/>
      <c r="C42" s="67"/>
      <c r="D42" s="70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</row>
    <row r="43" ht="15.75" customHeight="1">
      <c r="A43" s="67"/>
      <c r="B43" s="67"/>
      <c r="C43" s="67"/>
      <c r="D43" s="70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</row>
    <row r="44" ht="15.75" customHeight="1">
      <c r="A44" s="67"/>
      <c r="B44" s="67"/>
      <c r="C44" s="67"/>
      <c r="D44" s="70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</row>
    <row r="45" ht="15.75" customHeight="1">
      <c r="A45" s="67"/>
      <c r="B45" s="67"/>
      <c r="C45" s="67"/>
      <c r="D45" s="70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</row>
    <row r="46" ht="15.75" customHeight="1">
      <c r="A46" s="67"/>
      <c r="B46" s="67"/>
      <c r="C46" s="67"/>
      <c r="D46" s="70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</row>
    <row r="47" ht="15.75" customHeight="1">
      <c r="A47" s="67"/>
      <c r="B47" s="67"/>
      <c r="C47" s="67"/>
      <c r="D47" s="70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</row>
    <row r="48" ht="15.75" customHeight="1">
      <c r="A48" s="67"/>
      <c r="B48" s="67"/>
      <c r="C48" s="67"/>
      <c r="D48" s="70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</row>
    <row r="49" ht="15.75" customHeight="1">
      <c r="A49" s="67"/>
      <c r="B49" s="67"/>
      <c r="C49" s="67"/>
      <c r="D49" s="70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</row>
    <row r="50" ht="15.75" customHeight="1">
      <c r="A50" s="67"/>
      <c r="B50" s="67"/>
      <c r="C50" s="67"/>
      <c r="D50" s="70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</row>
    <row r="51" ht="15.75" customHeight="1">
      <c r="A51" s="67"/>
      <c r="B51" s="67"/>
      <c r="C51" s="67"/>
      <c r="D51" s="70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</row>
    <row r="52" ht="15.75" customHeight="1">
      <c r="A52" s="67"/>
      <c r="B52" s="67"/>
      <c r="C52" s="67"/>
      <c r="D52" s="70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</row>
    <row r="53" ht="15.75" customHeight="1">
      <c r="A53" s="67"/>
      <c r="B53" s="67"/>
      <c r="C53" s="67"/>
      <c r="D53" s="70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</row>
    <row r="54" ht="15.75" customHeight="1">
      <c r="A54" s="67"/>
      <c r="B54" s="67"/>
      <c r="C54" s="67"/>
      <c r="D54" s="70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</row>
    <row r="55" ht="15.75" customHeight="1">
      <c r="A55" s="67"/>
      <c r="B55" s="67"/>
      <c r="C55" s="67"/>
      <c r="D55" s="70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</row>
    <row r="56" ht="15.75" customHeight="1">
      <c r="A56" s="67"/>
      <c r="B56" s="67"/>
      <c r="C56" s="67"/>
      <c r="D56" s="70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</row>
    <row r="57" ht="15.75" customHeight="1">
      <c r="A57" s="67"/>
      <c r="B57" s="67"/>
      <c r="C57" s="67"/>
      <c r="D57" s="70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</row>
    <row r="58" ht="15.75" customHeight="1">
      <c r="A58" s="67"/>
      <c r="B58" s="67"/>
      <c r="C58" s="67"/>
      <c r="D58" s="70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</row>
    <row r="59" ht="15.75" customHeight="1">
      <c r="A59" s="67"/>
      <c r="B59" s="67"/>
      <c r="C59" s="67"/>
      <c r="D59" s="70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</row>
    <row r="60" ht="15.75" customHeight="1">
      <c r="A60" s="67"/>
      <c r="B60" s="67"/>
      <c r="C60" s="67"/>
      <c r="D60" s="70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</row>
    <row r="61" ht="15.75" customHeight="1">
      <c r="A61" s="67"/>
      <c r="B61" s="67"/>
      <c r="C61" s="67"/>
      <c r="D61" s="70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</row>
    <row r="62" ht="15.75" customHeight="1">
      <c r="A62" s="67"/>
      <c r="B62" s="67"/>
      <c r="C62" s="67"/>
      <c r="D62" s="70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</row>
    <row r="63" ht="15.75" customHeight="1">
      <c r="A63" s="67"/>
      <c r="B63" s="67"/>
      <c r="C63" s="67"/>
      <c r="D63" s="70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</row>
    <row r="64" ht="15.75" customHeight="1">
      <c r="A64" s="67"/>
      <c r="B64" s="67"/>
      <c r="C64" s="67"/>
      <c r="D64" s="70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</row>
    <row r="65" ht="15.75" customHeight="1">
      <c r="A65" s="67"/>
      <c r="B65" s="67"/>
      <c r="C65" s="67"/>
      <c r="D65" s="70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</row>
    <row r="66" ht="15.75" customHeight="1">
      <c r="A66" s="67"/>
      <c r="B66" s="67"/>
      <c r="C66" s="67"/>
      <c r="D66" s="70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</row>
    <row r="67" ht="15.75" customHeight="1">
      <c r="A67" s="67"/>
      <c r="B67" s="67"/>
      <c r="C67" s="67"/>
      <c r="D67" s="70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</row>
    <row r="68" ht="15.75" customHeight="1">
      <c r="A68" s="67"/>
      <c r="B68" s="67"/>
      <c r="C68" s="67"/>
      <c r="D68" s="70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</row>
    <row r="69" ht="15.75" customHeight="1">
      <c r="A69" s="67"/>
      <c r="B69" s="67"/>
      <c r="C69" s="67"/>
      <c r="D69" s="70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</row>
    <row r="70" ht="15.75" customHeight="1">
      <c r="A70" s="67"/>
      <c r="B70" s="67"/>
      <c r="C70" s="67"/>
      <c r="D70" s="70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</row>
    <row r="71" ht="15.75" customHeight="1">
      <c r="A71" s="67"/>
      <c r="B71" s="67"/>
      <c r="C71" s="67"/>
      <c r="D71" s="70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</row>
    <row r="72" ht="15.75" customHeight="1">
      <c r="A72" s="67"/>
      <c r="B72" s="67"/>
      <c r="C72" s="67"/>
      <c r="D72" s="70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</row>
    <row r="73" ht="15.75" customHeight="1">
      <c r="A73" s="67"/>
      <c r="B73" s="67"/>
      <c r="C73" s="67"/>
      <c r="D73" s="70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</row>
    <row r="74" ht="15.75" customHeight="1">
      <c r="A74" s="67"/>
      <c r="B74" s="67"/>
      <c r="C74" s="67"/>
      <c r="D74" s="70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</row>
    <row r="75" ht="15.75" customHeight="1">
      <c r="A75" s="67"/>
      <c r="B75" s="67"/>
      <c r="C75" s="67"/>
      <c r="D75" s="70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</row>
    <row r="76" ht="15.75" customHeight="1">
      <c r="A76" s="67"/>
      <c r="B76" s="67"/>
      <c r="C76" s="67"/>
      <c r="D76" s="70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</row>
    <row r="77" ht="15.75" customHeight="1">
      <c r="A77" s="67"/>
      <c r="B77" s="67"/>
      <c r="C77" s="67"/>
      <c r="D77" s="70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</row>
    <row r="78" ht="15.75" customHeight="1">
      <c r="A78" s="67"/>
      <c r="B78" s="67"/>
      <c r="C78" s="67"/>
      <c r="D78" s="70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</row>
    <row r="79" ht="15.75" customHeight="1">
      <c r="A79" s="67"/>
      <c r="B79" s="67"/>
      <c r="C79" s="67"/>
      <c r="D79" s="70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</row>
    <row r="80" ht="15.75" customHeight="1">
      <c r="A80" s="67"/>
      <c r="B80" s="67"/>
      <c r="C80" s="67"/>
      <c r="D80" s="70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</row>
    <row r="81" ht="15.75" customHeight="1">
      <c r="A81" s="67"/>
      <c r="B81" s="67"/>
      <c r="C81" s="67"/>
      <c r="D81" s="70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</row>
    <row r="82" ht="15.75" customHeight="1">
      <c r="A82" s="67"/>
      <c r="B82" s="67"/>
      <c r="C82" s="67"/>
      <c r="D82" s="70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</row>
    <row r="83" ht="15.75" customHeight="1">
      <c r="A83" s="67"/>
      <c r="B83" s="67"/>
      <c r="C83" s="67"/>
      <c r="D83" s="70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</row>
    <row r="84" ht="15.75" customHeight="1">
      <c r="A84" s="67"/>
      <c r="B84" s="67"/>
      <c r="C84" s="67"/>
      <c r="D84" s="70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</row>
    <row r="85" ht="15.75" customHeight="1">
      <c r="A85" s="67"/>
      <c r="B85" s="67"/>
      <c r="C85" s="67"/>
      <c r="D85" s="70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</row>
    <row r="86" ht="15.75" customHeight="1">
      <c r="A86" s="67"/>
      <c r="B86" s="67"/>
      <c r="C86" s="67"/>
      <c r="D86" s="70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</row>
    <row r="87" ht="15.75" customHeight="1">
      <c r="A87" s="67"/>
      <c r="B87" s="67"/>
      <c r="C87" s="67"/>
      <c r="D87" s="70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</row>
    <row r="88" ht="15.75" customHeight="1">
      <c r="A88" s="67"/>
      <c r="B88" s="67"/>
      <c r="C88" s="67"/>
      <c r="D88" s="70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</row>
    <row r="89" ht="15.75" customHeight="1">
      <c r="A89" s="67"/>
      <c r="B89" s="67"/>
      <c r="C89" s="67"/>
      <c r="D89" s="70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</row>
    <row r="90" ht="15.75" customHeight="1">
      <c r="A90" s="67"/>
      <c r="B90" s="67"/>
      <c r="C90" s="67"/>
      <c r="D90" s="70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</row>
    <row r="91" ht="15.75" customHeight="1">
      <c r="A91" s="67"/>
      <c r="B91" s="67"/>
      <c r="C91" s="67"/>
      <c r="D91" s="70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</row>
    <row r="92" ht="15.75" customHeight="1">
      <c r="A92" s="67"/>
      <c r="B92" s="67"/>
      <c r="C92" s="67"/>
      <c r="D92" s="70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</row>
    <row r="93" ht="15.75" customHeight="1">
      <c r="A93" s="67"/>
      <c r="B93" s="67"/>
      <c r="C93" s="67"/>
      <c r="D93" s="70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</row>
    <row r="94" ht="15.75" customHeight="1">
      <c r="A94" s="67"/>
      <c r="B94" s="67"/>
      <c r="C94" s="67"/>
      <c r="D94" s="70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</row>
    <row r="95" ht="15.75" customHeight="1">
      <c r="A95" s="67"/>
      <c r="B95" s="67"/>
      <c r="C95" s="67"/>
      <c r="D95" s="70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</row>
    <row r="96" ht="15.75" customHeight="1">
      <c r="A96" s="67"/>
      <c r="B96" s="67"/>
      <c r="C96" s="67"/>
      <c r="D96" s="70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</row>
    <row r="97" ht="15.75" customHeight="1">
      <c r="A97" s="67"/>
      <c r="B97" s="67"/>
      <c r="C97" s="67"/>
      <c r="D97" s="70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</row>
    <row r="98" ht="15.75" customHeight="1">
      <c r="A98" s="67"/>
      <c r="B98" s="67"/>
      <c r="C98" s="67"/>
      <c r="D98" s="70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</row>
    <row r="99" ht="15.75" customHeight="1">
      <c r="A99" s="67"/>
      <c r="B99" s="67"/>
      <c r="C99" s="67"/>
      <c r="D99" s="70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</row>
    <row r="100" ht="15.75" customHeight="1">
      <c r="A100" s="67"/>
      <c r="B100" s="67"/>
      <c r="C100" s="67"/>
      <c r="D100" s="70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</row>
    <row r="101" ht="15.75" customHeight="1">
      <c r="A101" s="67"/>
      <c r="B101" s="67"/>
      <c r="C101" s="67"/>
      <c r="D101" s="70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</row>
    <row r="102" ht="15.75" customHeight="1">
      <c r="A102" s="67"/>
      <c r="B102" s="67"/>
      <c r="C102" s="67"/>
      <c r="D102" s="70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</row>
    <row r="103" ht="15.75" customHeight="1">
      <c r="A103" s="67"/>
      <c r="B103" s="67"/>
      <c r="C103" s="67"/>
      <c r="D103" s="70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</row>
    <row r="104" ht="15.75" customHeight="1">
      <c r="A104" s="67"/>
      <c r="B104" s="67"/>
      <c r="C104" s="67"/>
      <c r="D104" s="70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</row>
    <row r="105" ht="15.75" customHeight="1">
      <c r="A105" s="67"/>
      <c r="B105" s="67"/>
      <c r="C105" s="67"/>
      <c r="D105" s="70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</row>
    <row r="106" ht="15.75" customHeight="1">
      <c r="A106" s="67"/>
      <c r="B106" s="67"/>
      <c r="C106" s="67"/>
      <c r="D106" s="70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</row>
    <row r="107" ht="15.75" customHeight="1">
      <c r="A107" s="67"/>
      <c r="B107" s="67"/>
      <c r="C107" s="67"/>
      <c r="D107" s="70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</row>
    <row r="108" ht="15.75" customHeight="1">
      <c r="A108" s="67"/>
      <c r="B108" s="67"/>
      <c r="C108" s="67"/>
      <c r="D108" s="70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</row>
    <row r="109" ht="15.75" customHeight="1">
      <c r="A109" s="67"/>
      <c r="B109" s="67"/>
      <c r="C109" s="67"/>
      <c r="D109" s="70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</row>
    <row r="110" ht="15.75" customHeight="1">
      <c r="A110" s="67"/>
      <c r="B110" s="67"/>
      <c r="C110" s="67"/>
      <c r="D110" s="70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</row>
    <row r="111" ht="15.75" customHeight="1">
      <c r="A111" s="67"/>
      <c r="B111" s="67"/>
      <c r="C111" s="67"/>
      <c r="D111" s="70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</row>
    <row r="112" ht="15.75" customHeight="1">
      <c r="A112" s="67"/>
      <c r="B112" s="67"/>
      <c r="C112" s="67"/>
      <c r="D112" s="70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</row>
    <row r="113" ht="15.75" customHeight="1">
      <c r="A113" s="67"/>
      <c r="B113" s="67"/>
      <c r="C113" s="67"/>
      <c r="D113" s="70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</row>
    <row r="114" ht="15.75" customHeight="1">
      <c r="A114" s="67"/>
      <c r="B114" s="67"/>
      <c r="C114" s="67"/>
      <c r="D114" s="70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</row>
    <row r="115" ht="15.75" customHeight="1">
      <c r="A115" s="67"/>
      <c r="B115" s="67"/>
      <c r="C115" s="67"/>
      <c r="D115" s="70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</row>
    <row r="116" ht="15.75" customHeight="1">
      <c r="A116" s="67"/>
      <c r="B116" s="67"/>
      <c r="C116" s="67"/>
      <c r="D116" s="70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</row>
    <row r="117" ht="15.75" customHeight="1">
      <c r="A117" s="67"/>
      <c r="B117" s="67"/>
      <c r="C117" s="67"/>
      <c r="D117" s="70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</row>
    <row r="118" ht="15.75" customHeight="1">
      <c r="A118" s="67"/>
      <c r="B118" s="67"/>
      <c r="C118" s="67"/>
      <c r="D118" s="70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</row>
    <row r="119" ht="15.75" customHeight="1">
      <c r="A119" s="67"/>
      <c r="B119" s="67"/>
      <c r="C119" s="67"/>
      <c r="D119" s="70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</row>
    <row r="120" ht="15.75" customHeight="1">
      <c r="A120" s="67"/>
      <c r="B120" s="67"/>
      <c r="C120" s="67"/>
      <c r="D120" s="70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</row>
    <row r="121" ht="15.75" customHeight="1">
      <c r="A121" s="67"/>
      <c r="B121" s="67"/>
      <c r="C121" s="67"/>
      <c r="D121" s="70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</row>
    <row r="122" ht="15.75" customHeight="1">
      <c r="A122" s="67"/>
      <c r="B122" s="67"/>
      <c r="C122" s="67"/>
      <c r="D122" s="70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</row>
    <row r="123" ht="15.75" customHeight="1">
      <c r="A123" s="67"/>
      <c r="B123" s="67"/>
      <c r="C123" s="67"/>
      <c r="D123" s="70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</row>
    <row r="124" ht="15.75" customHeight="1">
      <c r="A124" s="67"/>
      <c r="B124" s="67"/>
      <c r="C124" s="67"/>
      <c r="D124" s="70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</row>
    <row r="125" ht="15.75" customHeight="1">
      <c r="A125" s="67"/>
      <c r="B125" s="67"/>
      <c r="C125" s="67"/>
      <c r="D125" s="70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</row>
    <row r="126" ht="15.75" customHeight="1">
      <c r="A126" s="67"/>
      <c r="B126" s="67"/>
      <c r="C126" s="67"/>
      <c r="D126" s="70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</row>
    <row r="127" ht="15.75" customHeight="1">
      <c r="A127" s="67"/>
      <c r="B127" s="67"/>
      <c r="C127" s="67"/>
      <c r="D127" s="70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</row>
    <row r="128" ht="15.75" customHeight="1">
      <c r="A128" s="67"/>
      <c r="B128" s="67"/>
      <c r="C128" s="67"/>
      <c r="D128" s="70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</row>
    <row r="129" ht="15.75" customHeight="1">
      <c r="A129" s="67"/>
      <c r="B129" s="67"/>
      <c r="C129" s="67"/>
      <c r="D129" s="70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</row>
    <row r="130" ht="15.75" customHeight="1">
      <c r="A130" s="67"/>
      <c r="B130" s="67"/>
      <c r="C130" s="67"/>
      <c r="D130" s="70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</row>
    <row r="131" ht="15.75" customHeight="1">
      <c r="A131" s="67"/>
      <c r="B131" s="67"/>
      <c r="C131" s="67"/>
      <c r="D131" s="70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</row>
    <row r="132" ht="15.75" customHeight="1">
      <c r="A132" s="67"/>
      <c r="B132" s="67"/>
      <c r="C132" s="67"/>
      <c r="D132" s="70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</row>
    <row r="133" ht="15.75" customHeight="1">
      <c r="A133" s="67"/>
      <c r="B133" s="67"/>
      <c r="C133" s="67"/>
      <c r="D133" s="70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</row>
    <row r="134" ht="15.75" customHeight="1">
      <c r="A134" s="67"/>
      <c r="B134" s="67"/>
      <c r="C134" s="67"/>
      <c r="D134" s="70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</row>
    <row r="135" ht="15.75" customHeight="1">
      <c r="A135" s="67"/>
      <c r="B135" s="67"/>
      <c r="C135" s="67"/>
      <c r="D135" s="70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</row>
    <row r="136" ht="15.75" customHeight="1">
      <c r="A136" s="67"/>
      <c r="B136" s="67"/>
      <c r="C136" s="67"/>
      <c r="D136" s="70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</row>
    <row r="137" ht="15.75" customHeight="1">
      <c r="A137" s="67"/>
      <c r="B137" s="67"/>
      <c r="C137" s="67"/>
      <c r="D137" s="70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</row>
    <row r="138" ht="15.75" customHeight="1">
      <c r="A138" s="67"/>
      <c r="B138" s="67"/>
      <c r="C138" s="67"/>
      <c r="D138" s="70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</row>
    <row r="139" ht="15.75" customHeight="1">
      <c r="A139" s="67"/>
      <c r="B139" s="67"/>
      <c r="C139" s="67"/>
      <c r="D139" s="70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</row>
    <row r="140" ht="15.75" customHeight="1">
      <c r="A140" s="67"/>
      <c r="B140" s="67"/>
      <c r="C140" s="67"/>
      <c r="D140" s="70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</row>
    <row r="141" ht="15.75" customHeight="1">
      <c r="A141" s="67"/>
      <c r="B141" s="67"/>
      <c r="C141" s="67"/>
      <c r="D141" s="70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</row>
    <row r="142" ht="15.75" customHeight="1">
      <c r="A142" s="67"/>
      <c r="B142" s="67"/>
      <c r="C142" s="67"/>
      <c r="D142" s="70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</row>
    <row r="143" ht="15.75" customHeight="1">
      <c r="A143" s="67"/>
      <c r="B143" s="67"/>
      <c r="C143" s="67"/>
      <c r="D143" s="70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</row>
    <row r="144" ht="15.75" customHeight="1">
      <c r="A144" s="67"/>
      <c r="B144" s="67"/>
      <c r="C144" s="67"/>
      <c r="D144" s="70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</row>
    <row r="145" ht="15.75" customHeight="1">
      <c r="A145" s="67"/>
      <c r="B145" s="67"/>
      <c r="C145" s="67"/>
      <c r="D145" s="70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</row>
    <row r="146" ht="15.75" customHeight="1">
      <c r="A146" s="67"/>
      <c r="B146" s="67"/>
      <c r="C146" s="67"/>
      <c r="D146" s="70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</row>
    <row r="147" ht="15.75" customHeight="1">
      <c r="A147" s="67"/>
      <c r="B147" s="67"/>
      <c r="C147" s="67"/>
      <c r="D147" s="70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</row>
    <row r="148" ht="15.75" customHeight="1">
      <c r="A148" s="67"/>
      <c r="B148" s="67"/>
      <c r="C148" s="67"/>
      <c r="D148" s="70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</row>
    <row r="149" ht="15.75" customHeight="1">
      <c r="A149" s="67"/>
      <c r="B149" s="67"/>
      <c r="C149" s="67"/>
      <c r="D149" s="70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</row>
    <row r="150" ht="15.75" customHeight="1">
      <c r="A150" s="67"/>
      <c r="B150" s="67"/>
      <c r="C150" s="67"/>
      <c r="D150" s="70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</row>
    <row r="151" ht="15.75" customHeight="1">
      <c r="A151" s="67"/>
      <c r="B151" s="67"/>
      <c r="C151" s="67"/>
      <c r="D151" s="70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</row>
    <row r="152" ht="15.75" customHeight="1">
      <c r="A152" s="67"/>
      <c r="B152" s="67"/>
      <c r="C152" s="67"/>
      <c r="D152" s="70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</row>
    <row r="153" ht="15.75" customHeight="1">
      <c r="A153" s="67"/>
      <c r="B153" s="67"/>
      <c r="C153" s="67"/>
      <c r="D153" s="70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</row>
    <row r="154" ht="15.75" customHeight="1">
      <c r="A154" s="67"/>
      <c r="B154" s="67"/>
      <c r="C154" s="67"/>
      <c r="D154" s="70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</row>
    <row r="155" ht="15.75" customHeight="1">
      <c r="A155" s="67"/>
      <c r="B155" s="67"/>
      <c r="C155" s="67"/>
      <c r="D155" s="70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</row>
    <row r="156" ht="15.75" customHeight="1">
      <c r="A156" s="67"/>
      <c r="B156" s="67"/>
      <c r="C156" s="67"/>
      <c r="D156" s="70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</row>
    <row r="157" ht="15.75" customHeight="1">
      <c r="A157" s="67"/>
      <c r="B157" s="67"/>
      <c r="C157" s="67"/>
      <c r="D157" s="70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</row>
    <row r="158" ht="15.75" customHeight="1">
      <c r="A158" s="67"/>
      <c r="B158" s="67"/>
      <c r="C158" s="67"/>
      <c r="D158" s="70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</row>
    <row r="159" ht="15.75" customHeight="1">
      <c r="A159" s="67"/>
      <c r="B159" s="67"/>
      <c r="C159" s="67"/>
      <c r="D159" s="70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</row>
    <row r="160" ht="15.75" customHeight="1">
      <c r="A160" s="67"/>
      <c r="B160" s="67"/>
      <c r="C160" s="67"/>
      <c r="D160" s="70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</row>
    <row r="161" ht="15.75" customHeight="1">
      <c r="A161" s="67"/>
      <c r="B161" s="67"/>
      <c r="C161" s="67"/>
      <c r="D161" s="70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</row>
    <row r="162" ht="15.75" customHeight="1">
      <c r="A162" s="67"/>
      <c r="B162" s="67"/>
      <c r="C162" s="67"/>
      <c r="D162" s="70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</row>
    <row r="163" ht="15.75" customHeight="1">
      <c r="A163" s="67"/>
      <c r="B163" s="67"/>
      <c r="C163" s="67"/>
      <c r="D163" s="70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</row>
    <row r="164" ht="15.75" customHeight="1">
      <c r="A164" s="67"/>
      <c r="B164" s="67"/>
      <c r="C164" s="67"/>
      <c r="D164" s="70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</row>
    <row r="165" ht="15.75" customHeight="1">
      <c r="A165" s="67"/>
      <c r="B165" s="67"/>
      <c r="C165" s="67"/>
      <c r="D165" s="70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</row>
    <row r="166" ht="15.75" customHeight="1">
      <c r="A166" s="67"/>
      <c r="B166" s="67"/>
      <c r="C166" s="67"/>
      <c r="D166" s="70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</row>
    <row r="167" ht="15.75" customHeight="1">
      <c r="A167" s="67"/>
      <c r="B167" s="67"/>
      <c r="C167" s="67"/>
      <c r="D167" s="70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</row>
    <row r="168" ht="15.75" customHeight="1">
      <c r="A168" s="67"/>
      <c r="B168" s="67"/>
      <c r="C168" s="67"/>
      <c r="D168" s="70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</row>
    <row r="169" ht="15.75" customHeight="1">
      <c r="A169" s="67"/>
      <c r="B169" s="67"/>
      <c r="C169" s="67"/>
      <c r="D169" s="70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</row>
    <row r="170" ht="15.75" customHeight="1">
      <c r="A170" s="67"/>
      <c r="B170" s="67"/>
      <c r="C170" s="67"/>
      <c r="D170" s="70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</row>
    <row r="171" ht="15.75" customHeight="1">
      <c r="A171" s="67"/>
      <c r="B171" s="67"/>
      <c r="C171" s="67"/>
      <c r="D171" s="70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</row>
    <row r="172" ht="15.75" customHeight="1">
      <c r="A172" s="67"/>
      <c r="B172" s="67"/>
      <c r="C172" s="67"/>
      <c r="D172" s="70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</row>
    <row r="173" ht="15.75" customHeight="1">
      <c r="A173" s="67"/>
      <c r="B173" s="67"/>
      <c r="C173" s="67"/>
      <c r="D173" s="70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</row>
    <row r="174" ht="15.75" customHeight="1">
      <c r="A174" s="67"/>
      <c r="B174" s="67"/>
      <c r="C174" s="67"/>
      <c r="D174" s="70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</row>
    <row r="175" ht="15.75" customHeight="1">
      <c r="A175" s="67"/>
      <c r="B175" s="67"/>
      <c r="C175" s="67"/>
      <c r="D175" s="70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</row>
    <row r="176" ht="15.75" customHeight="1">
      <c r="A176" s="67"/>
      <c r="B176" s="67"/>
      <c r="C176" s="67"/>
      <c r="D176" s="70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</row>
    <row r="177" ht="15.75" customHeight="1">
      <c r="A177" s="67"/>
      <c r="B177" s="67"/>
      <c r="C177" s="67"/>
      <c r="D177" s="70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</row>
    <row r="178" ht="15.75" customHeight="1">
      <c r="A178" s="67"/>
      <c r="B178" s="67"/>
      <c r="C178" s="67"/>
      <c r="D178" s="70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</row>
    <row r="179" ht="15.75" customHeight="1">
      <c r="A179" s="67"/>
      <c r="B179" s="67"/>
      <c r="C179" s="67"/>
      <c r="D179" s="70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</row>
    <row r="180" ht="15.75" customHeight="1">
      <c r="A180" s="67"/>
      <c r="B180" s="67"/>
      <c r="C180" s="67"/>
      <c r="D180" s="70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</row>
    <row r="181" ht="15.75" customHeight="1">
      <c r="A181" s="67"/>
      <c r="B181" s="67"/>
      <c r="C181" s="67"/>
      <c r="D181" s="70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</row>
    <row r="182" ht="15.75" customHeight="1">
      <c r="A182" s="67"/>
      <c r="B182" s="67"/>
      <c r="C182" s="67"/>
      <c r="D182" s="70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</row>
    <row r="183" ht="15.75" customHeight="1">
      <c r="A183" s="67"/>
      <c r="B183" s="67"/>
      <c r="C183" s="67"/>
      <c r="D183" s="70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</row>
    <row r="184" ht="15.75" customHeight="1">
      <c r="A184" s="67"/>
      <c r="B184" s="67"/>
      <c r="C184" s="67"/>
      <c r="D184" s="70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</row>
    <row r="185" ht="15.75" customHeight="1">
      <c r="A185" s="67"/>
      <c r="B185" s="67"/>
      <c r="C185" s="67"/>
      <c r="D185" s="70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</row>
    <row r="186" ht="15.75" customHeight="1">
      <c r="A186" s="67"/>
      <c r="B186" s="67"/>
      <c r="C186" s="67"/>
      <c r="D186" s="70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</row>
    <row r="187" ht="15.75" customHeight="1">
      <c r="A187" s="67"/>
      <c r="B187" s="67"/>
      <c r="C187" s="67"/>
      <c r="D187" s="70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</row>
    <row r="188" ht="15.75" customHeight="1">
      <c r="A188" s="67"/>
      <c r="B188" s="67"/>
      <c r="C188" s="67"/>
      <c r="D188" s="70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</row>
    <row r="189" ht="15.75" customHeight="1">
      <c r="A189" s="67"/>
      <c r="B189" s="67"/>
      <c r="C189" s="67"/>
      <c r="D189" s="70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</row>
    <row r="190" ht="15.75" customHeight="1">
      <c r="A190" s="67"/>
      <c r="B190" s="67"/>
      <c r="C190" s="67"/>
      <c r="D190" s="70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</row>
    <row r="191" ht="15.75" customHeight="1">
      <c r="A191" s="67"/>
      <c r="B191" s="67"/>
      <c r="C191" s="67"/>
      <c r="D191" s="70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</row>
    <row r="192" ht="15.75" customHeight="1">
      <c r="A192" s="67"/>
      <c r="B192" s="67"/>
      <c r="C192" s="67"/>
      <c r="D192" s="70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</row>
    <row r="193" ht="15.75" customHeight="1">
      <c r="A193" s="67"/>
      <c r="B193" s="67"/>
      <c r="C193" s="67"/>
      <c r="D193" s="70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</row>
    <row r="194" ht="15.75" customHeight="1">
      <c r="A194" s="67"/>
      <c r="B194" s="67"/>
      <c r="C194" s="67"/>
      <c r="D194" s="70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</row>
    <row r="195" ht="15.75" customHeight="1">
      <c r="A195" s="67"/>
      <c r="B195" s="67"/>
      <c r="C195" s="67"/>
      <c r="D195" s="70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</row>
    <row r="196" ht="15.75" customHeight="1">
      <c r="A196" s="67"/>
      <c r="B196" s="67"/>
      <c r="C196" s="67"/>
      <c r="D196" s="70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</row>
    <row r="197" ht="15.75" customHeight="1">
      <c r="A197" s="67"/>
      <c r="B197" s="67"/>
      <c r="C197" s="67"/>
      <c r="D197" s="70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</row>
    <row r="198" ht="15.75" customHeight="1">
      <c r="A198" s="67"/>
      <c r="B198" s="67"/>
      <c r="C198" s="67"/>
      <c r="D198" s="70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</row>
    <row r="199" ht="15.75" customHeight="1">
      <c r="A199" s="67"/>
      <c r="B199" s="67"/>
      <c r="C199" s="67"/>
      <c r="D199" s="70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</row>
    <row r="200" ht="15.75" customHeight="1">
      <c r="A200" s="67"/>
      <c r="B200" s="67"/>
      <c r="C200" s="67"/>
      <c r="D200" s="70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</row>
    <row r="201" ht="15.75" customHeight="1">
      <c r="A201" s="67"/>
      <c r="B201" s="67"/>
      <c r="C201" s="67"/>
      <c r="D201" s="70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</row>
    <row r="202" ht="15.75" customHeight="1">
      <c r="A202" s="67"/>
      <c r="B202" s="67"/>
      <c r="C202" s="67"/>
      <c r="D202" s="70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</row>
    <row r="203" ht="15.75" customHeight="1">
      <c r="A203" s="67"/>
      <c r="B203" s="67"/>
      <c r="C203" s="67"/>
      <c r="D203" s="70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</row>
    <row r="204" ht="15.75" customHeight="1">
      <c r="A204" s="67"/>
      <c r="B204" s="67"/>
      <c r="C204" s="67"/>
      <c r="D204" s="70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</row>
    <row r="205" ht="15.75" customHeight="1">
      <c r="A205" s="67"/>
      <c r="B205" s="67"/>
      <c r="C205" s="67"/>
      <c r="D205" s="70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</row>
    <row r="206" ht="15.75" customHeight="1">
      <c r="A206" s="67"/>
      <c r="B206" s="67"/>
      <c r="C206" s="67"/>
      <c r="D206" s="70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</row>
    <row r="207" ht="15.75" customHeight="1">
      <c r="A207" s="67"/>
      <c r="B207" s="67"/>
      <c r="C207" s="67"/>
      <c r="D207" s="70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</row>
    <row r="208" ht="15.75" customHeight="1">
      <c r="A208" s="67"/>
      <c r="B208" s="67"/>
      <c r="C208" s="67"/>
      <c r="D208" s="70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</row>
    <row r="209" ht="15.75" customHeight="1">
      <c r="A209" s="67"/>
      <c r="B209" s="67"/>
      <c r="C209" s="67"/>
      <c r="D209" s="70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</row>
    <row r="210" ht="15.75" customHeight="1">
      <c r="A210" s="67"/>
      <c r="B210" s="67"/>
      <c r="C210" s="67"/>
      <c r="D210" s="70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</row>
    <row r="211" ht="15.75" customHeight="1">
      <c r="A211" s="67"/>
      <c r="B211" s="67"/>
      <c r="C211" s="67"/>
      <c r="D211" s="70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</row>
    <row r="212" ht="15.75" customHeight="1">
      <c r="A212" s="67"/>
      <c r="B212" s="67"/>
      <c r="C212" s="67"/>
      <c r="D212" s="70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</row>
    <row r="213" ht="15.75" customHeight="1">
      <c r="A213" s="67"/>
      <c r="B213" s="67"/>
      <c r="C213" s="67"/>
      <c r="D213" s="70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</row>
    <row r="214" ht="15.75" customHeight="1">
      <c r="A214" s="67"/>
      <c r="B214" s="67"/>
      <c r="C214" s="67"/>
      <c r="D214" s="70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</row>
    <row r="215" ht="15.75" customHeight="1">
      <c r="A215" s="67"/>
      <c r="B215" s="67"/>
      <c r="C215" s="67"/>
      <c r="D215" s="70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</row>
    <row r="216" ht="15.75" customHeight="1">
      <c r="A216" s="67"/>
      <c r="B216" s="67"/>
      <c r="C216" s="67"/>
      <c r="D216" s="70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</row>
    <row r="217" ht="15.75" customHeight="1">
      <c r="A217" s="67"/>
      <c r="B217" s="67"/>
      <c r="C217" s="67"/>
      <c r="D217" s="70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</row>
    <row r="218" ht="15.75" customHeight="1">
      <c r="A218" s="67"/>
      <c r="B218" s="67"/>
      <c r="C218" s="67"/>
      <c r="D218" s="70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</row>
    <row r="219" ht="15.75" customHeight="1">
      <c r="A219" s="67"/>
      <c r="B219" s="67"/>
      <c r="C219" s="67"/>
      <c r="D219" s="70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</row>
    <row r="220" ht="15.75" customHeight="1">
      <c r="A220" s="67"/>
      <c r="B220" s="67"/>
      <c r="C220" s="67"/>
      <c r="D220" s="70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</row>
    <row r="221" ht="15.75" customHeight="1">
      <c r="A221" s="67"/>
      <c r="B221" s="67"/>
      <c r="C221" s="67"/>
      <c r="D221" s="70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</row>
    <row r="222" ht="15.75" customHeight="1">
      <c r="A222" s="67"/>
      <c r="B222" s="67"/>
      <c r="C222" s="67"/>
      <c r="D222" s="70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</row>
    <row r="223" ht="15.75" customHeight="1">
      <c r="A223" s="67"/>
      <c r="B223" s="67"/>
      <c r="C223" s="67"/>
      <c r="D223" s="70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</row>
    <row r="224" ht="15.75" customHeight="1">
      <c r="A224" s="67"/>
      <c r="B224" s="67"/>
      <c r="C224" s="67"/>
      <c r="D224" s="70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</row>
    <row r="225" ht="15.75" customHeight="1">
      <c r="A225" s="67"/>
      <c r="B225" s="67"/>
      <c r="C225" s="67"/>
      <c r="D225" s="70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</row>
    <row r="226" ht="15.75" customHeight="1">
      <c r="A226" s="67"/>
      <c r="B226" s="67"/>
      <c r="C226" s="67"/>
      <c r="D226" s="70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</row>
    <row r="227" ht="15.75" customHeight="1">
      <c r="A227" s="67"/>
      <c r="B227" s="67"/>
      <c r="C227" s="67"/>
      <c r="D227" s="70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</row>
    <row r="228" ht="15.75" customHeight="1">
      <c r="A228" s="67"/>
      <c r="B228" s="67"/>
      <c r="C228" s="67"/>
      <c r="D228" s="70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</row>
    <row r="229" ht="15.75" customHeight="1">
      <c r="A229" s="67"/>
      <c r="B229" s="67"/>
      <c r="C229" s="67"/>
      <c r="D229" s="70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</row>
    <row r="230" ht="15.75" customHeight="1">
      <c r="A230" s="67"/>
      <c r="B230" s="67"/>
      <c r="C230" s="67"/>
      <c r="D230" s="70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</row>
    <row r="231" ht="15.75" customHeight="1">
      <c r="A231" s="67"/>
      <c r="B231" s="67"/>
      <c r="C231" s="67"/>
      <c r="D231" s="70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</row>
    <row r="232" ht="15.75" customHeight="1">
      <c r="A232" s="67"/>
      <c r="B232" s="67"/>
      <c r="C232" s="67"/>
      <c r="D232" s="70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</row>
    <row r="233" ht="15.75" customHeight="1">
      <c r="A233" s="67"/>
      <c r="B233" s="67"/>
      <c r="C233" s="67"/>
      <c r="D233" s="70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</row>
    <row r="234" ht="15.75" customHeight="1">
      <c r="A234" s="67"/>
      <c r="B234" s="67"/>
      <c r="C234" s="67"/>
      <c r="D234" s="70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</row>
    <row r="235" ht="15.75" customHeight="1">
      <c r="A235" s="67"/>
      <c r="B235" s="67"/>
      <c r="C235" s="67"/>
      <c r="D235" s="70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</row>
    <row r="236" ht="15.75" customHeight="1">
      <c r="A236" s="67"/>
      <c r="B236" s="67"/>
      <c r="C236" s="67"/>
      <c r="D236" s="70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4.25"/>
    <col customWidth="1" min="6" max="6" width="13.88"/>
    <col customWidth="1" min="7" max="7" width="15.88"/>
    <col customWidth="1" min="8" max="8" width="13.75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99" t="s">
        <v>79</v>
      </c>
      <c r="B1" s="99"/>
      <c r="C1" s="99"/>
      <c r="D1" s="100"/>
      <c r="E1" s="99"/>
      <c r="F1" s="101"/>
      <c r="G1" s="102"/>
      <c r="H1" s="103"/>
      <c r="I1" s="103"/>
      <c r="J1" s="104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99"/>
      <c r="B2" s="105" t="s">
        <v>80</v>
      </c>
      <c r="C2" s="106"/>
      <c r="D2" s="106"/>
      <c r="E2" s="106"/>
      <c r="F2" s="106"/>
      <c r="G2" s="106"/>
      <c r="H2" s="106"/>
      <c r="I2" s="106"/>
      <c r="J2" s="106"/>
      <c r="K2" s="107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108"/>
      <c r="B3" s="109" t="s">
        <v>81</v>
      </c>
      <c r="C3" s="106"/>
      <c r="D3" s="106"/>
      <c r="E3" s="106"/>
      <c r="F3" s="106"/>
      <c r="G3" s="106"/>
      <c r="H3" s="106"/>
      <c r="I3" s="106"/>
      <c r="J3" s="106"/>
      <c r="K3" s="107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99"/>
      <c r="B4" s="105" t="s">
        <v>82</v>
      </c>
      <c r="C4" s="106"/>
      <c r="D4" s="106"/>
      <c r="E4" s="106"/>
      <c r="F4" s="106"/>
      <c r="G4" s="106"/>
      <c r="H4" s="106"/>
      <c r="I4" s="106"/>
      <c r="J4" s="106"/>
      <c r="K4" s="107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108"/>
      <c r="B5" s="110" t="s">
        <v>83</v>
      </c>
      <c r="C5" s="111" t="s">
        <v>84</v>
      </c>
      <c r="D5" s="112" t="s">
        <v>85</v>
      </c>
      <c r="E5" s="112" t="s">
        <v>86</v>
      </c>
      <c r="F5" s="112" t="s">
        <v>87</v>
      </c>
      <c r="G5" s="112" t="s">
        <v>88</v>
      </c>
      <c r="H5" s="112" t="s">
        <v>89</v>
      </c>
      <c r="I5" s="112" t="s">
        <v>90</v>
      </c>
      <c r="J5" s="112" t="s">
        <v>91</v>
      </c>
      <c r="K5" s="112" t="s">
        <v>92</v>
      </c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99"/>
      <c r="B6" s="113">
        <v>1.0</v>
      </c>
      <c r="C6" s="114" t="s">
        <v>29</v>
      </c>
      <c r="D6" s="115">
        <v>1057208.389999993</v>
      </c>
      <c r="E6" s="116">
        <v>1.0</v>
      </c>
      <c r="F6" s="117">
        <f t="shared" ref="F6:F27" si="1">D6*E6</f>
        <v>1057208.39</v>
      </c>
      <c r="G6" s="118">
        <v>0.0</v>
      </c>
      <c r="H6" s="118">
        <v>0.0</v>
      </c>
      <c r="I6" s="119">
        <f t="shared" ref="I6:I27" si="2">G6-H6</f>
        <v>0</v>
      </c>
      <c r="J6" s="117">
        <f t="shared" ref="J6:J27" si="3">F6+I6</f>
        <v>1057208.39</v>
      </c>
      <c r="K6" s="120" t="s">
        <v>93</v>
      </c>
      <c r="L6" s="121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99"/>
      <c r="B7" s="113">
        <v>2.0</v>
      </c>
      <c r="C7" s="119" t="s">
        <v>31</v>
      </c>
      <c r="D7" s="117">
        <v>73124.13</v>
      </c>
      <c r="E7" s="116">
        <v>1.0</v>
      </c>
      <c r="F7" s="117">
        <f t="shared" si="1"/>
        <v>73124.13</v>
      </c>
      <c r="G7" s="118">
        <v>0.0</v>
      </c>
      <c r="H7" s="118">
        <v>0.0</v>
      </c>
      <c r="I7" s="119">
        <f t="shared" si="2"/>
        <v>0</v>
      </c>
      <c r="J7" s="117">
        <f t="shared" si="3"/>
        <v>73124.13</v>
      </c>
      <c r="K7" s="120" t="s">
        <v>93</v>
      </c>
      <c r="L7" s="121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121"/>
      <c r="B8" s="113">
        <v>3.0</v>
      </c>
      <c r="C8" s="122" t="s">
        <v>33</v>
      </c>
      <c r="D8" s="115">
        <v>1239057.9299999997</v>
      </c>
      <c r="E8" s="116">
        <v>1.0</v>
      </c>
      <c r="F8" s="117">
        <f t="shared" si="1"/>
        <v>1239057.93</v>
      </c>
      <c r="G8" s="118">
        <v>0.0</v>
      </c>
      <c r="H8" s="118">
        <v>0.0</v>
      </c>
      <c r="I8" s="119">
        <f t="shared" si="2"/>
        <v>0</v>
      </c>
      <c r="J8" s="117">
        <f t="shared" si="3"/>
        <v>1239057.93</v>
      </c>
      <c r="K8" s="123" t="s">
        <v>93</v>
      </c>
      <c r="L8" s="121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99"/>
      <c r="B9" s="113">
        <v>4.0</v>
      </c>
      <c r="C9" s="119" t="s">
        <v>34</v>
      </c>
      <c r="D9" s="117">
        <v>31493.46</v>
      </c>
      <c r="E9" s="116">
        <v>1.0</v>
      </c>
      <c r="F9" s="117">
        <f t="shared" si="1"/>
        <v>31493.46</v>
      </c>
      <c r="G9" s="118">
        <v>0.0</v>
      </c>
      <c r="H9" s="118">
        <v>0.0</v>
      </c>
      <c r="I9" s="119">
        <f t="shared" si="2"/>
        <v>0</v>
      </c>
      <c r="J9" s="117">
        <f t="shared" si="3"/>
        <v>31493.46</v>
      </c>
      <c r="K9" s="120" t="s">
        <v>93</v>
      </c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121"/>
      <c r="B10" s="113">
        <v>5.0</v>
      </c>
      <c r="C10" s="119" t="s">
        <v>35</v>
      </c>
      <c r="D10" s="117">
        <v>208999.86</v>
      </c>
      <c r="E10" s="116">
        <v>1.0</v>
      </c>
      <c r="F10" s="117">
        <f t="shared" si="1"/>
        <v>208999.86</v>
      </c>
      <c r="G10" s="118">
        <v>0.0</v>
      </c>
      <c r="H10" s="118">
        <v>0.0</v>
      </c>
      <c r="I10" s="119">
        <f t="shared" si="2"/>
        <v>0</v>
      </c>
      <c r="J10" s="117">
        <f t="shared" si="3"/>
        <v>208999.86</v>
      </c>
      <c r="K10" s="120" t="s">
        <v>93</v>
      </c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99"/>
      <c r="B11" s="113">
        <v>6.0</v>
      </c>
      <c r="C11" s="114" t="s">
        <v>37</v>
      </c>
      <c r="D11" s="115">
        <v>2415181.73</v>
      </c>
      <c r="E11" s="116">
        <v>1.0</v>
      </c>
      <c r="F11" s="117">
        <f t="shared" si="1"/>
        <v>2415181.73</v>
      </c>
      <c r="G11" s="118">
        <v>0.0</v>
      </c>
      <c r="H11" s="118">
        <v>0.0</v>
      </c>
      <c r="I11" s="119">
        <f t="shared" si="2"/>
        <v>0</v>
      </c>
      <c r="J11" s="117">
        <f t="shared" si="3"/>
        <v>2415181.73</v>
      </c>
      <c r="K11" s="123" t="s">
        <v>94</v>
      </c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108"/>
      <c r="B12" s="113">
        <v>7.0</v>
      </c>
      <c r="C12" s="114" t="s">
        <v>77</v>
      </c>
      <c r="D12" s="115">
        <v>3393431.5</v>
      </c>
      <c r="E12" s="116">
        <v>1.0</v>
      </c>
      <c r="F12" s="117">
        <f t="shared" si="1"/>
        <v>3393431.5</v>
      </c>
      <c r="G12" s="118">
        <v>10993.48</v>
      </c>
      <c r="H12" s="50">
        <v>30.0</v>
      </c>
      <c r="I12" s="119">
        <f t="shared" si="2"/>
        <v>10963.48</v>
      </c>
      <c r="J12" s="117">
        <f t="shared" si="3"/>
        <v>3404394.98</v>
      </c>
      <c r="K12" s="123" t="s">
        <v>95</v>
      </c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99"/>
      <c r="B13" s="113">
        <v>8.0</v>
      </c>
      <c r="C13" s="114" t="s">
        <v>40</v>
      </c>
      <c r="D13" s="115">
        <v>1169752.21</v>
      </c>
      <c r="E13" s="116">
        <v>1.0</v>
      </c>
      <c r="F13" s="117">
        <f t="shared" si="1"/>
        <v>1169752.21</v>
      </c>
      <c r="G13" s="118">
        <v>0.0</v>
      </c>
      <c r="H13" s="118">
        <v>0.0</v>
      </c>
      <c r="I13" s="119">
        <f t="shared" si="2"/>
        <v>0</v>
      </c>
      <c r="J13" s="117">
        <f t="shared" si="3"/>
        <v>1169752.21</v>
      </c>
      <c r="K13" s="120" t="s">
        <v>93</v>
      </c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99"/>
      <c r="B14" s="113">
        <v>9.0</v>
      </c>
      <c r="C14" s="119" t="s">
        <v>41</v>
      </c>
      <c r="D14" s="117">
        <v>564653.8400000004</v>
      </c>
      <c r="E14" s="116">
        <v>1.0</v>
      </c>
      <c r="F14" s="117">
        <f t="shared" si="1"/>
        <v>564653.84</v>
      </c>
      <c r="G14" s="118">
        <v>0.0</v>
      </c>
      <c r="H14" s="118">
        <v>0.0</v>
      </c>
      <c r="I14" s="119">
        <f t="shared" si="2"/>
        <v>0</v>
      </c>
      <c r="J14" s="117">
        <f t="shared" si="3"/>
        <v>564653.84</v>
      </c>
      <c r="K14" s="120" t="s">
        <v>93</v>
      </c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99"/>
      <c r="B15" s="113">
        <v>10.0</v>
      </c>
      <c r="C15" s="114" t="s">
        <v>43</v>
      </c>
      <c r="D15" s="115">
        <v>745578.1000000015</v>
      </c>
      <c r="E15" s="116">
        <v>1.0</v>
      </c>
      <c r="F15" s="117">
        <f t="shared" si="1"/>
        <v>745578.1</v>
      </c>
      <c r="G15" s="118">
        <v>0.0</v>
      </c>
      <c r="H15" s="118">
        <v>0.0</v>
      </c>
      <c r="I15" s="119">
        <f t="shared" si="2"/>
        <v>0</v>
      </c>
      <c r="J15" s="117">
        <f t="shared" si="3"/>
        <v>745578.1</v>
      </c>
      <c r="K15" s="120" t="s">
        <v>93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99"/>
      <c r="B16" s="113">
        <v>11.0</v>
      </c>
      <c r="C16" s="119" t="s">
        <v>44</v>
      </c>
      <c r="D16" s="117">
        <v>11745.64</v>
      </c>
      <c r="E16" s="116">
        <v>1.0</v>
      </c>
      <c r="F16" s="117">
        <f t="shared" si="1"/>
        <v>11745.64</v>
      </c>
      <c r="G16" s="118">
        <v>0.0</v>
      </c>
      <c r="H16" s="118">
        <v>0.0</v>
      </c>
      <c r="I16" s="119">
        <f t="shared" si="2"/>
        <v>0</v>
      </c>
      <c r="J16" s="117">
        <f t="shared" si="3"/>
        <v>11745.64</v>
      </c>
      <c r="K16" s="120" t="s">
        <v>93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99"/>
      <c r="B17" s="113">
        <v>12.0</v>
      </c>
      <c r="C17" s="122" t="s">
        <v>45</v>
      </c>
      <c r="D17" s="124">
        <v>158755.70999999996</v>
      </c>
      <c r="E17" s="116">
        <v>1.0</v>
      </c>
      <c r="F17" s="117">
        <f t="shared" si="1"/>
        <v>158755.71</v>
      </c>
      <c r="G17" s="118">
        <v>0.0</v>
      </c>
      <c r="H17" s="118">
        <v>0.0</v>
      </c>
      <c r="I17" s="119">
        <f t="shared" si="2"/>
        <v>0</v>
      </c>
      <c r="J17" s="117">
        <f t="shared" si="3"/>
        <v>158755.71</v>
      </c>
      <c r="K17" s="123" t="s">
        <v>96</v>
      </c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99"/>
      <c r="B18" s="113">
        <v>13.0</v>
      </c>
      <c r="C18" s="122" t="s">
        <v>46</v>
      </c>
      <c r="D18" s="124">
        <v>126159.61999999918</v>
      </c>
      <c r="E18" s="116">
        <v>1.0</v>
      </c>
      <c r="F18" s="117">
        <f t="shared" si="1"/>
        <v>126159.62</v>
      </c>
      <c r="G18" s="50">
        <v>5000000.0</v>
      </c>
      <c r="H18" s="118">
        <v>0.0</v>
      </c>
      <c r="I18" s="119">
        <f t="shared" si="2"/>
        <v>5000000</v>
      </c>
      <c r="J18" s="117">
        <f t="shared" si="3"/>
        <v>5126159.62</v>
      </c>
      <c r="K18" s="123" t="s">
        <v>96</v>
      </c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99"/>
      <c r="B19" s="113">
        <v>14.0</v>
      </c>
      <c r="C19" s="119" t="s">
        <v>47</v>
      </c>
      <c r="D19" s="117">
        <v>5687.28</v>
      </c>
      <c r="E19" s="116">
        <v>1.0</v>
      </c>
      <c r="F19" s="117">
        <f t="shared" si="1"/>
        <v>5687.28</v>
      </c>
      <c r="G19" s="118">
        <v>0.0</v>
      </c>
      <c r="H19" s="118">
        <v>0.0</v>
      </c>
      <c r="I19" s="119">
        <f t="shared" si="2"/>
        <v>0</v>
      </c>
      <c r="J19" s="117">
        <f t="shared" si="3"/>
        <v>5687.28</v>
      </c>
      <c r="K19" s="120" t="s">
        <v>93</v>
      </c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0.75" customHeight="1">
      <c r="A20" s="99"/>
      <c r="B20" s="113">
        <v>15.0</v>
      </c>
      <c r="C20" s="122" t="s">
        <v>48</v>
      </c>
      <c r="D20" s="125">
        <v>1.2191757470000006E7</v>
      </c>
      <c r="E20" s="116">
        <v>1.0</v>
      </c>
      <c r="F20" s="117">
        <f t="shared" si="1"/>
        <v>12191757.47</v>
      </c>
      <c r="G20" s="126">
        <v>2.7756E7</v>
      </c>
      <c r="H20" s="126">
        <v>2.27317806E7</v>
      </c>
      <c r="I20" s="119">
        <f t="shared" si="2"/>
        <v>5024219.4</v>
      </c>
      <c r="J20" s="117">
        <f t="shared" si="3"/>
        <v>17215976.87</v>
      </c>
      <c r="K20" s="123" t="s">
        <v>97</v>
      </c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21.75" customHeight="1">
      <c r="A21" s="108"/>
      <c r="B21" s="113">
        <v>16.0</v>
      </c>
      <c r="C21" s="122" t="s">
        <v>49</v>
      </c>
      <c r="D21" s="125">
        <v>3826693.0100000002</v>
      </c>
      <c r="E21" s="116">
        <v>1.0</v>
      </c>
      <c r="F21" s="117">
        <f t="shared" si="1"/>
        <v>3826693.01</v>
      </c>
      <c r="G21" s="118">
        <v>0.0</v>
      </c>
      <c r="H21" s="126">
        <v>472295.85</v>
      </c>
      <c r="I21" s="119">
        <f t="shared" si="2"/>
        <v>-472295.85</v>
      </c>
      <c r="J21" s="117">
        <f t="shared" si="3"/>
        <v>3354397.16</v>
      </c>
      <c r="K21" s="127" t="s">
        <v>98</v>
      </c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4.5" customHeight="1">
      <c r="A22" s="121" t="s">
        <v>99</v>
      </c>
      <c r="B22" s="113">
        <v>17.0</v>
      </c>
      <c r="C22" s="114" t="s">
        <v>50</v>
      </c>
      <c r="D22" s="128">
        <v>7.44101801E7</v>
      </c>
      <c r="E22" s="116">
        <v>1.0</v>
      </c>
      <c r="F22" s="117">
        <f t="shared" si="1"/>
        <v>74410180.1</v>
      </c>
      <c r="G22" s="118">
        <v>4.7763278E7</v>
      </c>
      <c r="H22" s="118">
        <v>4.669975655E7</v>
      </c>
      <c r="I22" s="119">
        <f t="shared" si="2"/>
        <v>1063521.45</v>
      </c>
      <c r="J22" s="117">
        <f t="shared" si="3"/>
        <v>75473701.55</v>
      </c>
      <c r="K22" s="123" t="s">
        <v>100</v>
      </c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21.0" customHeight="1">
      <c r="A23" s="121"/>
      <c r="B23" s="113">
        <v>18.0</v>
      </c>
      <c r="C23" s="114" t="s">
        <v>51</v>
      </c>
      <c r="D23" s="129">
        <v>262736.66</v>
      </c>
      <c r="E23" s="116">
        <v>1.0</v>
      </c>
      <c r="F23" s="117">
        <f t="shared" si="1"/>
        <v>262736.66</v>
      </c>
      <c r="G23" s="118">
        <v>0.0</v>
      </c>
      <c r="H23" s="118">
        <v>0.0</v>
      </c>
      <c r="I23" s="119">
        <f t="shared" si="2"/>
        <v>0</v>
      </c>
      <c r="J23" s="117">
        <f t="shared" si="3"/>
        <v>262736.66</v>
      </c>
      <c r="K23" s="127" t="s">
        <v>101</v>
      </c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25.5" customHeight="1">
      <c r="A24" s="99"/>
      <c r="B24" s="113">
        <v>19.0</v>
      </c>
      <c r="C24" s="119" t="s">
        <v>102</v>
      </c>
      <c r="D24" s="117">
        <v>101797.4</v>
      </c>
      <c r="E24" s="116">
        <v>1.0</v>
      </c>
      <c r="F24" s="117">
        <f t="shared" si="1"/>
        <v>101797.4</v>
      </c>
      <c r="G24" s="118">
        <v>0.0</v>
      </c>
      <c r="H24" s="118">
        <v>0.0</v>
      </c>
      <c r="I24" s="119">
        <f t="shared" si="2"/>
        <v>0</v>
      </c>
      <c r="J24" s="117">
        <f t="shared" si="3"/>
        <v>101797.4</v>
      </c>
      <c r="K24" s="120" t="s">
        <v>93</v>
      </c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22.5" customHeight="1">
      <c r="A25" s="121"/>
      <c r="B25" s="113">
        <v>20.0</v>
      </c>
      <c r="C25" s="114" t="s">
        <v>103</v>
      </c>
      <c r="D25" s="130">
        <v>972011.85</v>
      </c>
      <c r="E25" s="116">
        <v>1.0</v>
      </c>
      <c r="F25" s="117">
        <f t="shared" si="1"/>
        <v>972011.85</v>
      </c>
      <c r="G25" s="50">
        <v>1500000.0</v>
      </c>
      <c r="H25" s="50">
        <v>868500.0</v>
      </c>
      <c r="I25" s="119">
        <f t="shared" si="2"/>
        <v>631500</v>
      </c>
      <c r="J25" s="117">
        <f t="shared" si="3"/>
        <v>1603511.85</v>
      </c>
      <c r="K25" s="123" t="s">
        <v>104</v>
      </c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22.5" customHeight="1">
      <c r="A26" s="99"/>
      <c r="B26" s="113">
        <v>21.0</v>
      </c>
      <c r="C26" s="119" t="s">
        <v>53</v>
      </c>
      <c r="D26" s="117">
        <v>990050.45</v>
      </c>
      <c r="E26" s="116">
        <v>1.0</v>
      </c>
      <c r="F26" s="117">
        <f t="shared" si="1"/>
        <v>990050.45</v>
      </c>
      <c r="G26" s="118">
        <v>0.0</v>
      </c>
      <c r="H26" s="118">
        <v>0.0</v>
      </c>
      <c r="I26" s="119">
        <f t="shared" si="2"/>
        <v>0</v>
      </c>
      <c r="J26" s="117">
        <f t="shared" si="3"/>
        <v>990050.45</v>
      </c>
      <c r="K26" s="120" t="s">
        <v>93</v>
      </c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25.5" customHeight="1">
      <c r="A27" s="99"/>
      <c r="B27" s="113">
        <v>22.0</v>
      </c>
      <c r="C27" s="131" t="s">
        <v>105</v>
      </c>
      <c r="D27" s="117">
        <v>0.0</v>
      </c>
      <c r="E27" s="116">
        <v>1.0</v>
      </c>
      <c r="F27" s="117">
        <f t="shared" si="1"/>
        <v>0</v>
      </c>
      <c r="G27" s="118">
        <v>0.0</v>
      </c>
      <c r="H27" s="118">
        <v>0.0</v>
      </c>
      <c r="I27" s="119">
        <f t="shared" si="2"/>
        <v>0</v>
      </c>
      <c r="J27" s="117">
        <f t="shared" si="3"/>
        <v>0</v>
      </c>
      <c r="K27" s="120" t="s">
        <v>93</v>
      </c>
      <c r="L27" s="99"/>
      <c r="M27" s="108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21.0" customHeight="1">
      <c r="A28" s="121"/>
      <c r="B28" s="132"/>
      <c r="C28" s="133" t="s">
        <v>106</v>
      </c>
      <c r="D28" s="134">
        <f>SUM(D6:D27)</f>
        <v>103956056.3</v>
      </c>
      <c r="E28" s="135"/>
      <c r="F28" s="136">
        <f t="shared" ref="F28:J28" si="4">SUM(F6:F27)</f>
        <v>103956056.3</v>
      </c>
      <c r="G28" s="136">
        <f t="shared" si="4"/>
        <v>82030271.48</v>
      </c>
      <c r="H28" s="136">
        <f t="shared" si="4"/>
        <v>70772363</v>
      </c>
      <c r="I28" s="136">
        <f t="shared" si="4"/>
        <v>11257908.48</v>
      </c>
      <c r="J28" s="136">
        <f t="shared" si="4"/>
        <v>115213964.8</v>
      </c>
      <c r="K28" s="120" t="s">
        <v>93</v>
      </c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5.75" customHeight="1">
      <c r="A29" s="99"/>
      <c r="B29" s="137"/>
      <c r="C29" s="138"/>
      <c r="D29" s="139"/>
      <c r="E29" s="116"/>
      <c r="F29" s="140"/>
      <c r="G29" s="141"/>
      <c r="H29" s="141"/>
      <c r="I29" s="141"/>
      <c r="J29" s="142"/>
      <c r="K29" s="120"/>
      <c r="L29" s="99"/>
      <c r="M29" s="143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21.0" customHeight="1">
      <c r="A30" s="99"/>
      <c r="B30" s="137"/>
      <c r="C30" s="119" t="s">
        <v>57</v>
      </c>
      <c r="D30" s="144">
        <v>2525.0</v>
      </c>
      <c r="E30" s="145">
        <v>1844.24</v>
      </c>
      <c r="F30" s="141">
        <f t="shared" ref="F30:F38" si="5">D30*E30</f>
        <v>4656706</v>
      </c>
      <c r="G30" s="141">
        <v>0.0</v>
      </c>
      <c r="H30" s="141">
        <v>0.0</v>
      </c>
      <c r="I30" s="141">
        <f t="shared" ref="I30:I38" si="6">G30-H30</f>
        <v>0</v>
      </c>
      <c r="J30" s="117">
        <f t="shared" ref="J30:J38" si="7">F30+I30</f>
        <v>4656706</v>
      </c>
      <c r="K30" s="123" t="s">
        <v>93</v>
      </c>
      <c r="L30" s="108"/>
      <c r="M30" s="121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21.0" customHeight="1">
      <c r="A31" s="99"/>
      <c r="B31" s="113">
        <v>23.0</v>
      </c>
      <c r="C31" s="146" t="s">
        <v>107</v>
      </c>
      <c r="D31" s="147">
        <v>5465.720000000001</v>
      </c>
      <c r="E31" s="145">
        <v>1353.01</v>
      </c>
      <c r="F31" s="141">
        <f t="shared" si="5"/>
        <v>7395173.817</v>
      </c>
      <c r="G31" s="141">
        <f>390.14*E31
</f>
        <v>527863.3214</v>
      </c>
      <c r="H31" s="141">
        <v>0.0</v>
      </c>
      <c r="I31" s="141">
        <f t="shared" si="6"/>
        <v>527863.3214</v>
      </c>
      <c r="J31" s="117">
        <f t="shared" si="7"/>
        <v>7923037.139</v>
      </c>
      <c r="K31" s="123" t="s">
        <v>108</v>
      </c>
      <c r="L31" s="108"/>
      <c r="M31" s="121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21.0" customHeight="1">
      <c r="A32" s="99"/>
      <c r="B32" s="113">
        <v>24.0</v>
      </c>
      <c r="C32" s="148" t="s">
        <v>56</v>
      </c>
      <c r="D32" s="149">
        <v>6946.0</v>
      </c>
      <c r="E32" s="145">
        <f t="shared" ref="E32:E39" si="8">$E$31</f>
        <v>1353.01</v>
      </c>
      <c r="F32" s="141">
        <f t="shared" si="5"/>
        <v>9398007.46</v>
      </c>
      <c r="G32" s="141">
        <v>0.0</v>
      </c>
      <c r="H32" s="141">
        <f>1000*E32</f>
        <v>1353010</v>
      </c>
      <c r="I32" s="141">
        <f t="shared" si="6"/>
        <v>-1353010</v>
      </c>
      <c r="J32" s="117">
        <f t="shared" si="7"/>
        <v>8044997.46</v>
      </c>
      <c r="K32" s="123" t="s">
        <v>109</v>
      </c>
      <c r="L32" s="108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23.25" customHeight="1">
      <c r="A33" s="99"/>
      <c r="B33" s="113">
        <v>26.0</v>
      </c>
      <c r="C33" s="119" t="s">
        <v>58</v>
      </c>
      <c r="D33" s="150">
        <v>0.0</v>
      </c>
      <c r="E33" s="145">
        <f t="shared" si="8"/>
        <v>1353.01</v>
      </c>
      <c r="F33" s="141">
        <f t="shared" si="5"/>
        <v>0</v>
      </c>
      <c r="G33" s="141">
        <v>0.0</v>
      </c>
      <c r="H33" s="141">
        <v>0.0</v>
      </c>
      <c r="I33" s="141">
        <f t="shared" si="6"/>
        <v>0</v>
      </c>
      <c r="J33" s="117">
        <f t="shared" si="7"/>
        <v>0</v>
      </c>
      <c r="K33" s="120" t="s">
        <v>110</v>
      </c>
      <c r="L33" s="108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24.0" customHeight="1">
      <c r="A34" s="99"/>
      <c r="B34" s="113">
        <v>27.0</v>
      </c>
      <c r="C34" s="122" t="s">
        <v>111</v>
      </c>
      <c r="D34" s="151">
        <v>94121.15999999999</v>
      </c>
      <c r="E34" s="145">
        <f t="shared" si="8"/>
        <v>1353.01</v>
      </c>
      <c r="F34" s="141">
        <f t="shared" si="5"/>
        <v>127346870.7</v>
      </c>
      <c r="G34" s="141">
        <f>17000*E34</f>
        <v>23001170</v>
      </c>
      <c r="H34" s="141">
        <v>0.0</v>
      </c>
      <c r="I34" s="141">
        <f t="shared" si="6"/>
        <v>23001170</v>
      </c>
      <c r="J34" s="117">
        <f t="shared" si="7"/>
        <v>150348040.7</v>
      </c>
      <c r="K34" s="123" t="s">
        <v>112</v>
      </c>
      <c r="L34" s="108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21.0" customHeight="1">
      <c r="A35" s="99"/>
      <c r="B35" s="113">
        <v>28.0</v>
      </c>
      <c r="C35" s="122" t="s">
        <v>113</v>
      </c>
      <c r="D35" s="151">
        <v>14997.94</v>
      </c>
      <c r="E35" s="145">
        <f t="shared" si="8"/>
        <v>1353.01</v>
      </c>
      <c r="F35" s="141">
        <f t="shared" si="5"/>
        <v>20292362.8</v>
      </c>
      <c r="G35" s="141">
        <f>119.27*E35
</f>
        <v>161373.5027</v>
      </c>
      <c r="H35" s="141">
        <f>2880.11*E35
</f>
        <v>3896817.631</v>
      </c>
      <c r="I35" s="141">
        <f t="shared" si="6"/>
        <v>-3735444.128</v>
      </c>
      <c r="J35" s="117">
        <f t="shared" si="7"/>
        <v>16556918.67</v>
      </c>
      <c r="K35" s="123" t="s">
        <v>114</v>
      </c>
      <c r="L35" s="108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21.75" customHeight="1">
      <c r="A36" s="99"/>
      <c r="B36" s="113">
        <v>30.0</v>
      </c>
      <c r="C36" s="114" t="s">
        <v>37</v>
      </c>
      <c r="D36" s="151">
        <v>47346.37999999999</v>
      </c>
      <c r="E36" s="145">
        <f t="shared" si="8"/>
        <v>1353.01</v>
      </c>
      <c r="F36" s="141">
        <f t="shared" si="5"/>
        <v>64060125.6</v>
      </c>
      <c r="G36" s="141">
        <v>0.0</v>
      </c>
      <c r="H36" s="141">
        <v>0.0</v>
      </c>
      <c r="I36" s="141">
        <f t="shared" si="6"/>
        <v>0</v>
      </c>
      <c r="J36" s="117">
        <f t="shared" si="7"/>
        <v>64060125.6</v>
      </c>
      <c r="K36" s="123" t="s">
        <v>94</v>
      </c>
      <c r="L36" s="108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21.0" customHeight="1">
      <c r="A37" s="99"/>
      <c r="B37" s="113">
        <v>31.0</v>
      </c>
      <c r="C37" s="114" t="s">
        <v>61</v>
      </c>
      <c r="D37" s="151">
        <v>13405.910000000002</v>
      </c>
      <c r="E37" s="145">
        <f t="shared" si="8"/>
        <v>1353.01</v>
      </c>
      <c r="F37" s="141">
        <f t="shared" si="5"/>
        <v>18138330.29</v>
      </c>
      <c r="G37" s="141">
        <v>0.0</v>
      </c>
      <c r="H37" s="141">
        <v>0.0</v>
      </c>
      <c r="I37" s="141">
        <f t="shared" si="6"/>
        <v>0</v>
      </c>
      <c r="J37" s="117">
        <f t="shared" si="7"/>
        <v>18138330.29</v>
      </c>
      <c r="K37" s="123" t="s">
        <v>110</v>
      </c>
      <c r="L37" s="108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22.5" customHeight="1">
      <c r="A38" s="99"/>
      <c r="B38" s="113">
        <v>32.0</v>
      </c>
      <c r="C38" s="152" t="s">
        <v>62</v>
      </c>
      <c r="D38" s="151">
        <v>21040.260000000002</v>
      </c>
      <c r="E38" s="145">
        <f t="shared" si="8"/>
        <v>1353.01</v>
      </c>
      <c r="F38" s="141">
        <f t="shared" si="5"/>
        <v>28467682.18</v>
      </c>
      <c r="G38" s="141">
        <f>38422*E38
</f>
        <v>51985350.22</v>
      </c>
      <c r="H38" s="141">
        <v>0.0</v>
      </c>
      <c r="I38" s="141">
        <f t="shared" si="6"/>
        <v>51985350.22</v>
      </c>
      <c r="J38" s="117">
        <f t="shared" si="7"/>
        <v>80453032.4</v>
      </c>
      <c r="K38" s="123" t="s">
        <v>115</v>
      </c>
      <c r="L38" s="108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5.75" customHeight="1">
      <c r="A39" s="99"/>
      <c r="B39" s="153" t="s">
        <v>116</v>
      </c>
      <c r="C39" s="107"/>
      <c r="D39" s="154">
        <f>SUM(D31:D38)</f>
        <v>203323.37</v>
      </c>
      <c r="E39" s="145">
        <f t="shared" si="8"/>
        <v>1353.01</v>
      </c>
      <c r="F39" s="136">
        <f t="shared" ref="F39:J39" si="9">SUM(F31:F38)</f>
        <v>275098552.8</v>
      </c>
      <c r="G39" s="155">
        <f t="shared" si="9"/>
        <v>75675757.04</v>
      </c>
      <c r="H39" s="155">
        <f t="shared" si="9"/>
        <v>5249827.631</v>
      </c>
      <c r="I39" s="136">
        <f t="shared" si="9"/>
        <v>70425929.41</v>
      </c>
      <c r="J39" s="156">
        <f t="shared" si="9"/>
        <v>345524482.3</v>
      </c>
      <c r="K39" s="157"/>
      <c r="L39" s="108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5.75" customHeight="1">
      <c r="A40" s="99"/>
      <c r="B40" s="158"/>
      <c r="C40" s="158"/>
      <c r="D40" s="103"/>
      <c r="E40" s="159"/>
      <c r="F40" s="159"/>
      <c r="G40" s="159"/>
      <c r="H40" s="160"/>
      <c r="I40" s="160">
        <f>I39+I28</f>
        <v>81683837.89</v>
      </c>
      <c r="J40" s="103"/>
      <c r="K40" s="161"/>
      <c r="L40" s="108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5.75" customHeight="1">
      <c r="A41" s="99"/>
      <c r="B41" s="158"/>
      <c r="C41" s="158"/>
      <c r="D41" s="162"/>
      <c r="E41" s="108"/>
      <c r="F41" s="163"/>
      <c r="G41" s="158"/>
      <c r="H41" s="158"/>
      <c r="I41" s="160">
        <f>'Breakdown of Income and Expendi'!C22</f>
        <v>81683837.89</v>
      </c>
      <c r="J41" s="159"/>
      <c r="K41" s="161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5.75" customHeight="1">
      <c r="A42" s="99"/>
      <c r="B42" s="158"/>
      <c r="C42" s="158"/>
      <c r="D42" s="99"/>
      <c r="E42" s="158"/>
      <c r="F42" s="158"/>
      <c r="G42" s="158"/>
      <c r="H42" s="99"/>
      <c r="I42" s="99"/>
      <c r="J42" s="99"/>
      <c r="K42" s="161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5.75" customHeight="1">
      <c r="A43" s="99"/>
      <c r="B43" s="164" t="s">
        <v>117</v>
      </c>
      <c r="C43" s="106"/>
      <c r="D43" s="106"/>
      <c r="E43" s="106"/>
      <c r="F43" s="106"/>
      <c r="G43" s="106"/>
      <c r="H43" s="106"/>
      <c r="I43" s="106"/>
      <c r="J43" s="107"/>
      <c r="K43" s="165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21.0" customHeight="1">
      <c r="A44" s="99"/>
      <c r="B44" s="166"/>
      <c r="C44" s="167" t="s">
        <v>118</v>
      </c>
      <c r="D44" s="168" t="s">
        <v>119</v>
      </c>
      <c r="E44" s="168" t="s">
        <v>86</v>
      </c>
      <c r="F44" s="168" t="s">
        <v>87</v>
      </c>
      <c r="G44" s="168" t="s">
        <v>88</v>
      </c>
      <c r="H44" s="168" t="s">
        <v>89</v>
      </c>
      <c r="I44" s="168" t="s">
        <v>90</v>
      </c>
      <c r="J44" s="168" t="s">
        <v>91</v>
      </c>
      <c r="K44" s="169" t="s">
        <v>120</v>
      </c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15.75" customHeight="1">
      <c r="A45" s="99"/>
      <c r="B45" s="170">
        <v>29.0</v>
      </c>
      <c r="C45" s="171" t="s">
        <v>121</v>
      </c>
      <c r="D45" s="172">
        <v>7359160.54</v>
      </c>
      <c r="E45" s="173">
        <v>1.0</v>
      </c>
      <c r="F45" s="174">
        <f t="shared" ref="F45:F49" si="10">D45*E45</f>
        <v>7359160.54</v>
      </c>
      <c r="G45" s="174">
        <v>0.0</v>
      </c>
      <c r="H45" s="175">
        <v>0.0</v>
      </c>
      <c r="I45" s="174">
        <f t="shared" ref="I45:I49" si="11">G45-H45</f>
        <v>0</v>
      </c>
      <c r="J45" s="174">
        <f t="shared" ref="J45:J49" si="12">F45+G45-H45</f>
        <v>7359160.54</v>
      </c>
      <c r="K45" s="176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15.75" customHeight="1">
      <c r="A46" s="99"/>
      <c r="B46" s="170">
        <f>B45+1</f>
        <v>30</v>
      </c>
      <c r="C46" s="171" t="s">
        <v>122</v>
      </c>
      <c r="D46" s="177">
        <f>253626188.2-250000000</f>
        <v>3626188.2</v>
      </c>
      <c r="E46" s="173">
        <v>1.0</v>
      </c>
      <c r="F46" s="174">
        <f t="shared" si="10"/>
        <v>3626188.2</v>
      </c>
      <c r="G46" s="174">
        <v>0.0</v>
      </c>
      <c r="H46" s="175">
        <v>0.0</v>
      </c>
      <c r="I46" s="174">
        <f t="shared" si="11"/>
        <v>0</v>
      </c>
      <c r="J46" s="174">
        <f t="shared" si="12"/>
        <v>3626188.2</v>
      </c>
      <c r="K46" s="176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15.75" customHeight="1">
      <c r="A47" s="99"/>
      <c r="B47" s="170">
        <v>32.0</v>
      </c>
      <c r="C47" s="171" t="s">
        <v>123</v>
      </c>
      <c r="D47" s="178">
        <v>7465231.42</v>
      </c>
      <c r="E47" s="173">
        <v>1.0</v>
      </c>
      <c r="F47" s="174">
        <f t="shared" si="10"/>
        <v>7465231.42</v>
      </c>
      <c r="G47" s="174">
        <v>0.0</v>
      </c>
      <c r="H47" s="175">
        <v>0.0</v>
      </c>
      <c r="I47" s="174">
        <f t="shared" si="11"/>
        <v>0</v>
      </c>
      <c r="J47" s="174">
        <f t="shared" si="12"/>
        <v>7465231.42</v>
      </c>
      <c r="K47" s="176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15.75" customHeight="1">
      <c r="A48" s="99"/>
      <c r="B48" s="170">
        <v>33.0</v>
      </c>
      <c r="C48" s="171" t="s">
        <v>122</v>
      </c>
      <c r="D48" s="179">
        <v>6.87448651E7</v>
      </c>
      <c r="E48" s="173">
        <v>1.0</v>
      </c>
      <c r="F48" s="174">
        <f t="shared" si="10"/>
        <v>68744865.1</v>
      </c>
      <c r="G48" s="174">
        <v>0.0</v>
      </c>
      <c r="H48" s="175">
        <v>0.0</v>
      </c>
      <c r="I48" s="174">
        <f t="shared" si="11"/>
        <v>0</v>
      </c>
      <c r="J48" s="174">
        <f t="shared" si="12"/>
        <v>68744865.1</v>
      </c>
      <c r="K48" s="180" t="s">
        <v>124</v>
      </c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15.75" customHeight="1">
      <c r="A49" s="99"/>
      <c r="B49" s="170">
        <f>B48+1</f>
        <v>34</v>
      </c>
      <c r="C49" s="171" t="s">
        <v>121</v>
      </c>
      <c r="D49" s="179">
        <v>3.15336669E7</v>
      </c>
      <c r="E49" s="173">
        <v>1.0</v>
      </c>
      <c r="F49" s="174">
        <f t="shared" si="10"/>
        <v>31533666.9</v>
      </c>
      <c r="G49" s="174">
        <v>0.0</v>
      </c>
      <c r="H49" s="175">
        <v>0.0</v>
      </c>
      <c r="I49" s="174">
        <f t="shared" si="11"/>
        <v>0</v>
      </c>
      <c r="J49" s="174">
        <f t="shared" si="12"/>
        <v>31533666.9</v>
      </c>
      <c r="K49" s="180" t="s">
        <v>124</v>
      </c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15.75" customHeight="1">
      <c r="A50" s="99"/>
      <c r="B50" s="181" t="s">
        <v>125</v>
      </c>
      <c r="C50" s="182"/>
      <c r="D50" s="182"/>
      <c r="E50" s="183"/>
      <c r="F50" s="184">
        <f t="shared" ref="F50:J50" si="13">SUM(F45:F49)</f>
        <v>118729112.2</v>
      </c>
      <c r="G50" s="184">
        <f t="shared" si="13"/>
        <v>0</v>
      </c>
      <c r="H50" s="184">
        <f t="shared" si="13"/>
        <v>0</v>
      </c>
      <c r="I50" s="184">
        <f t="shared" si="13"/>
        <v>0</v>
      </c>
      <c r="J50" s="184">
        <f t="shared" si="13"/>
        <v>118729112.2</v>
      </c>
      <c r="K50" s="176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15.75" customHeight="1">
      <c r="A51" s="99"/>
      <c r="B51" s="99"/>
      <c r="C51" s="99"/>
      <c r="D51" s="99"/>
      <c r="E51" s="108"/>
      <c r="F51" s="99"/>
      <c r="G51" s="99"/>
      <c r="H51" s="99"/>
      <c r="I51" s="99"/>
      <c r="J51" s="108"/>
      <c r="K51" s="10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15.75" customHeight="1">
      <c r="A52" s="99"/>
      <c r="B52" s="99"/>
      <c r="C52" s="99"/>
      <c r="D52" s="99"/>
      <c r="E52" s="99"/>
      <c r="F52" s="99"/>
      <c r="G52" s="99"/>
      <c r="H52" s="99"/>
      <c r="I52" s="108"/>
      <c r="J52" s="99"/>
      <c r="K52" s="161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15.75" customHeight="1">
      <c r="A53" s="99"/>
      <c r="B53" s="105" t="s">
        <v>126</v>
      </c>
      <c r="C53" s="106"/>
      <c r="D53" s="106"/>
      <c r="E53" s="106"/>
      <c r="F53" s="106"/>
      <c r="G53" s="106"/>
      <c r="H53" s="106"/>
      <c r="I53" s="106"/>
      <c r="J53" s="107"/>
      <c r="K53" s="165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22.5" customHeight="1">
      <c r="A54" s="99"/>
      <c r="B54" s="185"/>
      <c r="C54" s="186" t="s">
        <v>118</v>
      </c>
      <c r="D54" s="112" t="s">
        <v>127</v>
      </c>
      <c r="E54" s="187" t="s">
        <v>128</v>
      </c>
      <c r="F54" s="187" t="s">
        <v>89</v>
      </c>
      <c r="G54" s="187" t="s">
        <v>90</v>
      </c>
      <c r="H54" s="187" t="s">
        <v>91</v>
      </c>
      <c r="I54" s="188" t="s">
        <v>120</v>
      </c>
      <c r="J54" s="187" t="s">
        <v>129</v>
      </c>
      <c r="K54" s="187" t="s">
        <v>130</v>
      </c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15.75" customHeight="1">
      <c r="A55" s="99"/>
      <c r="B55" s="170"/>
      <c r="C55" s="171" t="s">
        <v>131</v>
      </c>
      <c r="D55" s="189">
        <v>687.29</v>
      </c>
      <c r="E55" s="190">
        <v>2.39</v>
      </c>
      <c r="F55" s="191">
        <v>0.0</v>
      </c>
      <c r="G55" s="191">
        <f t="shared" ref="G55:G59" si="14">E55-F55</f>
        <v>2.39</v>
      </c>
      <c r="H55" s="191">
        <f t="shared" ref="H55:H59" si="15">D55+G55</f>
        <v>689.68</v>
      </c>
      <c r="I55" s="192"/>
      <c r="J55" s="193" t="s">
        <v>132</v>
      </c>
      <c r="K55" s="194" t="s">
        <v>132</v>
      </c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15.75" customHeight="1">
      <c r="A56" s="99"/>
      <c r="B56" s="170"/>
      <c r="C56" s="171" t="s">
        <v>133</v>
      </c>
      <c r="D56" s="195">
        <v>671679.46</v>
      </c>
      <c r="E56" s="190">
        <v>88019.29</v>
      </c>
      <c r="F56" s="196">
        <v>60000.0</v>
      </c>
      <c r="G56" s="191">
        <f t="shared" si="14"/>
        <v>28019.29</v>
      </c>
      <c r="H56" s="191">
        <f t="shared" si="15"/>
        <v>699698.75</v>
      </c>
      <c r="I56" s="192"/>
      <c r="J56" s="193" t="s">
        <v>132</v>
      </c>
      <c r="K56" s="194" t="s">
        <v>132</v>
      </c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15.75" customHeight="1">
      <c r="A57" s="99"/>
      <c r="B57" s="197"/>
      <c r="C57" s="198" t="s">
        <v>134</v>
      </c>
      <c r="D57" s="189">
        <v>40065.96</v>
      </c>
      <c r="E57" s="190">
        <v>567.38</v>
      </c>
      <c r="F57" s="191">
        <v>0.0</v>
      </c>
      <c r="G57" s="191">
        <f t="shared" si="14"/>
        <v>567.38</v>
      </c>
      <c r="H57" s="191">
        <f t="shared" si="15"/>
        <v>40633.34</v>
      </c>
      <c r="I57" s="192"/>
      <c r="J57" s="193" t="s">
        <v>132</v>
      </c>
      <c r="K57" s="194" t="s">
        <v>132</v>
      </c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15.75" customHeight="1">
      <c r="A58" s="99"/>
      <c r="B58" s="181"/>
      <c r="C58" s="198" t="s">
        <v>134</v>
      </c>
      <c r="D58" s="189">
        <v>111975.35</v>
      </c>
      <c r="E58" s="190">
        <v>593.71</v>
      </c>
      <c r="F58" s="191">
        <v>0.0</v>
      </c>
      <c r="G58" s="191">
        <f t="shared" si="14"/>
        <v>593.71</v>
      </c>
      <c r="H58" s="191">
        <f t="shared" si="15"/>
        <v>112569.06</v>
      </c>
      <c r="I58" s="192"/>
      <c r="J58" s="193" t="s">
        <v>132</v>
      </c>
      <c r="K58" s="194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15.75" customHeight="1">
      <c r="A59" s="99"/>
      <c r="B59" s="181"/>
      <c r="C59" s="199" t="s">
        <v>135</v>
      </c>
      <c r="D59" s="200">
        <v>528300.0</v>
      </c>
      <c r="E59" s="201">
        <v>0.0</v>
      </c>
      <c r="F59" s="191">
        <v>0.0</v>
      </c>
      <c r="G59" s="191">
        <f t="shared" si="14"/>
        <v>0</v>
      </c>
      <c r="H59" s="191">
        <f t="shared" si="15"/>
        <v>528300</v>
      </c>
      <c r="I59" s="192"/>
      <c r="J59" s="202"/>
      <c r="K59" s="203">
        <v>46063.0</v>
      </c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15.75" customHeight="1">
      <c r="A60" s="99"/>
      <c r="B60" s="181" t="s">
        <v>136</v>
      </c>
      <c r="C60" s="182"/>
      <c r="D60" s="204">
        <f t="shared" ref="D60:H60" si="16">SUM(D55:D59)</f>
        <v>1352708.06</v>
      </c>
      <c r="E60" s="204">
        <f t="shared" si="16"/>
        <v>89182.77</v>
      </c>
      <c r="F60" s="204">
        <f t="shared" si="16"/>
        <v>60000</v>
      </c>
      <c r="G60" s="204">
        <f t="shared" si="16"/>
        <v>29182.77</v>
      </c>
      <c r="H60" s="204">
        <f t="shared" si="16"/>
        <v>1381890.83</v>
      </c>
      <c r="I60" s="205"/>
      <c r="J60" s="206">
        <f>SUM(J55:J59)</f>
        <v>0</v>
      </c>
      <c r="K60" s="197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5.75" customHeight="1">
      <c r="A61" s="99"/>
      <c r="B61" s="99"/>
      <c r="C61" s="99"/>
      <c r="D61" s="99"/>
      <c r="E61" s="99"/>
      <c r="F61" s="99"/>
      <c r="G61" s="207"/>
      <c r="H61" s="99"/>
      <c r="I61" s="99"/>
      <c r="J61" s="99"/>
      <c r="K61" s="161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9.0" customHeight="1">
      <c r="A62" s="99"/>
      <c r="B62" s="99"/>
      <c r="C62" s="208"/>
      <c r="D62" s="208"/>
      <c r="E62" s="208"/>
      <c r="F62" s="208"/>
      <c r="G62" s="99"/>
      <c r="H62" s="108"/>
      <c r="I62" s="207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20.25" customHeight="1">
      <c r="A63" s="99"/>
      <c r="B63" s="99"/>
      <c r="C63" s="112" t="s">
        <v>137</v>
      </c>
      <c r="D63" s="209" t="s">
        <v>138</v>
      </c>
      <c r="E63" s="209" t="s">
        <v>139</v>
      </c>
      <c r="F63" s="210" t="s">
        <v>140</v>
      </c>
      <c r="G63" s="211"/>
      <c r="H63" s="212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15.75" customHeight="1">
      <c r="A64" s="99"/>
      <c r="B64" s="99"/>
      <c r="C64" s="213" t="s">
        <v>141</v>
      </c>
      <c r="D64" s="214">
        <f>J28</f>
        <v>115213964.8</v>
      </c>
      <c r="E64" s="215">
        <v>1.0</v>
      </c>
      <c r="F64" s="216">
        <f t="shared" ref="F64:F66" si="17">D64*E64</f>
        <v>115213964.8</v>
      </c>
      <c r="G64" s="217"/>
      <c r="H64" s="212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15.75" customHeight="1">
      <c r="A65" s="99"/>
      <c r="B65" s="99"/>
      <c r="C65" s="213" t="s">
        <v>142</v>
      </c>
      <c r="D65" s="218">
        <f>J39/E39</f>
        <v>255374.67</v>
      </c>
      <c r="E65" s="219">
        <f>$E$31</f>
        <v>1353.01</v>
      </c>
      <c r="F65" s="220">
        <f t="shared" si="17"/>
        <v>345524482.3</v>
      </c>
      <c r="G65" s="217"/>
      <c r="H65" s="212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5.75" customHeight="1">
      <c r="A66" s="99"/>
      <c r="B66" s="99"/>
      <c r="C66" s="213" t="s">
        <v>143</v>
      </c>
      <c r="D66" s="221">
        <f>J30/E30</f>
        <v>2525</v>
      </c>
      <c r="E66" s="222">
        <f>E30</f>
        <v>1844.24</v>
      </c>
      <c r="F66" s="220">
        <f t="shared" si="17"/>
        <v>4656706</v>
      </c>
      <c r="G66" s="223"/>
      <c r="H66" s="212"/>
      <c r="I66" s="108"/>
      <c r="J66" s="10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15.75" customHeight="1">
      <c r="A67" s="99"/>
      <c r="B67" s="99"/>
      <c r="C67" s="224" t="s">
        <v>144</v>
      </c>
      <c r="D67" s="182"/>
      <c r="E67" s="182"/>
      <c r="F67" s="225">
        <f>SUM(F64:F66)</f>
        <v>465395153.1</v>
      </c>
      <c r="G67" s="223"/>
      <c r="H67" s="212"/>
      <c r="I67" s="108"/>
      <c r="J67" s="10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15.75" customHeight="1">
      <c r="A68" s="99"/>
      <c r="B68" s="99"/>
      <c r="C68" s="99"/>
      <c r="D68" s="99"/>
      <c r="E68" s="99"/>
      <c r="F68" s="212"/>
      <c r="G68" s="160"/>
      <c r="H68" s="207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15.75" customHeight="1">
      <c r="A69" s="99"/>
      <c r="B69" s="99"/>
      <c r="C69" s="99"/>
      <c r="D69" s="99"/>
      <c r="E69" s="99"/>
      <c r="F69" s="99"/>
      <c r="G69" s="108"/>
      <c r="H69" s="207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15.75" customHeight="1">
      <c r="A70" s="99"/>
      <c r="B70" s="99"/>
      <c r="C70" s="99"/>
      <c r="D70" s="99"/>
      <c r="E70" s="99"/>
      <c r="F70" s="99"/>
      <c r="G70" s="108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5.75" customHeight="1">
      <c r="A71" s="99"/>
      <c r="B71" s="99"/>
      <c r="C71" s="99"/>
      <c r="D71" s="99"/>
      <c r="E71" s="99"/>
      <c r="F71" s="99"/>
      <c r="G71" s="108"/>
      <c r="H71" s="160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15.75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15.75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15.75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15.75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15.75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15.75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5.75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15.75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15.75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15.75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15.75" customHeight="1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15.75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15.75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15.75" customHeight="1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15.75" customHeight="1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15.75" customHeight="1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15.75" customHeight="1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15.75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15.75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15.75" customHeight="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15.75" customHeight="1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15.75" customHeight="1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15.75" customHeight="1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15.75" customHeight="1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15.75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15.75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15.75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15.75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15.75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5.75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5.75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5.75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5.75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5.75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5.75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5.75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5.75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5.75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5.75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5.75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5.75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5.75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5.75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5.75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5.75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5.75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5.75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5.75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5.75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5.75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5.75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5.75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5.75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5.75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5.75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5.75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5.75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5.75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5.75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5.75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5.75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5.75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5.75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5.75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5.75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5.75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5.75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5.75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5.75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5.75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5.75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5.75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5.75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5.75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5.75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5.75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5.75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5.75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5.75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5.75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5.75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5.75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5.75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5.75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5.75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5.75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5.75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5.75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5.75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5.75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5.75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5.75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5.75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5.75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5.75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5.75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5.75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5.75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5.75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5.75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5.75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5.75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5.75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5.75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5.75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5.75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5.75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5.75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5.75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5.75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5.75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5.75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5.75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5.75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5.75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5.75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5.75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5.75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5.75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5.75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5.75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5.75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5.75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5.75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5.75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5.75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5.75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5.75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5.75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5.75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5.75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5.75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5.75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5.75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5.75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5.75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5.75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5.75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5.75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5.75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5.75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5.75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5.75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5.75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5.75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5.75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5.75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5.75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5.75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5.75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15.75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15.75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15.75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15.75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15.75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15.75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15.75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15.75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15.75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15.75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15.75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15.75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15.75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15.75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15.75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15.75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15.75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15.75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15.75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15.75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15.75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15.75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15.75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15.75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15.75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15.75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15.75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15.75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15.75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15.75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15.75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15.75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15.75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15.75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15.75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15.75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15.75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15.75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15.75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15.75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15.75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15.75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15.75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15.75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15.75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15.75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15.75" customHeight="1">
      <c r="A268" s="212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</row>
    <row r="269" ht="15.75" customHeight="1">
      <c r="A269" s="212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</row>
    <row r="270" ht="15.75" customHeight="1">
      <c r="A270" s="212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</row>
    <row r="271" ht="15.75" customHeight="1">
      <c r="A271" s="212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</row>
    <row r="272" ht="15.75" customHeight="1">
      <c r="A272" s="212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</row>
    <row r="273" ht="15.75" customHeight="1">
      <c r="A273" s="212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</row>
    <row r="274" ht="15.75" customHeight="1">
      <c r="A274" s="212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</row>
    <row r="275" ht="15.75" customHeight="1">
      <c r="A275" s="212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</row>
    <row r="276" ht="15.75" customHeight="1">
      <c r="A276" s="212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</row>
    <row r="277" ht="15.75" customHeight="1">
      <c r="A277" s="212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</row>
    <row r="278" ht="15.75" customHeight="1">
      <c r="A278" s="212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</row>
    <row r="279" ht="15.75" customHeight="1">
      <c r="A279" s="212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</row>
    <row r="280" ht="15.75" customHeight="1">
      <c r="A280" s="212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</row>
    <row r="281" ht="15.75" customHeight="1">
      <c r="A281" s="212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</row>
    <row r="282" ht="15.75" customHeight="1">
      <c r="A282" s="212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</row>
    <row r="283" ht="15.75" customHeight="1">
      <c r="A283" s="212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</row>
    <row r="284" ht="15.75" customHeight="1">
      <c r="A284" s="212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</row>
    <row r="285" ht="15.75" customHeight="1">
      <c r="A285" s="212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</row>
    <row r="286" ht="15.75" customHeight="1">
      <c r="A286" s="212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</row>
    <row r="287" ht="15.75" customHeight="1">
      <c r="A287" s="212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</row>
    <row r="288" ht="15.75" customHeight="1">
      <c r="A288" s="212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</row>
    <row r="289" ht="15.75" customHeight="1">
      <c r="A289" s="212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</row>
    <row r="290" ht="15.75" customHeight="1">
      <c r="A290" s="212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</row>
    <row r="291" ht="15.75" customHeight="1">
      <c r="A291" s="212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</row>
    <row r="292" ht="15.75" customHeight="1">
      <c r="A292" s="212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</row>
    <row r="293" ht="15.75" customHeight="1">
      <c r="A293" s="212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</row>
    <row r="294" ht="15.75" customHeight="1">
      <c r="A294" s="212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</row>
    <row r="295" ht="15.75" customHeight="1">
      <c r="A295" s="212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</row>
    <row r="296" ht="15.75" customHeight="1">
      <c r="A296" s="212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</row>
    <row r="297" ht="15.75" customHeight="1">
      <c r="A297" s="212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</row>
    <row r="298" ht="15.75" customHeight="1">
      <c r="A298" s="212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</row>
    <row r="299" ht="15.75" customHeight="1">
      <c r="A299" s="212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</row>
    <row r="300" ht="15.75" customHeight="1">
      <c r="A300" s="212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</row>
    <row r="301" ht="15.75" customHeight="1">
      <c r="A301" s="212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</row>
    <row r="302" ht="15.75" customHeight="1">
      <c r="A302" s="212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</row>
    <row r="303" ht="15.75" customHeight="1">
      <c r="A303" s="212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</row>
    <row r="304" ht="15.75" customHeight="1">
      <c r="A304" s="212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</row>
    <row r="305" ht="15.75" customHeight="1">
      <c r="A305" s="212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</row>
    <row r="306" ht="15.75" customHeight="1">
      <c r="A306" s="212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</row>
    <row r="307" ht="15.75" customHeight="1">
      <c r="A307" s="212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</row>
    <row r="308" ht="15.75" customHeight="1">
      <c r="A308" s="212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</row>
    <row r="309" ht="15.75" customHeight="1">
      <c r="A309" s="212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</row>
    <row r="310" ht="15.75" customHeight="1">
      <c r="A310" s="212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</row>
    <row r="311" ht="15.75" customHeight="1">
      <c r="A311" s="212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</row>
    <row r="312" ht="15.75" customHeight="1">
      <c r="A312" s="212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</row>
    <row r="313" ht="15.75" customHeight="1">
      <c r="A313" s="212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</row>
    <row r="314" ht="15.75" customHeight="1">
      <c r="A314" s="212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</row>
    <row r="315" ht="15.75" customHeight="1">
      <c r="A315" s="212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</row>
    <row r="316" ht="15.75" customHeight="1">
      <c r="A316" s="212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</row>
    <row r="317" ht="15.75" customHeight="1">
      <c r="A317" s="212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</row>
    <row r="318" ht="15.75" customHeight="1">
      <c r="A318" s="212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</row>
    <row r="319" ht="15.75" customHeight="1">
      <c r="A319" s="212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</row>
    <row r="320" ht="15.75" customHeight="1">
      <c r="A320" s="212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</row>
    <row r="321" ht="15.75" customHeight="1">
      <c r="A321" s="212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</row>
    <row r="322" ht="15.75" customHeight="1">
      <c r="A322" s="212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</row>
    <row r="323" ht="15.75" customHeight="1">
      <c r="A323" s="212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</row>
    <row r="324" ht="15.75" customHeight="1">
      <c r="A324" s="212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</row>
    <row r="325" ht="15.75" customHeight="1">
      <c r="A325" s="212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</row>
    <row r="326" ht="15.75" customHeight="1">
      <c r="A326" s="212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</row>
    <row r="327" ht="15.75" customHeight="1">
      <c r="A327" s="212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</row>
    <row r="328" ht="15.75" customHeight="1">
      <c r="A328" s="212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</row>
    <row r="329" ht="15.75" customHeight="1">
      <c r="A329" s="212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</row>
    <row r="330" ht="15.75" customHeight="1">
      <c r="A330" s="212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</row>
    <row r="331" ht="15.75" customHeight="1">
      <c r="A331" s="212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</row>
    <row r="332" ht="15.75" customHeight="1">
      <c r="A332" s="212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</row>
    <row r="333" ht="15.75" customHeight="1">
      <c r="A333" s="212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</row>
    <row r="334" ht="15.75" customHeight="1">
      <c r="A334" s="212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</row>
    <row r="335" ht="15.75" customHeight="1">
      <c r="A335" s="212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</row>
    <row r="336" ht="15.75" customHeight="1">
      <c r="A336" s="212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</row>
    <row r="337" ht="15.75" customHeight="1">
      <c r="A337" s="212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</row>
    <row r="338" ht="15.75" customHeight="1">
      <c r="A338" s="212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</row>
    <row r="339" ht="15.75" customHeight="1">
      <c r="A339" s="212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</row>
    <row r="340" ht="15.75" customHeight="1">
      <c r="A340" s="212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</row>
    <row r="341" ht="15.75" customHeight="1">
      <c r="A341" s="212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</row>
    <row r="342" ht="15.75" customHeight="1">
      <c r="A342" s="212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</row>
    <row r="343" ht="15.75" customHeight="1">
      <c r="A343" s="212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</row>
    <row r="344" ht="15.75" customHeight="1">
      <c r="A344" s="212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</row>
    <row r="345" ht="15.75" customHeight="1">
      <c r="A345" s="212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</row>
    <row r="346" ht="15.75" customHeight="1">
      <c r="A346" s="212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</row>
    <row r="347" ht="15.75" customHeight="1">
      <c r="A347" s="212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</row>
    <row r="348" ht="15.75" customHeight="1">
      <c r="A348" s="212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</row>
    <row r="349" ht="15.75" customHeight="1">
      <c r="A349" s="212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</row>
    <row r="350" ht="15.75" customHeight="1">
      <c r="A350" s="212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</row>
    <row r="351" ht="15.75" customHeight="1">
      <c r="A351" s="212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</row>
    <row r="352" ht="15.75" customHeight="1">
      <c r="A352" s="212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</row>
    <row r="353" ht="15.75" customHeight="1">
      <c r="A353" s="212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</row>
    <row r="354" ht="15.75" customHeight="1">
      <c r="A354" s="212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</row>
    <row r="355" ht="15.75" customHeight="1">
      <c r="A355" s="212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</row>
    <row r="356" ht="15.75" customHeight="1">
      <c r="A356" s="212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</row>
    <row r="357" ht="15.75" customHeight="1">
      <c r="A357" s="212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</row>
    <row r="358" ht="15.75" customHeight="1">
      <c r="A358" s="212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</row>
    <row r="359" ht="15.75" customHeight="1">
      <c r="A359" s="212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</row>
    <row r="360" ht="15.75" customHeight="1">
      <c r="A360" s="212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</row>
    <row r="361" ht="15.75" customHeight="1">
      <c r="A361" s="212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</row>
    <row r="362" ht="15.75" customHeight="1">
      <c r="A362" s="212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</row>
    <row r="363" ht="15.75" customHeight="1">
      <c r="A363" s="212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</row>
    <row r="364" ht="15.75" customHeight="1">
      <c r="A364" s="212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</row>
    <row r="365" ht="15.75" customHeight="1">
      <c r="A365" s="212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</row>
    <row r="366" ht="15.75" customHeight="1">
      <c r="A366" s="212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</row>
    <row r="367" ht="15.75" customHeight="1">
      <c r="A367" s="212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</row>
    <row r="368" ht="15.75" customHeight="1">
      <c r="A368" s="212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</row>
    <row r="369" ht="15.75" customHeight="1">
      <c r="A369" s="212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</row>
    <row r="370" ht="15.75" customHeight="1">
      <c r="A370" s="212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</row>
    <row r="371" ht="15.75" customHeight="1">
      <c r="A371" s="212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</row>
    <row r="372" ht="15.75" customHeight="1">
      <c r="A372" s="212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</row>
    <row r="373" ht="15.75" customHeight="1">
      <c r="A373" s="212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</row>
    <row r="374" ht="15.75" customHeight="1">
      <c r="A374" s="212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</row>
    <row r="375" ht="15.75" customHeight="1">
      <c r="A375" s="212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</row>
    <row r="376" ht="15.75" customHeight="1">
      <c r="A376" s="212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</row>
    <row r="377" ht="15.75" customHeight="1">
      <c r="A377" s="212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</row>
    <row r="378" ht="15.75" customHeight="1">
      <c r="A378" s="212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</row>
    <row r="379" ht="15.75" customHeight="1">
      <c r="A379" s="212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</row>
    <row r="380" ht="15.75" customHeight="1">
      <c r="A380" s="212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</row>
    <row r="381" ht="15.75" customHeight="1">
      <c r="A381" s="212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</row>
    <row r="382" ht="15.75" customHeight="1">
      <c r="A382" s="212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</row>
    <row r="383" ht="15.75" customHeight="1">
      <c r="A383" s="212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</row>
    <row r="384" ht="15.75" customHeight="1">
      <c r="A384" s="212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</row>
    <row r="385" ht="15.75" customHeight="1">
      <c r="A385" s="212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</row>
    <row r="386" ht="15.75" customHeight="1">
      <c r="A386" s="212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</row>
    <row r="387" ht="15.75" customHeight="1">
      <c r="A387" s="212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</row>
    <row r="388" ht="15.75" customHeight="1">
      <c r="A388" s="212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</row>
    <row r="389" ht="15.75" customHeight="1">
      <c r="A389" s="212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</row>
    <row r="390" ht="15.75" customHeight="1">
      <c r="A390" s="212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</row>
    <row r="391" ht="15.75" customHeight="1">
      <c r="A391" s="212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</row>
    <row r="392" ht="15.75" customHeight="1">
      <c r="A392" s="212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</row>
    <row r="393" ht="15.75" customHeight="1">
      <c r="A393" s="212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</row>
    <row r="394" ht="15.75" customHeight="1">
      <c r="A394" s="212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</row>
    <row r="395" ht="15.75" customHeight="1">
      <c r="A395" s="212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</row>
    <row r="396" ht="15.75" customHeight="1">
      <c r="A396" s="212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</row>
    <row r="397" ht="15.75" customHeight="1">
      <c r="A397" s="212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</row>
    <row r="398" ht="15.75" customHeight="1">
      <c r="A398" s="212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</row>
    <row r="399" ht="15.75" customHeight="1">
      <c r="A399" s="212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</row>
    <row r="400" ht="15.75" customHeight="1">
      <c r="A400" s="212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</row>
    <row r="401" ht="15.75" customHeight="1">
      <c r="A401" s="212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</row>
    <row r="402" ht="15.75" customHeight="1">
      <c r="A402" s="212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</row>
    <row r="403" ht="15.75" customHeight="1">
      <c r="A403" s="212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</row>
    <row r="404" ht="15.75" customHeight="1">
      <c r="A404" s="212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</row>
    <row r="405" ht="15.75" customHeight="1">
      <c r="A405" s="212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</row>
    <row r="406" ht="15.75" customHeight="1">
      <c r="A406" s="212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</row>
    <row r="407" ht="15.75" customHeight="1">
      <c r="A407" s="212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</row>
    <row r="408" ht="15.75" customHeight="1">
      <c r="A408" s="212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</row>
    <row r="409" ht="15.75" customHeight="1">
      <c r="A409" s="212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</row>
    <row r="410" ht="15.75" customHeight="1">
      <c r="A410" s="212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</row>
    <row r="411" ht="15.75" customHeight="1">
      <c r="A411" s="212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</row>
    <row r="412" ht="15.75" customHeight="1">
      <c r="A412" s="212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</row>
    <row r="413" ht="15.75" customHeight="1">
      <c r="A413" s="212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</row>
    <row r="414" ht="15.75" customHeight="1">
      <c r="A414" s="212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</row>
    <row r="415" ht="15.75" customHeight="1">
      <c r="A415" s="212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</row>
    <row r="416" ht="15.75" customHeight="1">
      <c r="A416" s="212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</row>
    <row r="417" ht="15.75" customHeight="1">
      <c r="A417" s="212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</row>
    <row r="418" ht="15.75" customHeight="1">
      <c r="A418" s="212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</row>
    <row r="419" ht="15.75" customHeight="1">
      <c r="A419" s="212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</row>
    <row r="420" ht="15.75" customHeight="1">
      <c r="A420" s="212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</row>
    <row r="421" ht="15.75" customHeight="1">
      <c r="A421" s="212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</row>
    <row r="422" ht="15.75" customHeight="1">
      <c r="A422" s="212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</row>
    <row r="423" ht="15.75" customHeight="1">
      <c r="A423" s="212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</row>
    <row r="424" ht="15.75" customHeight="1">
      <c r="A424" s="212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</row>
    <row r="425" ht="15.75" customHeight="1">
      <c r="A425" s="212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</row>
    <row r="426" ht="15.75" customHeight="1">
      <c r="A426" s="212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</row>
    <row r="427" ht="15.75" customHeight="1">
      <c r="A427" s="212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</row>
    <row r="428" ht="15.75" customHeight="1">
      <c r="A428" s="212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</row>
    <row r="429" ht="15.75" customHeight="1">
      <c r="A429" s="212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</row>
    <row r="430" ht="15.75" customHeight="1">
      <c r="A430" s="212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</row>
    <row r="431" ht="15.75" customHeight="1">
      <c r="A431" s="212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</row>
    <row r="432" ht="15.75" customHeight="1">
      <c r="A432" s="212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</row>
    <row r="433" ht="15.75" customHeight="1">
      <c r="A433" s="212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</row>
    <row r="434" ht="15.75" customHeight="1">
      <c r="A434" s="212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</row>
    <row r="435" ht="15.75" customHeight="1">
      <c r="A435" s="212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</row>
    <row r="436" ht="15.75" customHeight="1">
      <c r="A436" s="212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</row>
    <row r="437" ht="15.75" customHeight="1">
      <c r="A437" s="212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</row>
    <row r="438" ht="15.75" customHeight="1">
      <c r="A438" s="212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</row>
    <row r="439" ht="15.75" customHeight="1">
      <c r="A439" s="212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</row>
    <row r="440" ht="15.75" customHeight="1">
      <c r="A440" s="212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</row>
    <row r="441" ht="15.75" customHeight="1">
      <c r="A441" s="212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</row>
    <row r="442" ht="15.75" customHeight="1">
      <c r="A442" s="212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</row>
    <row r="443" ht="15.75" customHeight="1">
      <c r="A443" s="212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</row>
    <row r="444" ht="15.75" customHeight="1">
      <c r="A444" s="212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</row>
    <row r="445" ht="15.75" customHeight="1">
      <c r="A445" s="212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</row>
    <row r="446" ht="15.75" customHeight="1">
      <c r="A446" s="212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</row>
    <row r="447" ht="15.75" customHeight="1">
      <c r="A447" s="212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</row>
    <row r="448" ht="15.75" customHeight="1">
      <c r="A448" s="212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</row>
    <row r="449" ht="15.75" customHeight="1">
      <c r="A449" s="212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</row>
    <row r="450" ht="15.75" customHeight="1">
      <c r="A450" s="212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</row>
    <row r="451" ht="15.75" customHeight="1">
      <c r="A451" s="212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</row>
    <row r="452" ht="15.75" customHeight="1">
      <c r="A452" s="212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</row>
    <row r="453" ht="15.75" customHeight="1">
      <c r="A453" s="212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</row>
    <row r="454" ht="15.75" customHeight="1">
      <c r="A454" s="212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</row>
    <row r="455" ht="15.75" customHeight="1">
      <c r="A455" s="212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</row>
    <row r="456" ht="15.75" customHeight="1">
      <c r="A456" s="212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</row>
    <row r="457" ht="15.75" customHeight="1">
      <c r="A457" s="212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</row>
    <row r="458" ht="15.75" customHeight="1">
      <c r="A458" s="212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</row>
    <row r="459" ht="15.75" customHeight="1">
      <c r="A459" s="212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</row>
    <row r="460" ht="15.75" customHeight="1">
      <c r="A460" s="212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</row>
    <row r="461" ht="15.75" customHeight="1">
      <c r="A461" s="212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</row>
    <row r="462" ht="15.75" customHeight="1">
      <c r="A462" s="212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</row>
    <row r="463" ht="15.75" customHeight="1">
      <c r="A463" s="212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</row>
    <row r="464" ht="15.75" customHeight="1">
      <c r="A464" s="212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</row>
    <row r="465" ht="15.75" customHeight="1">
      <c r="A465" s="212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</row>
    <row r="466" ht="15.75" customHeight="1">
      <c r="A466" s="212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</row>
    <row r="467" ht="15.75" customHeight="1">
      <c r="A467" s="212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</row>
    <row r="468" ht="15.75" customHeight="1">
      <c r="A468" s="212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</row>
    <row r="469" ht="15.75" customHeight="1">
      <c r="A469" s="212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</row>
    <row r="470" ht="15.75" customHeight="1">
      <c r="A470" s="212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</row>
    <row r="471" ht="15.75" customHeight="1">
      <c r="A471" s="212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</row>
    <row r="472" ht="15.75" customHeight="1">
      <c r="A472" s="212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</row>
    <row r="473" ht="15.75" customHeight="1">
      <c r="A473" s="212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</row>
    <row r="474" ht="15.75" customHeight="1">
      <c r="A474" s="212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</row>
    <row r="475" ht="15.75" customHeight="1">
      <c r="A475" s="212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</row>
    <row r="476" ht="15.75" customHeight="1">
      <c r="A476" s="212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</row>
    <row r="477" ht="15.75" customHeight="1">
      <c r="A477" s="212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</row>
    <row r="478" ht="15.75" customHeight="1">
      <c r="A478" s="212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</row>
    <row r="479" ht="15.75" customHeight="1">
      <c r="A479" s="212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</row>
    <row r="480" ht="15.75" customHeight="1">
      <c r="A480" s="212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</row>
    <row r="481" ht="15.75" customHeight="1">
      <c r="A481" s="212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</row>
    <row r="482" ht="15.75" customHeight="1">
      <c r="A482" s="212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</row>
    <row r="483" ht="15.75" customHeight="1">
      <c r="A483" s="212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</row>
    <row r="484" ht="15.75" customHeight="1">
      <c r="A484" s="212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</row>
    <row r="485" ht="15.75" customHeight="1">
      <c r="A485" s="212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</row>
    <row r="486" ht="15.75" customHeight="1">
      <c r="A486" s="212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</row>
    <row r="487" ht="15.75" customHeight="1">
      <c r="A487" s="212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</row>
    <row r="488" ht="15.75" customHeight="1">
      <c r="A488" s="212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</row>
    <row r="489" ht="15.75" customHeight="1">
      <c r="A489" s="212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</row>
    <row r="490" ht="15.75" customHeight="1">
      <c r="A490" s="212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</row>
    <row r="491" ht="15.75" customHeight="1">
      <c r="A491" s="212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</row>
    <row r="492" ht="15.75" customHeight="1">
      <c r="A492" s="212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</row>
    <row r="493" ht="15.75" customHeight="1">
      <c r="A493" s="212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</row>
    <row r="494" ht="15.75" customHeight="1">
      <c r="A494" s="212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</row>
    <row r="495" ht="15.75" customHeight="1">
      <c r="A495" s="212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</row>
    <row r="496" ht="15.75" customHeight="1">
      <c r="A496" s="212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</row>
    <row r="497" ht="15.75" customHeight="1">
      <c r="A497" s="212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</row>
    <row r="498" ht="15.75" customHeight="1">
      <c r="A498" s="212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</row>
    <row r="499" ht="15.75" customHeight="1">
      <c r="A499" s="212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</row>
    <row r="500" ht="15.75" customHeight="1">
      <c r="A500" s="212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</row>
    <row r="501" ht="15.75" customHeight="1">
      <c r="A501" s="212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</row>
    <row r="502" ht="15.75" customHeight="1">
      <c r="A502" s="212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</row>
    <row r="503" ht="15.75" customHeight="1">
      <c r="A503" s="212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</row>
    <row r="504" ht="15.75" customHeight="1">
      <c r="A504" s="212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</row>
    <row r="505" ht="15.75" customHeight="1">
      <c r="A505" s="212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</row>
    <row r="506" ht="15.75" customHeight="1">
      <c r="A506" s="212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</row>
    <row r="507" ht="15.75" customHeight="1">
      <c r="A507" s="212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</row>
    <row r="508" ht="15.75" customHeight="1">
      <c r="A508" s="212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</row>
    <row r="509" ht="15.75" customHeight="1">
      <c r="A509" s="212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</row>
    <row r="510" ht="15.75" customHeight="1">
      <c r="A510" s="212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</row>
    <row r="511" ht="15.75" customHeight="1">
      <c r="A511" s="212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</row>
    <row r="512" ht="15.75" customHeight="1">
      <c r="A512" s="212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</row>
    <row r="513" ht="15.75" customHeight="1">
      <c r="A513" s="212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</row>
    <row r="514" ht="15.75" customHeight="1">
      <c r="A514" s="212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</row>
    <row r="515" ht="15.75" customHeight="1">
      <c r="A515" s="212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</row>
    <row r="516" ht="15.75" customHeight="1">
      <c r="A516" s="212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</row>
    <row r="517" ht="15.75" customHeight="1">
      <c r="A517" s="212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</row>
    <row r="518" ht="15.75" customHeight="1">
      <c r="A518" s="212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</row>
    <row r="519" ht="15.75" customHeight="1">
      <c r="A519" s="212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</row>
    <row r="520" ht="15.75" customHeight="1">
      <c r="A520" s="212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</row>
    <row r="521" ht="15.75" customHeight="1">
      <c r="A521" s="212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</row>
    <row r="522" ht="15.75" customHeight="1">
      <c r="A522" s="212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</row>
    <row r="523" ht="15.75" customHeight="1">
      <c r="A523" s="212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</row>
    <row r="524" ht="15.75" customHeight="1">
      <c r="A524" s="212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</row>
    <row r="525" ht="15.75" customHeight="1">
      <c r="A525" s="212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</row>
    <row r="526" ht="15.75" customHeight="1">
      <c r="A526" s="212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</row>
    <row r="527" ht="15.75" customHeight="1">
      <c r="A527" s="212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</row>
    <row r="528" ht="15.75" customHeight="1">
      <c r="A528" s="212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</row>
    <row r="529" ht="15.75" customHeight="1">
      <c r="A529" s="212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</row>
    <row r="530" ht="15.75" customHeight="1">
      <c r="A530" s="212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</row>
    <row r="531" ht="15.75" customHeight="1">
      <c r="A531" s="212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</row>
    <row r="532" ht="15.75" customHeight="1">
      <c r="A532" s="212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</row>
    <row r="533" ht="15.75" customHeight="1">
      <c r="A533" s="212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</row>
    <row r="534" ht="15.75" customHeight="1">
      <c r="A534" s="212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</row>
    <row r="535" ht="15.75" customHeight="1">
      <c r="A535" s="212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</row>
    <row r="536" ht="15.75" customHeight="1">
      <c r="A536" s="212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</row>
    <row r="537" ht="15.75" customHeight="1">
      <c r="A537" s="212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</row>
    <row r="538" ht="15.75" customHeight="1">
      <c r="A538" s="212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</row>
    <row r="539" ht="15.75" customHeight="1">
      <c r="A539" s="212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</row>
    <row r="540" ht="15.75" customHeight="1">
      <c r="A540" s="212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</row>
    <row r="541" ht="15.75" customHeight="1">
      <c r="A541" s="212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</row>
    <row r="542" ht="15.75" customHeight="1">
      <c r="A542" s="212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</row>
    <row r="543" ht="15.75" customHeight="1">
      <c r="A543" s="212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</row>
    <row r="544" ht="15.75" customHeight="1">
      <c r="A544" s="212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</row>
    <row r="545" ht="15.75" customHeight="1">
      <c r="A545" s="212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</row>
    <row r="546" ht="15.75" customHeight="1">
      <c r="A546" s="212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</row>
    <row r="547" ht="15.75" customHeight="1">
      <c r="A547" s="212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</row>
    <row r="548" ht="15.75" customHeight="1">
      <c r="A548" s="212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</row>
    <row r="549" ht="15.75" customHeight="1">
      <c r="A549" s="212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</row>
    <row r="550" ht="15.75" customHeight="1">
      <c r="A550" s="212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</row>
    <row r="551" ht="15.75" customHeight="1">
      <c r="A551" s="212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</row>
    <row r="552" ht="15.75" customHeight="1">
      <c r="A552" s="212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</row>
    <row r="553" ht="15.75" customHeight="1">
      <c r="A553" s="212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</row>
    <row r="554" ht="15.75" customHeight="1">
      <c r="A554" s="212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</row>
    <row r="555" ht="15.75" customHeight="1">
      <c r="A555" s="212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</row>
    <row r="556" ht="15.75" customHeight="1">
      <c r="A556" s="212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</row>
    <row r="557" ht="15.75" customHeight="1">
      <c r="A557" s="212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</row>
    <row r="558" ht="15.75" customHeight="1">
      <c r="A558" s="212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</row>
    <row r="559" ht="15.75" customHeight="1">
      <c r="A559" s="212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</row>
    <row r="560" ht="15.75" customHeight="1">
      <c r="A560" s="212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</row>
    <row r="561" ht="15.75" customHeight="1">
      <c r="A561" s="212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</row>
    <row r="562" ht="15.75" customHeight="1">
      <c r="A562" s="212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</row>
    <row r="563" ht="15.75" customHeight="1">
      <c r="A563" s="212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</row>
    <row r="564" ht="15.75" customHeight="1">
      <c r="A564" s="212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</row>
    <row r="565" ht="15.75" customHeight="1">
      <c r="A565" s="212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</row>
    <row r="566" ht="15.75" customHeight="1">
      <c r="A566" s="212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</row>
    <row r="567" ht="15.75" customHeight="1">
      <c r="A567" s="212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</row>
    <row r="568" ht="15.75" customHeight="1">
      <c r="A568" s="212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</row>
    <row r="569" ht="15.75" customHeight="1">
      <c r="A569" s="212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</row>
    <row r="570" ht="15.75" customHeight="1">
      <c r="A570" s="212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</row>
    <row r="571" ht="15.75" customHeight="1">
      <c r="A571" s="212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</row>
    <row r="572" ht="15.75" customHeight="1">
      <c r="A572" s="212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</row>
    <row r="573" ht="15.75" customHeight="1">
      <c r="A573" s="212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</row>
    <row r="574" ht="15.75" customHeight="1">
      <c r="A574" s="212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</row>
    <row r="575" ht="15.75" customHeight="1">
      <c r="A575" s="212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</row>
    <row r="576" ht="15.75" customHeight="1">
      <c r="A576" s="212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</row>
    <row r="577" ht="15.75" customHeight="1">
      <c r="A577" s="212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</row>
    <row r="578" ht="15.75" customHeight="1">
      <c r="A578" s="212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</row>
    <row r="579" ht="15.75" customHeight="1">
      <c r="A579" s="212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</row>
    <row r="580" ht="15.75" customHeight="1">
      <c r="A580" s="212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</row>
    <row r="581" ht="15.75" customHeight="1">
      <c r="A581" s="212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</row>
    <row r="582" ht="15.75" customHeight="1">
      <c r="A582" s="212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</row>
    <row r="583" ht="15.75" customHeight="1">
      <c r="A583" s="212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</row>
    <row r="584" ht="15.75" customHeight="1">
      <c r="A584" s="212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</row>
    <row r="585" ht="15.75" customHeight="1">
      <c r="A585" s="212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</row>
    <row r="586" ht="15.75" customHeight="1">
      <c r="A586" s="212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</row>
    <row r="587" ht="15.75" customHeight="1">
      <c r="A587" s="212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</row>
    <row r="588" ht="15.75" customHeight="1">
      <c r="A588" s="212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</row>
    <row r="589" ht="15.75" customHeight="1">
      <c r="A589" s="212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</row>
    <row r="590" ht="15.75" customHeight="1">
      <c r="A590" s="212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</row>
    <row r="591" ht="15.75" customHeight="1">
      <c r="A591" s="212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</row>
    <row r="592" ht="15.75" customHeight="1">
      <c r="A592" s="212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</row>
    <row r="593" ht="15.75" customHeight="1">
      <c r="A593" s="212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</row>
    <row r="594" ht="15.75" customHeight="1">
      <c r="A594" s="212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</row>
    <row r="595" ht="15.75" customHeight="1">
      <c r="A595" s="212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</row>
    <row r="596" ht="15.75" customHeight="1">
      <c r="A596" s="212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</row>
    <row r="597" ht="15.75" customHeight="1">
      <c r="A597" s="212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</row>
    <row r="598" ht="15.75" customHeight="1">
      <c r="A598" s="212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</row>
    <row r="599" ht="15.75" customHeight="1">
      <c r="A599" s="212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</row>
    <row r="600" ht="15.75" customHeight="1">
      <c r="A600" s="212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</row>
    <row r="601" ht="15.75" customHeight="1">
      <c r="A601" s="212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</row>
    <row r="602" ht="15.75" customHeight="1">
      <c r="A602" s="212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</row>
    <row r="603" ht="15.75" customHeight="1">
      <c r="A603" s="212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</row>
    <row r="604" ht="15.75" customHeight="1">
      <c r="A604" s="212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</row>
    <row r="605" ht="15.75" customHeight="1">
      <c r="A605" s="212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</row>
    <row r="606" ht="15.75" customHeight="1">
      <c r="A606" s="212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</row>
    <row r="607" ht="15.75" customHeight="1">
      <c r="A607" s="212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</row>
    <row r="608" ht="15.75" customHeight="1">
      <c r="A608" s="212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</row>
    <row r="609" ht="15.75" customHeight="1">
      <c r="A609" s="212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</row>
    <row r="610" ht="15.75" customHeight="1">
      <c r="A610" s="212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</row>
    <row r="611" ht="15.75" customHeight="1">
      <c r="A611" s="212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</row>
    <row r="612" ht="15.75" customHeight="1">
      <c r="A612" s="212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</row>
    <row r="613" ht="15.75" customHeight="1">
      <c r="A613" s="212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</row>
    <row r="614" ht="15.75" customHeight="1">
      <c r="A614" s="212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</row>
    <row r="615" ht="15.75" customHeight="1">
      <c r="A615" s="212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</row>
    <row r="616" ht="15.75" customHeight="1">
      <c r="A616" s="212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</row>
    <row r="617" ht="15.75" customHeight="1">
      <c r="A617" s="212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</row>
    <row r="618" ht="15.75" customHeight="1">
      <c r="A618" s="212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</row>
    <row r="619" ht="15.75" customHeight="1">
      <c r="A619" s="212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</row>
    <row r="620" ht="15.75" customHeight="1">
      <c r="A620" s="212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</row>
    <row r="621" ht="15.75" customHeight="1">
      <c r="A621" s="212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</row>
    <row r="622" ht="15.75" customHeight="1">
      <c r="A622" s="212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</row>
    <row r="623" ht="15.75" customHeight="1">
      <c r="A623" s="212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</row>
    <row r="624" ht="15.75" customHeight="1">
      <c r="A624" s="212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</row>
    <row r="625" ht="15.75" customHeight="1">
      <c r="A625" s="212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</row>
    <row r="626" ht="15.75" customHeight="1">
      <c r="A626" s="212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</row>
    <row r="627" ht="15.75" customHeight="1">
      <c r="A627" s="212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</row>
    <row r="628" ht="15.75" customHeight="1">
      <c r="A628" s="212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</row>
    <row r="629" ht="15.75" customHeight="1">
      <c r="A629" s="212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</row>
    <row r="630" ht="15.75" customHeight="1">
      <c r="A630" s="212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</row>
    <row r="631" ht="15.75" customHeight="1">
      <c r="A631" s="212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</row>
    <row r="632" ht="15.75" customHeight="1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</row>
    <row r="633" ht="15.75" customHeight="1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</row>
    <row r="634" ht="15.75" customHeight="1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</row>
    <row r="635" ht="15.75" customHeight="1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</row>
    <row r="636" ht="15.75" customHeight="1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</row>
    <row r="637" ht="15.75" customHeight="1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</row>
    <row r="638" ht="15.75" customHeight="1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</row>
    <row r="639" ht="15.75" customHeight="1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</row>
    <row r="640" ht="15.75" customHeight="1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</row>
    <row r="641" ht="15.75" customHeight="1">
      <c r="A641" s="212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</row>
    <row r="642" ht="15.75" customHeight="1">
      <c r="A642" s="212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</row>
    <row r="643" ht="15.75" customHeight="1">
      <c r="A643" s="212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</row>
    <row r="644" ht="15.75" customHeight="1">
      <c r="A644" s="212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</row>
    <row r="645" ht="15.75" customHeight="1">
      <c r="A645" s="212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</row>
    <row r="646" ht="15.75" customHeight="1">
      <c r="A646" s="212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</row>
    <row r="647" ht="15.75" customHeight="1">
      <c r="A647" s="212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</row>
    <row r="648" ht="15.75" customHeight="1">
      <c r="A648" s="212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</row>
    <row r="649" ht="15.75" customHeight="1">
      <c r="A649" s="212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</row>
    <row r="650" ht="15.75" customHeight="1">
      <c r="A650" s="212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</row>
    <row r="651" ht="15.75" customHeight="1">
      <c r="A651" s="212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</row>
    <row r="652" ht="15.75" customHeight="1">
      <c r="A652" s="212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</row>
    <row r="653" ht="15.75" customHeight="1">
      <c r="A653" s="212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</row>
    <row r="654" ht="15.75" customHeight="1">
      <c r="A654" s="212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</row>
    <row r="655" ht="15.75" customHeight="1">
      <c r="A655" s="212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</row>
    <row r="656" ht="15.75" customHeight="1">
      <c r="A656" s="212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</row>
    <row r="657" ht="15.75" customHeight="1">
      <c r="A657" s="212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</row>
    <row r="658" ht="15.75" customHeight="1">
      <c r="A658" s="212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</row>
    <row r="659" ht="15.75" customHeight="1">
      <c r="A659" s="212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</row>
    <row r="660" ht="15.75" customHeight="1">
      <c r="A660" s="212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</row>
    <row r="661" ht="15.75" customHeight="1">
      <c r="A661" s="212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</row>
    <row r="662" ht="15.75" customHeight="1">
      <c r="A662" s="212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</row>
    <row r="663" ht="15.75" customHeight="1">
      <c r="A663" s="212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</row>
    <row r="664" ht="15.75" customHeight="1">
      <c r="A664" s="212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</row>
    <row r="665" ht="15.75" customHeight="1">
      <c r="A665" s="212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</row>
    <row r="666" ht="15.75" customHeight="1">
      <c r="A666" s="212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</row>
    <row r="667" ht="15.75" customHeight="1">
      <c r="A667" s="212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</row>
    <row r="668" ht="15.75" customHeight="1">
      <c r="A668" s="212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</row>
    <row r="669" ht="15.75" customHeight="1">
      <c r="A669" s="212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</row>
    <row r="670" ht="15.75" customHeight="1">
      <c r="A670" s="212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</row>
    <row r="671" ht="15.75" customHeight="1">
      <c r="A671" s="212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</row>
    <row r="672" ht="15.75" customHeight="1">
      <c r="A672" s="212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</row>
    <row r="673" ht="15.75" customHeight="1">
      <c r="A673" s="212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</row>
    <row r="674" ht="15.75" customHeight="1">
      <c r="A674" s="212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</row>
    <row r="675" ht="15.75" customHeight="1">
      <c r="A675" s="212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</row>
    <row r="676" ht="15.75" customHeight="1">
      <c r="A676" s="212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</row>
    <row r="677" ht="15.75" customHeight="1">
      <c r="A677" s="212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</row>
    <row r="678" ht="15.75" customHeight="1">
      <c r="A678" s="212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</row>
    <row r="679" ht="15.75" customHeight="1">
      <c r="A679" s="212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</row>
    <row r="680" ht="15.75" customHeight="1">
      <c r="A680" s="212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</row>
    <row r="681" ht="15.75" customHeight="1">
      <c r="A681" s="212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</row>
    <row r="682" ht="15.75" customHeight="1">
      <c r="A682" s="212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</row>
    <row r="683" ht="15.75" customHeight="1">
      <c r="A683" s="212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</row>
    <row r="684" ht="15.75" customHeight="1">
      <c r="A684" s="212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</row>
    <row r="685" ht="15.75" customHeight="1">
      <c r="A685" s="212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</row>
    <row r="686" ht="15.75" customHeight="1">
      <c r="A686" s="212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</row>
    <row r="687" ht="15.75" customHeight="1">
      <c r="A687" s="212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</row>
    <row r="688" ht="15.75" customHeight="1">
      <c r="A688" s="212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</row>
    <row r="689" ht="15.75" customHeight="1">
      <c r="A689" s="212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</row>
    <row r="690" ht="15.75" customHeight="1">
      <c r="A690" s="212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</row>
    <row r="691" ht="15.75" customHeight="1">
      <c r="A691" s="212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</row>
    <row r="692" ht="15.75" customHeight="1">
      <c r="A692" s="212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</row>
    <row r="693" ht="15.75" customHeight="1">
      <c r="A693" s="212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</row>
    <row r="694" ht="15.75" customHeight="1">
      <c r="A694" s="212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</row>
    <row r="695" ht="15.75" customHeight="1">
      <c r="A695" s="212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</row>
    <row r="696" ht="15.75" customHeight="1">
      <c r="A696" s="212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</row>
    <row r="697" ht="15.75" customHeight="1">
      <c r="A697" s="212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</row>
    <row r="698" ht="15.75" customHeight="1">
      <c r="A698" s="212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</row>
    <row r="699" ht="15.75" customHeight="1">
      <c r="A699" s="212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</row>
    <row r="700" ht="15.75" customHeight="1">
      <c r="A700" s="212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</row>
    <row r="701" ht="15.75" customHeight="1">
      <c r="A701" s="212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</row>
    <row r="702" ht="15.75" customHeight="1">
      <c r="A702" s="212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</row>
    <row r="703" ht="15.75" customHeight="1">
      <c r="A703" s="212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</row>
    <row r="704" ht="15.75" customHeight="1">
      <c r="A704" s="212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</row>
    <row r="705" ht="15.75" customHeight="1">
      <c r="A705" s="212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</row>
    <row r="706" ht="15.75" customHeight="1">
      <c r="A706" s="212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</row>
    <row r="707" ht="15.75" customHeight="1">
      <c r="A707" s="212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</row>
    <row r="708" ht="15.75" customHeight="1">
      <c r="A708" s="212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</row>
    <row r="709" ht="15.75" customHeight="1">
      <c r="A709" s="212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</row>
    <row r="710" ht="15.75" customHeight="1">
      <c r="A710" s="212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</row>
    <row r="711" ht="15.75" customHeight="1">
      <c r="A711" s="212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</row>
    <row r="712" ht="15.75" customHeight="1">
      <c r="A712" s="212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</row>
    <row r="713" ht="15.75" customHeight="1">
      <c r="A713" s="212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</row>
    <row r="714" ht="15.75" customHeight="1">
      <c r="A714" s="212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</row>
    <row r="715" ht="15.75" customHeight="1">
      <c r="A715" s="212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</row>
    <row r="716" ht="15.75" customHeight="1">
      <c r="A716" s="212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</row>
    <row r="717" ht="15.75" customHeight="1">
      <c r="A717" s="212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</row>
    <row r="718" ht="15.75" customHeight="1">
      <c r="A718" s="212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</row>
    <row r="719" ht="15.75" customHeight="1">
      <c r="A719" s="212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</row>
    <row r="720" ht="15.75" customHeight="1">
      <c r="A720" s="212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</row>
    <row r="721" ht="15.75" customHeight="1">
      <c r="A721" s="212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</row>
    <row r="722" ht="15.75" customHeight="1">
      <c r="A722" s="212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</row>
    <row r="723" ht="15.75" customHeight="1">
      <c r="A723" s="212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</row>
    <row r="724" ht="15.75" customHeight="1">
      <c r="A724" s="212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</row>
    <row r="725" ht="15.75" customHeight="1">
      <c r="A725" s="212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</row>
    <row r="726" ht="15.75" customHeight="1">
      <c r="A726" s="212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</row>
    <row r="727" ht="15.75" customHeight="1">
      <c r="A727" s="212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</row>
    <row r="728" ht="15.75" customHeight="1">
      <c r="A728" s="212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</row>
    <row r="729" ht="15.75" customHeight="1">
      <c r="A729" s="212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</row>
    <row r="730" ht="15.75" customHeight="1">
      <c r="A730" s="212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</row>
    <row r="731" ht="15.75" customHeight="1">
      <c r="A731" s="212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</row>
    <row r="732" ht="15.75" customHeight="1">
      <c r="A732" s="212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</row>
    <row r="733" ht="15.75" customHeight="1">
      <c r="A733" s="212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</row>
    <row r="734" ht="15.75" customHeight="1">
      <c r="A734" s="212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</row>
    <row r="735" ht="15.75" customHeight="1">
      <c r="A735" s="212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</row>
    <row r="736" ht="15.75" customHeight="1">
      <c r="A736" s="212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</row>
    <row r="737" ht="15.75" customHeight="1">
      <c r="A737" s="212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</row>
    <row r="738" ht="15.75" customHeight="1">
      <c r="A738" s="212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</row>
    <row r="739" ht="15.75" customHeight="1">
      <c r="A739" s="212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</row>
    <row r="740" ht="15.75" customHeight="1">
      <c r="A740" s="212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</row>
    <row r="741" ht="15.75" customHeight="1">
      <c r="A741" s="212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</row>
    <row r="742" ht="15.75" customHeight="1">
      <c r="A742" s="212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</row>
    <row r="743" ht="15.75" customHeight="1">
      <c r="A743" s="212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</row>
    <row r="744" ht="15.75" customHeight="1">
      <c r="A744" s="212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</row>
    <row r="745" ht="15.75" customHeight="1">
      <c r="A745" s="212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</row>
    <row r="746" ht="15.75" customHeight="1">
      <c r="A746" s="212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</row>
    <row r="747" ht="15.75" customHeight="1">
      <c r="A747" s="212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</row>
    <row r="748" ht="15.75" customHeight="1">
      <c r="A748" s="212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</row>
    <row r="749" ht="15.75" customHeight="1">
      <c r="A749" s="212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</row>
    <row r="750" ht="15.75" customHeight="1">
      <c r="A750" s="212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</row>
    <row r="751" ht="15.75" customHeight="1">
      <c r="A751" s="212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</row>
    <row r="752" ht="15.75" customHeight="1">
      <c r="A752" s="212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</row>
    <row r="753" ht="15.75" customHeight="1">
      <c r="A753" s="212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</row>
    <row r="754" ht="15.75" customHeight="1">
      <c r="A754" s="212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</row>
    <row r="755" ht="15.75" customHeight="1">
      <c r="A755" s="212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</row>
    <row r="756" ht="15.75" customHeight="1">
      <c r="A756" s="212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</row>
    <row r="757" ht="15.75" customHeight="1">
      <c r="A757" s="212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</row>
    <row r="758" ht="15.75" customHeight="1">
      <c r="A758" s="212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</row>
    <row r="759" ht="15.75" customHeight="1">
      <c r="A759" s="212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</row>
    <row r="760" ht="15.75" customHeight="1">
      <c r="A760" s="212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</row>
    <row r="761" ht="15.75" customHeight="1">
      <c r="A761" s="212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</row>
    <row r="762" ht="15.75" customHeight="1">
      <c r="A762" s="212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</row>
    <row r="763" ht="15.75" customHeight="1">
      <c r="A763" s="212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</row>
    <row r="764" ht="15.75" customHeight="1">
      <c r="A764" s="212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</row>
    <row r="765" ht="15.75" customHeight="1">
      <c r="A765" s="212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</row>
    <row r="766" ht="15.75" customHeight="1">
      <c r="A766" s="212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</row>
    <row r="767" ht="15.75" customHeight="1">
      <c r="A767" s="212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</row>
    <row r="768" ht="15.75" customHeight="1">
      <c r="A768" s="212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</row>
    <row r="769" ht="15.75" customHeight="1">
      <c r="A769" s="212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</row>
    <row r="770" ht="15.75" customHeight="1">
      <c r="A770" s="212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</row>
    <row r="771" ht="15.75" customHeight="1">
      <c r="A771" s="212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</row>
    <row r="772" ht="15.75" customHeight="1">
      <c r="A772" s="212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</row>
    <row r="773" ht="15.75" customHeight="1">
      <c r="A773" s="212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</row>
    <row r="774" ht="15.75" customHeight="1">
      <c r="A774" s="212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</row>
    <row r="775" ht="15.75" customHeight="1">
      <c r="A775" s="212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</row>
    <row r="776" ht="15.75" customHeight="1">
      <c r="A776" s="212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</row>
    <row r="777" ht="15.75" customHeight="1">
      <c r="A777" s="212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</row>
    <row r="778" ht="15.75" customHeight="1">
      <c r="A778" s="212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</row>
    <row r="779" ht="15.75" customHeight="1">
      <c r="A779" s="212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</row>
    <row r="780" ht="15.75" customHeight="1">
      <c r="A780" s="212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</row>
    <row r="781" ht="15.75" customHeight="1">
      <c r="A781" s="212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</row>
    <row r="782" ht="15.75" customHeight="1">
      <c r="A782" s="212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</row>
    <row r="783" ht="15.75" customHeight="1">
      <c r="A783" s="212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</row>
    <row r="784" ht="15.75" customHeight="1">
      <c r="A784" s="212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</row>
    <row r="785" ht="15.75" customHeight="1">
      <c r="A785" s="212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</row>
    <row r="786" ht="15.75" customHeight="1">
      <c r="A786" s="212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</row>
    <row r="787" ht="15.75" customHeight="1">
      <c r="A787" s="212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</row>
    <row r="788" ht="15.75" customHeight="1">
      <c r="A788" s="212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</row>
    <row r="789" ht="15.75" customHeight="1">
      <c r="A789" s="212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</row>
    <row r="790" ht="15.75" customHeight="1">
      <c r="A790" s="212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</row>
    <row r="791" ht="15.75" customHeight="1">
      <c r="A791" s="212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</row>
    <row r="792" ht="15.75" customHeight="1">
      <c r="A792" s="212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</row>
    <row r="793" ht="15.75" customHeight="1">
      <c r="A793" s="212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</row>
    <row r="794" ht="15.75" customHeight="1">
      <c r="A794" s="212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</row>
    <row r="795" ht="15.75" customHeight="1">
      <c r="A795" s="212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</row>
    <row r="796" ht="15.75" customHeight="1">
      <c r="A796" s="212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</row>
    <row r="797" ht="15.75" customHeight="1">
      <c r="A797" s="212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</row>
    <row r="798" ht="15.75" customHeight="1">
      <c r="A798" s="212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</row>
    <row r="799" ht="15.75" customHeight="1">
      <c r="A799" s="212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</row>
    <row r="800" ht="15.75" customHeight="1">
      <c r="A800" s="212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</row>
    <row r="801" ht="15.75" customHeight="1">
      <c r="A801" s="212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</row>
    <row r="802" ht="15.75" customHeight="1">
      <c r="A802" s="212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</row>
    <row r="803" ht="15.75" customHeight="1">
      <c r="A803" s="212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</row>
    <row r="804" ht="15.75" customHeight="1">
      <c r="A804" s="212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</row>
    <row r="805" ht="15.75" customHeight="1">
      <c r="A805" s="212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</row>
    <row r="806" ht="15.75" customHeight="1">
      <c r="A806" s="212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</row>
    <row r="807" ht="15.75" customHeight="1">
      <c r="A807" s="212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</row>
    <row r="808" ht="15.75" customHeight="1">
      <c r="A808" s="212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</row>
    <row r="809" ht="15.75" customHeight="1">
      <c r="A809" s="212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</row>
    <row r="810" ht="15.75" customHeight="1">
      <c r="A810" s="212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</row>
    <row r="811" ht="15.75" customHeight="1">
      <c r="A811" s="212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</row>
    <row r="812" ht="15.75" customHeight="1">
      <c r="A812" s="212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</row>
    <row r="813" ht="15.75" customHeight="1">
      <c r="A813" s="212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</row>
    <row r="814" ht="15.75" customHeight="1">
      <c r="A814" s="212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</row>
    <row r="815" ht="15.75" customHeight="1">
      <c r="A815" s="212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</row>
    <row r="816" ht="15.75" customHeight="1">
      <c r="A816" s="212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</row>
    <row r="817" ht="15.75" customHeight="1">
      <c r="A817" s="212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</row>
    <row r="818" ht="15.75" customHeight="1">
      <c r="A818" s="212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</row>
    <row r="819" ht="15.75" customHeight="1">
      <c r="A819" s="212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</row>
    <row r="820" ht="15.75" customHeight="1">
      <c r="A820" s="212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</row>
    <row r="821" ht="15.75" customHeight="1">
      <c r="A821" s="212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</row>
    <row r="822" ht="15.75" customHeight="1">
      <c r="A822" s="212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</row>
    <row r="823" ht="15.75" customHeight="1">
      <c r="A823" s="212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</row>
    <row r="824" ht="15.75" customHeight="1">
      <c r="A824" s="212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</row>
    <row r="825" ht="15.75" customHeight="1">
      <c r="A825" s="212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</row>
    <row r="826" ht="15.75" customHeight="1">
      <c r="A826" s="212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</row>
    <row r="827" ht="15.75" customHeight="1">
      <c r="A827" s="212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</row>
    <row r="828" ht="15.75" customHeight="1">
      <c r="A828" s="212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</row>
    <row r="829" ht="15.75" customHeight="1">
      <c r="A829" s="212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</row>
    <row r="830" ht="15.75" customHeight="1">
      <c r="A830" s="212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</row>
    <row r="831" ht="15.75" customHeight="1">
      <c r="A831" s="212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</row>
    <row r="832" ht="15.75" customHeight="1">
      <c r="A832" s="212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</row>
    <row r="833" ht="15.75" customHeight="1">
      <c r="A833" s="212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</row>
    <row r="834" ht="15.75" customHeight="1">
      <c r="A834" s="212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</row>
    <row r="835" ht="15.75" customHeight="1">
      <c r="A835" s="212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</row>
    <row r="836" ht="15.75" customHeight="1">
      <c r="A836" s="212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</row>
    <row r="837" ht="15.75" customHeight="1">
      <c r="A837" s="212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</row>
    <row r="838" ht="15.75" customHeight="1">
      <c r="A838" s="212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</row>
    <row r="839" ht="15.75" customHeight="1">
      <c r="A839" s="212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</row>
    <row r="840" ht="15.75" customHeight="1">
      <c r="A840" s="212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</row>
    <row r="841" ht="15.75" customHeight="1">
      <c r="A841" s="212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</row>
    <row r="842" ht="15.75" customHeight="1">
      <c r="A842" s="212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</row>
    <row r="843" ht="15.75" customHeight="1">
      <c r="A843" s="212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</row>
    <row r="844" ht="15.75" customHeight="1">
      <c r="A844" s="212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</row>
    <row r="845" ht="15.75" customHeight="1">
      <c r="A845" s="212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</row>
    <row r="846" ht="15.75" customHeight="1">
      <c r="A846" s="212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</row>
    <row r="847" ht="15.75" customHeight="1">
      <c r="A847" s="212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</row>
    <row r="848" ht="15.75" customHeight="1">
      <c r="A848" s="212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</row>
    <row r="849" ht="15.75" customHeight="1">
      <c r="A849" s="212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</row>
    <row r="850" ht="15.75" customHeight="1">
      <c r="A850" s="212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</row>
    <row r="851" ht="15.75" customHeight="1">
      <c r="A851" s="212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</row>
    <row r="852" ht="15.75" customHeight="1">
      <c r="A852" s="212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</row>
    <row r="853" ht="15.75" customHeight="1">
      <c r="A853" s="212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</row>
    <row r="854" ht="15.75" customHeight="1">
      <c r="A854" s="212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</row>
    <row r="855" ht="15.75" customHeight="1">
      <c r="A855" s="212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</row>
    <row r="856" ht="15.75" customHeight="1">
      <c r="A856" s="212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</row>
    <row r="857" ht="15.75" customHeight="1">
      <c r="A857" s="212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</row>
    <row r="858" ht="15.75" customHeight="1">
      <c r="A858" s="212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</row>
    <row r="859" ht="15.75" customHeight="1">
      <c r="A859" s="212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</row>
    <row r="860" ht="15.75" customHeight="1">
      <c r="A860" s="212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</row>
    <row r="861" ht="15.75" customHeight="1">
      <c r="A861" s="212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</row>
    <row r="862" ht="15.75" customHeight="1">
      <c r="A862" s="212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</row>
    <row r="863" ht="15.75" customHeight="1">
      <c r="A863" s="212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</row>
    <row r="864" ht="15.75" customHeight="1">
      <c r="A864" s="212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</row>
    <row r="865" ht="15.75" customHeight="1">
      <c r="A865" s="212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</row>
    <row r="866" ht="15.75" customHeight="1">
      <c r="A866" s="212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</row>
    <row r="867" ht="15.75" customHeight="1">
      <c r="A867" s="212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</row>
    <row r="868" ht="15.75" customHeight="1">
      <c r="A868" s="212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</row>
    <row r="869" ht="15.75" customHeight="1">
      <c r="A869" s="212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</row>
    <row r="870" ht="15.75" customHeight="1">
      <c r="A870" s="212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</row>
    <row r="871" ht="15.75" customHeight="1">
      <c r="A871" s="212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</row>
    <row r="872" ht="15.75" customHeight="1">
      <c r="A872" s="212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</row>
    <row r="873" ht="15.75" customHeight="1">
      <c r="A873" s="212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</row>
    <row r="874" ht="15.75" customHeight="1">
      <c r="A874" s="212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</row>
    <row r="875" ht="15.75" customHeight="1">
      <c r="A875" s="212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</row>
    <row r="876" ht="15.75" customHeight="1">
      <c r="A876" s="212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</row>
    <row r="877" ht="15.75" customHeight="1">
      <c r="A877" s="212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</row>
    <row r="878" ht="15.75" customHeight="1">
      <c r="A878" s="212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</row>
    <row r="879" ht="15.75" customHeight="1">
      <c r="A879" s="212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</row>
    <row r="880" ht="15.75" customHeight="1">
      <c r="A880" s="212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</row>
    <row r="881" ht="15.75" customHeight="1">
      <c r="A881" s="212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</row>
    <row r="882" ht="15.75" customHeight="1">
      <c r="A882" s="212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</row>
    <row r="883" ht="15.75" customHeight="1">
      <c r="A883" s="212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</row>
    <row r="884" ht="15.75" customHeight="1">
      <c r="A884" s="212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</row>
    <row r="885" ht="15.75" customHeight="1">
      <c r="A885" s="212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</row>
    <row r="886" ht="15.75" customHeight="1">
      <c r="A886" s="212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</row>
    <row r="887" ht="15.75" customHeight="1">
      <c r="A887" s="212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</row>
    <row r="888" ht="15.75" customHeight="1">
      <c r="A888" s="212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</row>
    <row r="889" ht="15.75" customHeight="1">
      <c r="A889" s="212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</row>
    <row r="890" ht="15.75" customHeight="1">
      <c r="A890" s="212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</row>
    <row r="891" ht="15.75" customHeight="1">
      <c r="A891" s="212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</row>
    <row r="892" ht="15.75" customHeight="1">
      <c r="A892" s="212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</row>
    <row r="893" ht="15.75" customHeight="1">
      <c r="A893" s="212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</row>
    <row r="894" ht="15.75" customHeight="1">
      <c r="A894" s="212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</row>
    <row r="895" ht="15.75" customHeight="1">
      <c r="A895" s="212"/>
      <c r="B895" s="212"/>
      <c r="C895" s="212"/>
      <c r="D895" s="212"/>
      <c r="E895" s="212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</row>
    <row r="896" ht="15.75" customHeight="1">
      <c r="A896" s="212"/>
      <c r="B896" s="212"/>
      <c r="C896" s="212"/>
      <c r="D896" s="212"/>
      <c r="E896" s="212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</row>
    <row r="897" ht="15.75" customHeight="1">
      <c r="A897" s="212"/>
      <c r="B897" s="212"/>
      <c r="C897" s="212"/>
      <c r="D897" s="212"/>
      <c r="E897" s="212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</row>
    <row r="898" ht="15.75" customHeight="1">
      <c r="A898" s="212"/>
      <c r="B898" s="212"/>
      <c r="C898" s="212"/>
      <c r="D898" s="212"/>
      <c r="E898" s="212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</row>
    <row r="899" ht="15.75" customHeight="1">
      <c r="A899" s="212"/>
      <c r="B899" s="212"/>
      <c r="C899" s="212"/>
      <c r="D899" s="212"/>
      <c r="E899" s="212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</row>
    <row r="900" ht="15.75" customHeight="1">
      <c r="A900" s="212"/>
      <c r="B900" s="212"/>
      <c r="C900" s="212"/>
      <c r="D900" s="212"/>
      <c r="E900" s="212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</row>
    <row r="901" ht="15.75" customHeight="1">
      <c r="A901" s="212"/>
      <c r="B901" s="212"/>
      <c r="C901" s="212"/>
      <c r="D901" s="212"/>
      <c r="E901" s="212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</row>
    <row r="902" ht="15.75" customHeight="1">
      <c r="A902" s="212"/>
      <c r="B902" s="212"/>
      <c r="C902" s="212"/>
      <c r="D902" s="212"/>
      <c r="E902" s="212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</row>
    <row r="903" ht="15.75" customHeight="1">
      <c r="A903" s="212"/>
      <c r="B903" s="212"/>
      <c r="C903" s="212"/>
      <c r="D903" s="212"/>
      <c r="E903" s="212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</row>
    <row r="904" ht="15.75" customHeight="1">
      <c r="A904" s="212"/>
      <c r="B904" s="212"/>
      <c r="C904" s="212"/>
      <c r="D904" s="212"/>
      <c r="E904" s="212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</row>
    <row r="905" ht="15.75" customHeight="1">
      <c r="A905" s="212"/>
      <c r="B905" s="212"/>
      <c r="C905" s="212"/>
      <c r="D905" s="212"/>
      <c r="E905" s="212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</row>
    <row r="906" ht="15.75" customHeight="1">
      <c r="A906" s="212"/>
      <c r="B906" s="212"/>
      <c r="C906" s="212"/>
      <c r="D906" s="212"/>
      <c r="E906" s="212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</row>
    <row r="907" ht="15.75" customHeight="1">
      <c r="A907" s="212"/>
      <c r="B907" s="212"/>
      <c r="C907" s="212"/>
      <c r="D907" s="212"/>
      <c r="E907" s="212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</row>
    <row r="908" ht="15.75" customHeight="1">
      <c r="A908" s="212"/>
      <c r="B908" s="212"/>
      <c r="C908" s="212"/>
      <c r="D908" s="212"/>
      <c r="E908" s="212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</row>
    <row r="909" ht="15.75" customHeight="1">
      <c r="A909" s="212"/>
      <c r="B909" s="212"/>
      <c r="C909" s="212"/>
      <c r="D909" s="212"/>
      <c r="E909" s="212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</row>
    <row r="910" ht="15.75" customHeight="1">
      <c r="A910" s="212"/>
      <c r="B910" s="212"/>
      <c r="C910" s="212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</row>
    <row r="911" ht="15.75" customHeight="1">
      <c r="A911" s="212"/>
      <c r="B911" s="212"/>
      <c r="C911" s="212"/>
      <c r="D911" s="212"/>
      <c r="E911" s="212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</row>
    <row r="912" ht="15.75" customHeight="1">
      <c r="A912" s="212"/>
      <c r="B912" s="212"/>
      <c r="C912" s="212"/>
      <c r="D912" s="212"/>
      <c r="E912" s="212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</row>
    <row r="913" ht="15.75" customHeight="1">
      <c r="A913" s="212"/>
      <c r="B913" s="212"/>
      <c r="C913" s="212"/>
      <c r="D913" s="212"/>
      <c r="E913" s="212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</row>
    <row r="914" ht="15.75" customHeight="1">
      <c r="A914" s="212"/>
      <c r="B914" s="212"/>
      <c r="C914" s="212"/>
      <c r="D914" s="212"/>
      <c r="E914" s="212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</row>
    <row r="915" ht="15.75" customHeight="1">
      <c r="A915" s="212"/>
      <c r="B915" s="212"/>
      <c r="C915" s="212"/>
      <c r="D915" s="212"/>
      <c r="E915" s="212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</row>
    <row r="916" ht="15.75" customHeight="1">
      <c r="A916" s="212"/>
      <c r="B916" s="212"/>
      <c r="C916" s="212"/>
      <c r="D916" s="212"/>
      <c r="E916" s="212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</row>
    <row r="917" ht="15.75" customHeight="1">
      <c r="A917" s="212"/>
      <c r="B917" s="212"/>
      <c r="C917" s="212"/>
      <c r="D917" s="212"/>
      <c r="E917" s="212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</row>
    <row r="918" ht="15.75" customHeight="1">
      <c r="A918" s="212"/>
      <c r="B918" s="212"/>
      <c r="C918" s="212"/>
      <c r="D918" s="212"/>
      <c r="E918" s="212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</row>
    <row r="919" ht="15.75" customHeight="1">
      <c r="A919" s="212"/>
      <c r="B919" s="212"/>
      <c r="C919" s="212"/>
      <c r="D919" s="212"/>
      <c r="E919" s="212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</row>
    <row r="920" ht="15.75" customHeight="1">
      <c r="A920" s="212"/>
      <c r="B920" s="212"/>
      <c r="C920" s="212"/>
      <c r="D920" s="212"/>
      <c r="E920" s="212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</row>
    <row r="921" ht="15.75" customHeight="1">
      <c r="A921" s="212"/>
      <c r="B921" s="212"/>
      <c r="C921" s="212"/>
      <c r="D921" s="212"/>
      <c r="E921" s="212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</row>
    <row r="922" ht="15.75" customHeight="1">
      <c r="A922" s="212"/>
      <c r="B922" s="212"/>
      <c r="C922" s="212"/>
      <c r="D922" s="212"/>
      <c r="E922" s="212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</row>
    <row r="923" ht="15.75" customHeight="1">
      <c r="A923" s="212"/>
      <c r="B923" s="212"/>
      <c r="C923" s="212"/>
      <c r="D923" s="212"/>
      <c r="E923" s="212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</row>
    <row r="924" ht="15.75" customHeight="1">
      <c r="A924" s="212"/>
      <c r="B924" s="212"/>
      <c r="C924" s="212"/>
      <c r="D924" s="212"/>
      <c r="E924" s="212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</row>
    <row r="925" ht="15.75" customHeight="1">
      <c r="A925" s="212"/>
      <c r="B925" s="212"/>
      <c r="C925" s="212"/>
      <c r="D925" s="212"/>
      <c r="E925" s="212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</row>
    <row r="926" ht="15.75" customHeight="1">
      <c r="A926" s="212"/>
      <c r="B926" s="212"/>
      <c r="C926" s="212"/>
      <c r="D926" s="212"/>
      <c r="E926" s="212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</row>
    <row r="927" ht="15.75" customHeight="1">
      <c r="A927" s="212"/>
      <c r="B927" s="212"/>
      <c r="C927" s="212"/>
      <c r="D927" s="212"/>
      <c r="E927" s="212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</row>
    <row r="928" ht="15.75" customHeight="1">
      <c r="A928" s="212"/>
      <c r="B928" s="212"/>
      <c r="C928" s="212"/>
      <c r="D928" s="212"/>
      <c r="E928" s="212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</row>
    <row r="929" ht="15.75" customHeight="1">
      <c r="A929" s="212"/>
      <c r="B929" s="212"/>
      <c r="C929" s="212"/>
      <c r="D929" s="212"/>
      <c r="E929" s="212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</row>
    <row r="930" ht="15.75" customHeight="1">
      <c r="A930" s="212"/>
      <c r="B930" s="212"/>
      <c r="C930" s="212"/>
      <c r="D930" s="212"/>
      <c r="E930" s="212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</row>
    <row r="931" ht="15.75" customHeight="1">
      <c r="A931" s="212"/>
      <c r="B931" s="212"/>
      <c r="C931" s="212"/>
      <c r="D931" s="212"/>
      <c r="E931" s="212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</row>
    <row r="932" ht="15.75" customHeight="1">
      <c r="A932" s="212"/>
      <c r="B932" s="212"/>
      <c r="C932" s="212"/>
      <c r="D932" s="212"/>
      <c r="E932" s="212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</row>
    <row r="933" ht="15.75" customHeight="1">
      <c r="A933" s="212"/>
      <c r="B933" s="212"/>
      <c r="C933" s="212"/>
      <c r="D933" s="212"/>
      <c r="E933" s="212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</row>
    <row r="934" ht="15.75" customHeight="1">
      <c r="A934" s="212"/>
      <c r="B934" s="212"/>
      <c r="C934" s="212"/>
      <c r="D934" s="212"/>
      <c r="E934" s="212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</row>
    <row r="935" ht="15.75" customHeight="1">
      <c r="A935" s="212"/>
      <c r="B935" s="212"/>
      <c r="C935" s="212"/>
      <c r="D935" s="212"/>
      <c r="E935" s="212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</row>
    <row r="936" ht="15.75" customHeight="1">
      <c r="A936" s="212"/>
      <c r="B936" s="212"/>
      <c r="C936" s="212"/>
      <c r="D936" s="212"/>
      <c r="E936" s="212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</row>
    <row r="937" ht="15.75" customHeight="1">
      <c r="A937" s="212"/>
      <c r="B937" s="212"/>
      <c r="C937" s="212"/>
      <c r="D937" s="212"/>
      <c r="E937" s="212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</row>
    <row r="938" ht="15.75" customHeight="1">
      <c r="A938" s="212"/>
      <c r="B938" s="212"/>
      <c r="C938" s="212"/>
      <c r="D938" s="212"/>
      <c r="E938" s="212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</row>
    <row r="939" ht="15.75" customHeight="1">
      <c r="A939" s="212"/>
      <c r="B939" s="212"/>
      <c r="C939" s="212"/>
      <c r="D939" s="212"/>
      <c r="E939" s="212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</row>
    <row r="940" ht="15.75" customHeight="1">
      <c r="A940" s="212"/>
      <c r="B940" s="212"/>
      <c r="C940" s="212"/>
      <c r="D940" s="212"/>
      <c r="E940" s="212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</row>
    <row r="941" ht="15.75" customHeight="1">
      <c r="A941" s="212"/>
      <c r="B941" s="212"/>
      <c r="C941" s="212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</row>
    <row r="942" ht="15.75" customHeight="1">
      <c r="A942" s="212"/>
      <c r="B942" s="212"/>
      <c r="C942" s="212"/>
      <c r="D942" s="212"/>
      <c r="E942" s="212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</row>
    <row r="943" ht="15.75" customHeight="1">
      <c r="A943" s="212"/>
      <c r="B943" s="212"/>
      <c r="C943" s="212"/>
      <c r="D943" s="212"/>
      <c r="E943" s="212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</row>
    <row r="944" ht="15.75" customHeight="1">
      <c r="A944" s="212"/>
      <c r="B944" s="212"/>
      <c r="C944" s="212"/>
      <c r="D944" s="212"/>
      <c r="E944" s="212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</row>
    <row r="945" ht="15.75" customHeight="1">
      <c r="A945" s="212"/>
      <c r="B945" s="212"/>
      <c r="C945" s="212"/>
      <c r="D945" s="212"/>
      <c r="E945" s="212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</row>
    <row r="946" ht="15.75" customHeight="1">
      <c r="A946" s="212"/>
      <c r="B946" s="212"/>
      <c r="C946" s="212"/>
      <c r="D946" s="212"/>
      <c r="E946" s="212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</row>
    <row r="947" ht="15.75" customHeight="1">
      <c r="A947" s="212"/>
      <c r="B947" s="212"/>
      <c r="C947" s="212"/>
      <c r="D947" s="212"/>
      <c r="E947" s="212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</row>
    <row r="948" ht="15.75" customHeight="1">
      <c r="A948" s="212"/>
      <c r="B948" s="212"/>
      <c r="C948" s="212"/>
      <c r="D948" s="212"/>
      <c r="E948" s="212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</row>
    <row r="949" ht="15.75" customHeight="1">
      <c r="A949" s="212"/>
      <c r="B949" s="212"/>
      <c r="C949" s="212"/>
      <c r="D949" s="212"/>
      <c r="E949" s="212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</row>
    <row r="950" ht="15.75" customHeight="1">
      <c r="A950" s="212"/>
      <c r="B950" s="212"/>
      <c r="C950" s="212"/>
      <c r="D950" s="212"/>
      <c r="E950" s="212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</row>
    <row r="951" ht="15.75" customHeight="1">
      <c r="A951" s="212"/>
      <c r="B951" s="212"/>
      <c r="C951" s="212"/>
      <c r="D951" s="212"/>
      <c r="E951" s="212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</row>
    <row r="952" ht="15.75" customHeight="1">
      <c r="A952" s="212"/>
      <c r="B952" s="212"/>
      <c r="C952" s="212"/>
      <c r="D952" s="212"/>
      <c r="E952" s="212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</row>
    <row r="953" ht="15.75" customHeight="1">
      <c r="A953" s="212"/>
      <c r="B953" s="212"/>
      <c r="C953" s="212"/>
      <c r="D953" s="212"/>
      <c r="E953" s="212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</row>
    <row r="954" ht="15.75" customHeight="1">
      <c r="A954" s="212"/>
      <c r="B954" s="212"/>
      <c r="C954" s="212"/>
      <c r="D954" s="212"/>
      <c r="E954" s="212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</row>
    <row r="955" ht="15.75" customHeight="1">
      <c r="A955" s="212"/>
      <c r="B955" s="212"/>
      <c r="C955" s="212"/>
      <c r="D955" s="212"/>
      <c r="E955" s="212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</row>
    <row r="956" ht="15.75" customHeight="1">
      <c r="A956" s="212"/>
      <c r="B956" s="212"/>
      <c r="C956" s="212"/>
      <c r="D956" s="212"/>
      <c r="E956" s="212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</row>
    <row r="957" ht="15.75" customHeight="1">
      <c r="A957" s="212"/>
      <c r="B957" s="212"/>
      <c r="C957" s="212"/>
      <c r="D957" s="212"/>
      <c r="E957" s="212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</row>
    <row r="958" ht="15.75" customHeight="1">
      <c r="A958" s="212"/>
      <c r="B958" s="212"/>
      <c r="C958" s="212"/>
      <c r="D958" s="212"/>
      <c r="E958" s="212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</row>
    <row r="959" ht="15.75" customHeight="1">
      <c r="A959" s="212"/>
      <c r="B959" s="212"/>
      <c r="C959" s="212"/>
      <c r="D959" s="212"/>
      <c r="E959" s="212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</row>
    <row r="960" ht="15.75" customHeight="1">
      <c r="A960" s="212"/>
      <c r="B960" s="212"/>
      <c r="C960" s="212"/>
      <c r="D960" s="212"/>
      <c r="E960" s="212"/>
      <c r="F960" s="212"/>
      <c r="G960" s="212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/>
      <c r="Z960" s="212"/>
    </row>
    <row r="961" ht="15.75" customHeight="1">
      <c r="A961" s="212"/>
      <c r="B961" s="212"/>
      <c r="C961" s="212"/>
      <c r="D961" s="212"/>
      <c r="E961" s="212"/>
      <c r="F961" s="212"/>
      <c r="G961" s="212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/>
      <c r="Z961" s="212"/>
    </row>
    <row r="962" ht="15.75" customHeight="1">
      <c r="A962" s="212"/>
      <c r="B962" s="212"/>
      <c r="C962" s="212"/>
      <c r="D962" s="212"/>
      <c r="E962" s="212"/>
      <c r="F962" s="212"/>
      <c r="G962" s="212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  <c r="Y962" s="212"/>
      <c r="Z962" s="212"/>
    </row>
    <row r="963" ht="15.75" customHeight="1">
      <c r="A963" s="212"/>
      <c r="B963" s="212"/>
      <c r="C963" s="212"/>
      <c r="D963" s="212"/>
      <c r="E963" s="212"/>
      <c r="F963" s="212"/>
      <c r="G963" s="212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  <c r="Y963" s="212"/>
      <c r="Z963" s="212"/>
    </row>
    <row r="964" ht="15.75" customHeight="1">
      <c r="A964" s="212"/>
      <c r="B964" s="212"/>
      <c r="C964" s="212"/>
      <c r="D964" s="212"/>
      <c r="E964" s="212"/>
      <c r="F964" s="212"/>
      <c r="G964" s="212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  <c r="Y964" s="212"/>
      <c r="Z964" s="212"/>
    </row>
    <row r="965" ht="15.75" customHeight="1">
      <c r="A965" s="212"/>
      <c r="B965" s="212"/>
      <c r="C965" s="212"/>
      <c r="D965" s="212"/>
      <c r="E965" s="212"/>
      <c r="F965" s="212"/>
      <c r="G965" s="212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  <c r="Y965" s="212"/>
      <c r="Z965" s="212"/>
    </row>
    <row r="966" ht="15.75" customHeight="1">
      <c r="A966" s="212"/>
      <c r="B966" s="212"/>
      <c r="C966" s="212"/>
      <c r="D966" s="212"/>
      <c r="E966" s="212"/>
      <c r="F966" s="212"/>
      <c r="G966" s="212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/>
      <c r="Z966" s="212"/>
    </row>
    <row r="967" ht="15.75" customHeight="1">
      <c r="A967" s="212"/>
      <c r="B967" s="212"/>
      <c r="C967" s="212"/>
      <c r="D967" s="212"/>
      <c r="E967" s="212"/>
      <c r="F967" s="212"/>
      <c r="G967" s="212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  <c r="Y967" s="212"/>
      <c r="Z967" s="212"/>
    </row>
    <row r="968" ht="15.75" customHeight="1">
      <c r="A968" s="212"/>
      <c r="B968" s="212"/>
      <c r="C968" s="212"/>
      <c r="D968" s="212"/>
      <c r="E968" s="212"/>
      <c r="F968" s="212"/>
      <c r="G968" s="212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/>
      <c r="Z968" s="212"/>
    </row>
    <row r="969" ht="15.75" customHeight="1">
      <c r="A969" s="212"/>
      <c r="B969" s="212"/>
      <c r="C969" s="212"/>
      <c r="D969" s="212"/>
      <c r="E969" s="212"/>
      <c r="F969" s="212"/>
      <c r="G969" s="212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/>
      <c r="Z969" s="212"/>
    </row>
    <row r="970" ht="15.75" customHeight="1">
      <c r="A970" s="212"/>
      <c r="B970" s="212"/>
      <c r="C970" s="212"/>
      <c r="D970" s="212"/>
      <c r="E970" s="212"/>
      <c r="F970" s="212"/>
      <c r="G970" s="212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  <c r="Y970" s="212"/>
      <c r="Z970" s="212"/>
    </row>
    <row r="971" ht="15.75" customHeight="1">
      <c r="A971" s="212"/>
      <c r="B971" s="212"/>
      <c r="C971" s="212"/>
      <c r="D971" s="212"/>
      <c r="E971" s="212"/>
      <c r="F971" s="212"/>
      <c r="G971" s="212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  <c r="Y971" s="212"/>
      <c r="Z971" s="212"/>
    </row>
    <row r="972" ht="15.75" customHeight="1">
      <c r="A972" s="212"/>
      <c r="B972" s="212"/>
      <c r="C972" s="212"/>
      <c r="D972" s="212"/>
      <c r="E972" s="212"/>
      <c r="F972" s="212"/>
      <c r="G972" s="212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  <c r="Y972" s="212"/>
      <c r="Z972" s="212"/>
    </row>
    <row r="973" ht="15.75" customHeight="1">
      <c r="A973" s="212"/>
      <c r="B973" s="212"/>
      <c r="C973" s="212"/>
      <c r="D973" s="212"/>
      <c r="E973" s="212"/>
      <c r="F973" s="212"/>
      <c r="G973" s="212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  <c r="Y973" s="212"/>
      <c r="Z973" s="212"/>
    </row>
    <row r="974" ht="15.75" customHeight="1">
      <c r="A974" s="212"/>
      <c r="B974" s="212"/>
      <c r="C974" s="212"/>
      <c r="D974" s="212"/>
      <c r="E974" s="212"/>
      <c r="F974" s="212"/>
      <c r="G974" s="212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  <c r="Y974" s="212"/>
      <c r="Z974" s="212"/>
    </row>
    <row r="975" ht="15.75" customHeight="1">
      <c r="A975" s="212"/>
      <c r="B975" s="212"/>
      <c r="C975" s="212"/>
      <c r="D975" s="212"/>
      <c r="E975" s="212"/>
      <c r="F975" s="212"/>
      <c r="G975" s="212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  <c r="Y975" s="212"/>
      <c r="Z975" s="212"/>
    </row>
    <row r="976" ht="15.75" customHeight="1">
      <c r="A976" s="212"/>
      <c r="B976" s="212"/>
      <c r="C976" s="212"/>
      <c r="D976" s="212"/>
      <c r="E976" s="212"/>
      <c r="F976" s="212"/>
      <c r="G976" s="212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  <c r="Y976" s="212"/>
      <c r="Z976" s="212"/>
    </row>
    <row r="977" ht="15.75" customHeight="1">
      <c r="A977" s="212"/>
      <c r="B977" s="212"/>
      <c r="C977" s="212"/>
      <c r="D977" s="212"/>
      <c r="E977" s="212"/>
      <c r="F977" s="212"/>
      <c r="G977" s="212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/>
      <c r="Z977" s="212"/>
    </row>
    <row r="978" ht="15.75" customHeight="1">
      <c r="A978" s="212"/>
      <c r="B978" s="212"/>
      <c r="C978" s="212"/>
      <c r="D978" s="212"/>
      <c r="E978" s="212"/>
      <c r="F978" s="212"/>
      <c r="G978" s="212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/>
      <c r="Z978" s="212"/>
    </row>
    <row r="979" ht="15.75" customHeight="1">
      <c r="A979" s="212"/>
      <c r="B979" s="212"/>
      <c r="C979" s="212"/>
      <c r="D979" s="212"/>
      <c r="E979" s="212"/>
      <c r="F979" s="212"/>
      <c r="G979" s="212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  <c r="Y979" s="212"/>
      <c r="Z979" s="212"/>
    </row>
    <row r="980" ht="15.75" customHeight="1">
      <c r="A980" s="212"/>
      <c r="B980" s="212"/>
      <c r="C980" s="212"/>
      <c r="D980" s="212"/>
      <c r="E980" s="212"/>
      <c r="F980" s="212"/>
      <c r="G980" s="212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/>
      <c r="Z980" s="212"/>
    </row>
    <row r="981" ht="15.75" customHeight="1">
      <c r="A981" s="212"/>
      <c r="B981" s="212"/>
      <c r="C981" s="212"/>
      <c r="D981" s="212"/>
      <c r="E981" s="212"/>
      <c r="F981" s="212"/>
      <c r="G981" s="212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/>
      <c r="Z981" s="212"/>
    </row>
    <row r="982" ht="15.75" customHeight="1">
      <c r="A982" s="212"/>
      <c r="B982" s="212"/>
      <c r="C982" s="212"/>
      <c r="D982" s="212"/>
      <c r="E982" s="212"/>
      <c r="F982" s="212"/>
      <c r="G982" s="212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/>
      <c r="Z982" s="212"/>
    </row>
    <row r="983" ht="15.75" customHeight="1">
      <c r="A983" s="212"/>
      <c r="B983" s="212"/>
      <c r="C983" s="212"/>
      <c r="D983" s="212"/>
      <c r="E983" s="212"/>
      <c r="F983" s="212"/>
      <c r="G983" s="212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212"/>
      <c r="V983" s="212"/>
      <c r="W983" s="212"/>
      <c r="X983" s="212"/>
      <c r="Y983" s="212"/>
      <c r="Z983" s="212"/>
    </row>
    <row r="984" ht="15.75" customHeight="1">
      <c r="A984" s="212"/>
      <c r="B984" s="212"/>
      <c r="C984" s="212"/>
      <c r="D984" s="212"/>
      <c r="E984" s="212"/>
      <c r="F984" s="212"/>
      <c r="G984" s="212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212"/>
      <c r="V984" s="212"/>
      <c r="W984" s="212"/>
      <c r="X984" s="212"/>
      <c r="Y984" s="212"/>
      <c r="Z984" s="212"/>
    </row>
    <row r="985" ht="15.75" customHeight="1">
      <c r="A985" s="212"/>
      <c r="B985" s="212"/>
      <c r="C985" s="212"/>
      <c r="D985" s="212"/>
      <c r="E985" s="212"/>
      <c r="F985" s="212"/>
      <c r="G985" s="212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212"/>
      <c r="V985" s="212"/>
      <c r="W985" s="212"/>
      <c r="X985" s="212"/>
      <c r="Y985" s="212"/>
      <c r="Z985" s="212"/>
    </row>
    <row r="986" ht="15.75" customHeight="1">
      <c r="A986" s="212"/>
      <c r="B986" s="212"/>
      <c r="C986" s="212"/>
      <c r="D986" s="212"/>
      <c r="E986" s="212"/>
      <c r="F986" s="212"/>
      <c r="G986" s="212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  <c r="S986" s="212"/>
      <c r="T986" s="212"/>
      <c r="U986" s="212"/>
      <c r="V986" s="212"/>
      <c r="W986" s="212"/>
      <c r="X986" s="212"/>
      <c r="Y986" s="212"/>
      <c r="Z986" s="212"/>
    </row>
    <row r="987" ht="15.75" customHeight="1">
      <c r="A987" s="212"/>
      <c r="B987" s="212"/>
      <c r="C987" s="212"/>
      <c r="D987" s="212"/>
      <c r="E987" s="212"/>
      <c r="F987" s="212"/>
      <c r="G987" s="212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  <c r="S987" s="212"/>
      <c r="T987" s="212"/>
      <c r="U987" s="212"/>
      <c r="V987" s="212"/>
      <c r="W987" s="212"/>
      <c r="X987" s="212"/>
      <c r="Y987" s="212"/>
      <c r="Z987" s="212"/>
    </row>
    <row r="988" ht="15.75" customHeight="1">
      <c r="A988" s="212"/>
      <c r="B988" s="212"/>
      <c r="C988" s="212"/>
      <c r="D988" s="212"/>
      <c r="E988" s="212"/>
      <c r="F988" s="212"/>
      <c r="G988" s="212"/>
      <c r="H988" s="212"/>
      <c r="I988" s="212"/>
      <c r="J988" s="212"/>
      <c r="K988" s="212"/>
      <c r="L988" s="212"/>
      <c r="M988" s="212"/>
      <c r="N988" s="212"/>
      <c r="O988" s="212"/>
      <c r="P988" s="212"/>
      <c r="Q988" s="212"/>
      <c r="R988" s="212"/>
      <c r="S988" s="212"/>
      <c r="T988" s="212"/>
      <c r="U988" s="212"/>
      <c r="V988" s="212"/>
      <c r="W988" s="212"/>
      <c r="X988" s="212"/>
      <c r="Y988" s="212"/>
      <c r="Z988" s="212"/>
    </row>
    <row r="989" ht="15.75" customHeight="1">
      <c r="A989" s="212"/>
      <c r="B989" s="212"/>
      <c r="C989" s="212"/>
      <c r="D989" s="212"/>
      <c r="E989" s="212"/>
      <c r="F989" s="212"/>
      <c r="G989" s="212"/>
      <c r="H989" s="212"/>
      <c r="I989" s="212"/>
      <c r="J989" s="212"/>
      <c r="K989" s="212"/>
      <c r="L989" s="212"/>
      <c r="M989" s="212"/>
      <c r="N989" s="212"/>
      <c r="O989" s="212"/>
      <c r="P989" s="212"/>
      <c r="Q989" s="212"/>
      <c r="R989" s="212"/>
      <c r="S989" s="212"/>
      <c r="T989" s="212"/>
      <c r="U989" s="212"/>
      <c r="V989" s="212"/>
      <c r="W989" s="212"/>
      <c r="X989" s="212"/>
      <c r="Y989" s="212"/>
      <c r="Z989" s="212"/>
    </row>
    <row r="990" ht="15.75" customHeight="1">
      <c r="A990" s="212"/>
      <c r="B990" s="212"/>
      <c r="C990" s="212"/>
      <c r="D990" s="212"/>
      <c r="E990" s="212"/>
      <c r="F990" s="212"/>
      <c r="G990" s="212"/>
      <c r="H990" s="212"/>
      <c r="I990" s="212"/>
      <c r="J990" s="212"/>
      <c r="K990" s="212"/>
      <c r="L990" s="212"/>
      <c r="M990" s="212"/>
      <c r="N990" s="212"/>
      <c r="O990" s="212"/>
      <c r="P990" s="212"/>
      <c r="Q990" s="212"/>
      <c r="R990" s="212"/>
      <c r="S990" s="212"/>
      <c r="T990" s="212"/>
      <c r="U990" s="212"/>
      <c r="V990" s="212"/>
      <c r="W990" s="212"/>
      <c r="X990" s="212"/>
      <c r="Y990" s="212"/>
      <c r="Z990" s="212"/>
    </row>
    <row r="991" ht="15.75" customHeight="1">
      <c r="A991" s="212"/>
      <c r="B991" s="212"/>
      <c r="C991" s="212"/>
      <c r="D991" s="212"/>
      <c r="E991" s="212"/>
      <c r="F991" s="212"/>
      <c r="G991" s="212"/>
      <c r="H991" s="212"/>
      <c r="I991" s="212"/>
      <c r="J991" s="212"/>
      <c r="K991" s="212"/>
      <c r="L991" s="212"/>
      <c r="M991" s="212"/>
      <c r="N991" s="212"/>
      <c r="O991" s="212"/>
      <c r="P991" s="212"/>
      <c r="Q991" s="212"/>
      <c r="R991" s="212"/>
      <c r="S991" s="212"/>
      <c r="T991" s="212"/>
      <c r="U991" s="212"/>
      <c r="V991" s="212"/>
      <c r="W991" s="212"/>
      <c r="X991" s="212"/>
      <c r="Y991" s="212"/>
      <c r="Z991" s="212"/>
    </row>
    <row r="992" ht="15.75" customHeight="1">
      <c r="A992" s="212"/>
      <c r="B992" s="212"/>
      <c r="C992" s="212"/>
      <c r="D992" s="212"/>
      <c r="E992" s="212"/>
      <c r="F992" s="212"/>
      <c r="G992" s="212"/>
      <c r="H992" s="212"/>
      <c r="I992" s="212"/>
      <c r="J992" s="212"/>
      <c r="K992" s="212"/>
      <c r="L992" s="212"/>
      <c r="M992" s="212"/>
      <c r="N992" s="212"/>
      <c r="O992" s="212"/>
      <c r="P992" s="212"/>
      <c r="Q992" s="212"/>
      <c r="R992" s="212"/>
      <c r="S992" s="212"/>
      <c r="T992" s="212"/>
      <c r="U992" s="212"/>
      <c r="V992" s="212"/>
      <c r="W992" s="212"/>
      <c r="X992" s="212"/>
      <c r="Y992" s="212"/>
      <c r="Z992" s="212"/>
    </row>
    <row r="993" ht="15.75" customHeight="1">
      <c r="A993" s="212"/>
      <c r="B993" s="212"/>
      <c r="C993" s="212"/>
      <c r="D993" s="212"/>
      <c r="E993" s="212"/>
      <c r="F993" s="212"/>
      <c r="G993" s="212"/>
      <c r="H993" s="212"/>
      <c r="I993" s="212"/>
      <c r="J993" s="212"/>
      <c r="K993" s="212"/>
      <c r="L993" s="212"/>
      <c r="M993" s="212"/>
      <c r="N993" s="212"/>
      <c r="O993" s="212"/>
      <c r="P993" s="212"/>
      <c r="Q993" s="212"/>
      <c r="R993" s="212"/>
      <c r="S993" s="212"/>
      <c r="T993" s="212"/>
      <c r="U993" s="212"/>
      <c r="V993" s="212"/>
      <c r="W993" s="212"/>
      <c r="X993" s="212"/>
      <c r="Y993" s="212"/>
      <c r="Z993" s="212"/>
    </row>
    <row r="994" ht="15.75" customHeight="1">
      <c r="A994" s="212"/>
      <c r="B994" s="212"/>
      <c r="C994" s="212"/>
      <c r="D994" s="212"/>
      <c r="E994" s="212"/>
      <c r="F994" s="212"/>
      <c r="G994" s="212"/>
      <c r="H994" s="212"/>
      <c r="I994" s="212"/>
      <c r="J994" s="212"/>
      <c r="K994" s="212"/>
      <c r="L994" s="212"/>
      <c r="M994" s="212"/>
      <c r="N994" s="212"/>
      <c r="O994" s="212"/>
      <c r="P994" s="212"/>
      <c r="Q994" s="212"/>
      <c r="R994" s="212"/>
      <c r="S994" s="212"/>
      <c r="T994" s="212"/>
      <c r="U994" s="212"/>
      <c r="V994" s="212"/>
      <c r="W994" s="212"/>
      <c r="X994" s="212"/>
      <c r="Y994" s="212"/>
      <c r="Z994" s="212"/>
    </row>
    <row r="995" ht="15.75" customHeight="1">
      <c r="A995" s="212"/>
      <c r="B995" s="212"/>
      <c r="C995" s="212"/>
      <c r="D995" s="212"/>
      <c r="E995" s="212"/>
      <c r="F995" s="212"/>
      <c r="G995" s="212"/>
      <c r="H995" s="212"/>
      <c r="I995" s="212"/>
      <c r="J995" s="212"/>
      <c r="K995" s="212"/>
      <c r="L995" s="212"/>
      <c r="M995" s="212"/>
      <c r="N995" s="212"/>
      <c r="O995" s="212"/>
      <c r="P995" s="212"/>
      <c r="Q995" s="212"/>
      <c r="R995" s="212"/>
      <c r="S995" s="212"/>
      <c r="T995" s="212"/>
      <c r="U995" s="212"/>
      <c r="V995" s="212"/>
      <c r="W995" s="212"/>
      <c r="X995" s="212"/>
      <c r="Y995" s="212"/>
      <c r="Z995" s="212"/>
    </row>
    <row r="996" ht="15.75" customHeight="1">
      <c r="A996" s="212"/>
      <c r="B996" s="212"/>
      <c r="C996" s="212"/>
      <c r="D996" s="212"/>
      <c r="E996" s="212"/>
      <c r="F996" s="212"/>
      <c r="G996" s="212"/>
      <c r="H996" s="212"/>
      <c r="I996" s="212"/>
      <c r="J996" s="212"/>
      <c r="K996" s="212"/>
      <c r="L996" s="212"/>
      <c r="M996" s="212"/>
      <c r="N996" s="212"/>
      <c r="O996" s="212"/>
      <c r="P996" s="212"/>
      <c r="Q996" s="212"/>
      <c r="R996" s="212"/>
      <c r="S996" s="212"/>
      <c r="T996" s="212"/>
      <c r="U996" s="212"/>
      <c r="V996" s="212"/>
      <c r="W996" s="212"/>
      <c r="X996" s="212"/>
      <c r="Y996" s="212"/>
      <c r="Z996" s="212"/>
    </row>
    <row r="997" ht="15.75" customHeight="1">
      <c r="A997" s="212"/>
      <c r="B997" s="212"/>
      <c r="C997" s="212"/>
      <c r="D997" s="212"/>
      <c r="E997" s="212"/>
      <c r="F997" s="212"/>
      <c r="G997" s="212"/>
      <c r="H997" s="212"/>
      <c r="I997" s="212"/>
      <c r="J997" s="212"/>
      <c r="K997" s="212"/>
      <c r="L997" s="212"/>
      <c r="M997" s="212"/>
      <c r="N997" s="212"/>
      <c r="O997" s="212"/>
      <c r="P997" s="212"/>
      <c r="Q997" s="212"/>
      <c r="R997" s="212"/>
      <c r="S997" s="212"/>
      <c r="T997" s="212"/>
      <c r="U997" s="212"/>
      <c r="V997" s="212"/>
      <c r="W997" s="212"/>
      <c r="X997" s="212"/>
      <c r="Y997" s="212"/>
      <c r="Z997" s="212"/>
    </row>
    <row r="998" ht="15.75" customHeight="1">
      <c r="A998" s="212"/>
      <c r="B998" s="212"/>
      <c r="C998" s="212"/>
      <c r="D998" s="212"/>
      <c r="E998" s="212"/>
      <c r="F998" s="212"/>
      <c r="G998" s="212"/>
      <c r="H998" s="212"/>
      <c r="I998" s="212"/>
      <c r="J998" s="212"/>
      <c r="K998" s="212"/>
      <c r="L998" s="212"/>
      <c r="M998" s="212"/>
      <c r="N998" s="212"/>
      <c r="O998" s="212"/>
      <c r="P998" s="212"/>
      <c r="Q998" s="212"/>
      <c r="R998" s="212"/>
      <c r="S998" s="212"/>
      <c r="T998" s="212"/>
      <c r="U998" s="212"/>
      <c r="V998" s="212"/>
      <c r="W998" s="212"/>
      <c r="X998" s="212"/>
      <c r="Y998" s="212"/>
      <c r="Z998" s="212"/>
    </row>
    <row r="999" ht="15.75" customHeight="1">
      <c r="A999" s="212"/>
      <c r="B999" s="212"/>
      <c r="C999" s="212"/>
      <c r="D999" s="212"/>
      <c r="E999" s="212"/>
      <c r="F999" s="212"/>
      <c r="G999" s="212"/>
      <c r="H999" s="212"/>
      <c r="I999" s="212"/>
      <c r="J999" s="212"/>
      <c r="K999" s="212"/>
      <c r="L999" s="212"/>
      <c r="M999" s="212"/>
      <c r="N999" s="212"/>
      <c r="O999" s="212"/>
      <c r="P999" s="212"/>
      <c r="Q999" s="212"/>
      <c r="R999" s="212"/>
      <c r="S999" s="212"/>
      <c r="T999" s="212"/>
      <c r="U999" s="212"/>
      <c r="V999" s="212"/>
      <c r="W999" s="212"/>
      <c r="X999" s="212"/>
      <c r="Y999" s="212"/>
      <c r="Z999" s="212"/>
    </row>
    <row r="1000" ht="15.75" customHeight="1">
      <c r="A1000" s="212"/>
      <c r="B1000" s="212"/>
      <c r="C1000" s="212"/>
      <c r="D1000" s="212"/>
      <c r="E1000" s="212"/>
      <c r="F1000" s="212"/>
      <c r="G1000" s="212"/>
      <c r="H1000" s="212"/>
      <c r="I1000" s="212"/>
      <c r="J1000" s="212"/>
      <c r="K1000" s="212"/>
      <c r="L1000" s="212"/>
      <c r="M1000" s="212"/>
      <c r="N1000" s="212"/>
      <c r="O1000" s="212"/>
      <c r="P1000" s="212"/>
      <c r="Q1000" s="212"/>
      <c r="R1000" s="212"/>
      <c r="S1000" s="212"/>
      <c r="T1000" s="212"/>
      <c r="U1000" s="212"/>
      <c r="V1000" s="212"/>
      <c r="W1000" s="212"/>
      <c r="X1000" s="212"/>
      <c r="Y1000" s="212"/>
      <c r="Z1000" s="212"/>
    </row>
  </sheetData>
  <mergeCells count="9">
    <mergeCell ref="B60:C60"/>
    <mergeCell ref="C67:E67"/>
    <mergeCell ref="B2:K2"/>
    <mergeCell ref="B3:K3"/>
    <mergeCell ref="B4:K4"/>
    <mergeCell ref="B39:C39"/>
    <mergeCell ref="B43:J43"/>
    <mergeCell ref="B50:E50"/>
    <mergeCell ref="B53:J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4.5"/>
    <col customWidth="1" min="8" max="8" width="15.63"/>
    <col customWidth="1" min="9" max="9" width="23.38"/>
    <col customWidth="1" min="10" max="10" width="14.0"/>
    <col customWidth="1" min="11" max="11" width="14.13"/>
    <col customWidth="1" min="13" max="13" width="13.5"/>
  </cols>
  <sheetData>
    <row r="1" ht="15.75" customHeight="1">
      <c r="A1" s="226"/>
      <c r="B1" s="227"/>
      <c r="C1" s="227"/>
      <c r="D1" s="227"/>
      <c r="E1" s="226"/>
      <c r="F1" s="226"/>
      <c r="G1" s="228"/>
      <c r="H1" s="228"/>
      <c r="I1" s="228"/>
      <c r="J1" s="228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</row>
    <row r="2" ht="15.75" customHeight="1">
      <c r="A2" s="226"/>
      <c r="B2" s="229"/>
      <c r="C2" s="229"/>
      <c r="D2" s="229"/>
      <c r="E2" s="226"/>
      <c r="F2" s="226"/>
      <c r="G2" s="230" t="s">
        <v>145</v>
      </c>
      <c r="H2" s="106"/>
      <c r="I2" s="106"/>
      <c r="J2" s="107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</row>
    <row r="3" ht="15.75" customHeight="1">
      <c r="A3" s="226"/>
      <c r="B3" s="231" t="s">
        <v>146</v>
      </c>
      <c r="C3" s="232" t="s">
        <v>147</v>
      </c>
      <c r="D3" s="233" t="s">
        <v>148</v>
      </c>
      <c r="E3" s="226"/>
      <c r="F3" s="226"/>
      <c r="G3" s="234" t="s">
        <v>149</v>
      </c>
      <c r="H3" s="233" t="s">
        <v>147</v>
      </c>
      <c r="I3" s="234" t="s">
        <v>150</v>
      </c>
      <c r="J3" s="234" t="s">
        <v>151</v>
      </c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</row>
    <row r="4" ht="15.75" customHeight="1">
      <c r="A4" s="235"/>
      <c r="B4" s="236" t="s">
        <v>75</v>
      </c>
      <c r="C4" s="237">
        <v>6.6857989E7</v>
      </c>
      <c r="D4" s="238">
        <f t="shared" ref="D4:D9" si="1">C4/$C$10</f>
        <v>0.4421648373</v>
      </c>
      <c r="E4" s="239"/>
      <c r="F4" s="226"/>
      <c r="G4" s="240" t="s">
        <v>152</v>
      </c>
      <c r="H4" s="241">
        <f>'Cash Report'!F28</f>
        <v>103956056.3</v>
      </c>
      <c r="I4" s="242">
        <v>1.0</v>
      </c>
      <c r="J4" s="238">
        <f t="shared" ref="J4:J6" si="2">H4*I4</f>
        <v>103956056.3</v>
      </c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</row>
    <row r="5" ht="15.75" customHeight="1">
      <c r="A5" s="235"/>
      <c r="B5" s="236" t="s">
        <v>76</v>
      </c>
      <c r="C5" s="238">
        <v>10993.48</v>
      </c>
      <c r="D5" s="238">
        <f t="shared" si="1"/>
        <v>0.00007270530221</v>
      </c>
      <c r="E5" s="239"/>
      <c r="F5" s="226"/>
      <c r="G5" s="240" t="s">
        <v>153</v>
      </c>
      <c r="H5" s="243">
        <f>'Cash Report'!D39</f>
        <v>203323.37</v>
      </c>
      <c r="I5" s="244">
        <f>'Cash Report'!$E$31</f>
        <v>1353.01</v>
      </c>
      <c r="J5" s="238">
        <f t="shared" si="2"/>
        <v>275098552.8</v>
      </c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</row>
    <row r="6" ht="15.75" customHeight="1">
      <c r="A6" s="235"/>
      <c r="B6" s="245" t="s">
        <v>70</v>
      </c>
      <c r="C6" s="238">
        <v>527863.3214</v>
      </c>
      <c r="D6" s="238">
        <f t="shared" si="1"/>
        <v>0.003491020342</v>
      </c>
      <c r="E6" s="239"/>
      <c r="F6" s="226"/>
      <c r="G6" s="240" t="s">
        <v>154</v>
      </c>
      <c r="H6" s="246">
        <v>2525.0</v>
      </c>
      <c r="I6" s="247">
        <f>'Cash Report'!E30</f>
        <v>1844.24</v>
      </c>
      <c r="J6" s="238">
        <f t="shared" si="2"/>
        <v>4656706</v>
      </c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</row>
    <row r="7" ht="15.75" customHeight="1">
      <c r="A7" s="235"/>
      <c r="B7" s="248" t="s">
        <v>63</v>
      </c>
      <c r="C7" s="249">
        <v>195663.50269999998</v>
      </c>
      <c r="D7" s="238">
        <f t="shared" si="1"/>
        <v>0.001294019191</v>
      </c>
      <c r="E7" s="239"/>
      <c r="F7" s="226"/>
      <c r="G7" s="250"/>
      <c r="H7" s="238"/>
      <c r="I7" s="228"/>
      <c r="J7" s="251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</row>
    <row r="8" ht="15.75" customHeight="1">
      <c r="A8" s="235"/>
      <c r="B8" s="252" t="s">
        <v>67</v>
      </c>
      <c r="C8" s="253">
        <v>3.588453122E7</v>
      </c>
      <c r="D8" s="238">
        <f t="shared" si="1"/>
        <v>0.2373220934</v>
      </c>
      <c r="E8" s="239"/>
      <c r="F8" s="226"/>
      <c r="G8" s="250" t="s">
        <v>155</v>
      </c>
      <c r="H8" s="238"/>
      <c r="I8" s="228"/>
      <c r="J8" s="251">
        <f>J4+J5+J6</f>
        <v>383711315.2</v>
      </c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</row>
    <row r="9" ht="15.75" customHeight="1">
      <c r="A9" s="235"/>
      <c r="B9" s="254" t="s">
        <v>156</v>
      </c>
      <c r="C9" s="253">
        <v>4.7728988E7</v>
      </c>
      <c r="D9" s="238">
        <f t="shared" si="1"/>
        <v>0.3156553245</v>
      </c>
      <c r="E9" s="239"/>
      <c r="F9" s="226"/>
      <c r="G9" s="248"/>
      <c r="H9" s="255"/>
      <c r="I9" s="248"/>
      <c r="J9" s="248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</row>
    <row r="10" ht="15.75" customHeight="1">
      <c r="A10" s="235"/>
      <c r="B10" s="256" t="s">
        <v>157</v>
      </c>
      <c r="C10" s="251">
        <f>sum(C4:C9)</f>
        <v>151206028.5</v>
      </c>
      <c r="D10" s="251">
        <f>C10/$C$10*100</f>
        <v>100</v>
      </c>
      <c r="E10" s="239"/>
      <c r="F10" s="226"/>
      <c r="G10" s="257" t="s">
        <v>158</v>
      </c>
      <c r="H10" s="233" t="s">
        <v>147</v>
      </c>
      <c r="I10" s="233" t="s">
        <v>148</v>
      </c>
      <c r="J10" s="228"/>
      <c r="K10" s="239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</row>
    <row r="11" ht="15.75" customHeight="1">
      <c r="A11" s="235"/>
      <c r="B11" s="229"/>
      <c r="C11" s="229"/>
      <c r="D11" s="229"/>
      <c r="E11" s="239"/>
      <c r="F11" s="235"/>
      <c r="G11" s="236" t="s">
        <v>75</v>
      </c>
      <c r="H11" s="237">
        <v>6.6857989E7</v>
      </c>
      <c r="I11" s="238">
        <v>0.4421648372924749</v>
      </c>
      <c r="J11" s="228"/>
      <c r="K11" s="239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</row>
    <row r="12" ht="15.75" customHeight="1">
      <c r="A12" s="235"/>
      <c r="B12" s="256" t="s">
        <v>28</v>
      </c>
      <c r="C12" s="234" t="s">
        <v>147</v>
      </c>
      <c r="D12" s="233" t="s">
        <v>148</v>
      </c>
      <c r="E12" s="239"/>
      <c r="F12" s="235"/>
      <c r="G12" s="236" t="s">
        <v>76</v>
      </c>
      <c r="H12" s="238">
        <v>10993.48</v>
      </c>
      <c r="I12" s="238">
        <v>7.270530221119987E-5</v>
      </c>
      <c r="J12" s="228"/>
      <c r="K12" s="239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</row>
    <row r="13" ht="15.75" customHeight="1">
      <c r="A13" s="235"/>
      <c r="B13" s="258" t="s">
        <v>32</v>
      </c>
      <c r="C13" s="259">
        <v>3.453954042E7</v>
      </c>
      <c r="D13" s="238">
        <f t="shared" ref="D13:D20" si="3">C13/C$21*100</f>
        <v>49.68131773</v>
      </c>
      <c r="E13" s="239"/>
      <c r="F13" s="235"/>
      <c r="G13" s="245" t="s">
        <v>70</v>
      </c>
      <c r="H13" s="238">
        <v>527863.3214</v>
      </c>
      <c r="I13" s="238">
        <v>0.003491020341929465</v>
      </c>
      <c r="J13" s="260"/>
      <c r="K13" s="239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</row>
    <row r="14" ht="15.75" customHeight="1">
      <c r="A14" s="235"/>
      <c r="B14" s="258" t="s">
        <v>16</v>
      </c>
      <c r="C14" s="258">
        <v>286865.1802</v>
      </c>
      <c r="D14" s="238">
        <f t="shared" si="3"/>
        <v>0.4126239084</v>
      </c>
      <c r="E14" s="239"/>
      <c r="F14" s="235"/>
      <c r="G14" s="248" t="s">
        <v>63</v>
      </c>
      <c r="H14" s="249">
        <v>195663.50269999998</v>
      </c>
      <c r="I14" s="238">
        <v>0.0012940191909664113</v>
      </c>
      <c r="J14" s="260"/>
      <c r="K14" s="239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</row>
    <row r="15" ht="15.75" customHeight="1">
      <c r="A15" s="235"/>
      <c r="B15" s="258" t="s">
        <v>14</v>
      </c>
      <c r="C15" s="259">
        <v>7013010.0</v>
      </c>
      <c r="D15" s="238">
        <f t="shared" si="3"/>
        <v>10.08744105</v>
      </c>
      <c r="E15" s="239"/>
      <c r="F15" s="235"/>
      <c r="G15" s="252" t="s">
        <v>67</v>
      </c>
      <c r="H15" s="253">
        <v>3.588453122E7</v>
      </c>
      <c r="I15" s="253">
        <v>0.2373220933732846</v>
      </c>
      <c r="J15" s="261"/>
      <c r="K15" s="239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</row>
    <row r="16" ht="15.75" customHeight="1">
      <c r="A16" s="235"/>
      <c r="B16" s="262" t="s">
        <v>36</v>
      </c>
      <c r="C16" s="258">
        <v>1661252.7381999998</v>
      </c>
      <c r="D16" s="238">
        <f t="shared" si="3"/>
        <v>2.389528758</v>
      </c>
      <c r="E16" s="239"/>
      <c r="F16" s="235"/>
      <c r="G16" s="254" t="s">
        <v>156</v>
      </c>
      <c r="H16" s="253">
        <v>4.7728988E7</v>
      </c>
      <c r="I16" s="253">
        <v>0.31565532449913336</v>
      </c>
      <c r="J16" s="261"/>
      <c r="K16" s="239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</row>
    <row r="17" ht="15.75" customHeight="1">
      <c r="A17" s="235"/>
      <c r="B17" s="228" t="s">
        <v>11</v>
      </c>
      <c r="C17" s="263">
        <v>2420995.5627</v>
      </c>
      <c r="D17" s="238">
        <f t="shared" si="3"/>
        <v>3.482334979</v>
      </c>
      <c r="E17" s="239"/>
      <c r="F17" s="226"/>
      <c r="G17" s="264"/>
      <c r="H17" s="265">
        <f>SUM(H11:H16)</f>
        <v>151206028.5</v>
      </c>
      <c r="I17" s="251">
        <f>H17/$H$17*100</f>
        <v>100</v>
      </c>
      <c r="J17" s="266">
        <f>H17</f>
        <v>151206028.5</v>
      </c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</row>
    <row r="18" ht="15.75" customHeight="1">
      <c r="A18" s="235"/>
      <c r="B18" s="240" t="s">
        <v>39</v>
      </c>
      <c r="C18" s="263">
        <v>2.27313806E7</v>
      </c>
      <c r="D18" s="238">
        <f t="shared" si="3"/>
        <v>32.69658277</v>
      </c>
      <c r="E18" s="226"/>
      <c r="F18" s="226"/>
      <c r="G18" s="267" t="s">
        <v>159</v>
      </c>
      <c r="H18" s="238"/>
      <c r="I18" s="228"/>
      <c r="J18" s="268">
        <f>SUM(J8:J17)</f>
        <v>534917343.7</v>
      </c>
      <c r="K18" s="239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</row>
    <row r="19" ht="15.75" customHeight="1">
      <c r="A19" s="235"/>
      <c r="B19" s="228" t="s">
        <v>15</v>
      </c>
      <c r="C19" s="263">
        <v>868500.0</v>
      </c>
      <c r="D19" s="238">
        <f t="shared" si="3"/>
        <v>1.249241418</v>
      </c>
      <c r="E19" s="226"/>
      <c r="F19" s="226"/>
      <c r="G19" s="250"/>
      <c r="H19" s="238"/>
      <c r="I19" s="228"/>
      <c r="J19" s="268"/>
      <c r="K19" s="239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</row>
    <row r="20" ht="15.75" customHeight="1">
      <c r="A20" s="226"/>
      <c r="B20" s="258" t="s">
        <v>42</v>
      </c>
      <c r="C20" s="269">
        <v>646.13</v>
      </c>
      <c r="D20" s="238">
        <f t="shared" si="3"/>
        <v>0.0009293867097</v>
      </c>
      <c r="E20" s="226"/>
      <c r="F20" s="226"/>
      <c r="G20" s="250" t="s">
        <v>28</v>
      </c>
      <c r="H20" s="270"/>
      <c r="I20" s="233" t="s">
        <v>148</v>
      </c>
      <c r="J20" s="228"/>
      <c r="K20" s="239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</row>
    <row r="21" ht="15.75" customHeight="1">
      <c r="A21" s="226"/>
      <c r="B21" s="228" t="s">
        <v>160</v>
      </c>
      <c r="C21" s="271">
        <f t="shared" ref="C21:D21" si="4">SUM(C13:C20)</f>
        <v>69522190.63</v>
      </c>
      <c r="D21" s="251">
        <f t="shared" si="4"/>
        <v>100</v>
      </c>
      <c r="E21" s="226"/>
      <c r="F21" s="226"/>
      <c r="G21" s="258" t="s">
        <v>32</v>
      </c>
      <c r="H21" s="259">
        <v>3.453954042E7</v>
      </c>
      <c r="I21" s="238">
        <v>49.68131772957843</v>
      </c>
      <c r="J21" s="228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</row>
    <row r="22" ht="15.75" customHeight="1">
      <c r="A22" s="226"/>
      <c r="B22" s="272" t="s">
        <v>161</v>
      </c>
      <c r="C22" s="273">
        <f>C10-C21</f>
        <v>81683837.89</v>
      </c>
      <c r="D22" s="228"/>
      <c r="E22" s="226"/>
      <c r="F22" s="226"/>
      <c r="G22" s="258" t="s">
        <v>16</v>
      </c>
      <c r="H22" s="258">
        <v>286865.1802</v>
      </c>
      <c r="I22" s="238">
        <v>0.41262390841820507</v>
      </c>
      <c r="J22" s="228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</row>
    <row r="23" ht="15.75" customHeight="1">
      <c r="A23" s="226"/>
      <c r="E23" s="226"/>
      <c r="F23" s="226"/>
      <c r="G23" s="258" t="s">
        <v>14</v>
      </c>
      <c r="H23" s="259">
        <v>7013010.0</v>
      </c>
      <c r="I23" s="238">
        <v>10.087441054918092</v>
      </c>
      <c r="J23" s="228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</row>
    <row r="24" ht="15.75" customHeight="1">
      <c r="A24" s="226"/>
      <c r="E24" s="226"/>
      <c r="F24" s="226"/>
      <c r="G24" s="240" t="s">
        <v>36</v>
      </c>
      <c r="H24" s="263">
        <v>1661252.7381999998</v>
      </c>
      <c r="I24" s="238">
        <v>2.3895287578249245</v>
      </c>
      <c r="J24" s="228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</row>
    <row r="25" ht="13.5" customHeight="1">
      <c r="A25" s="226"/>
      <c r="E25" s="226"/>
      <c r="F25" s="235"/>
      <c r="G25" s="228" t="s">
        <v>11</v>
      </c>
      <c r="H25" s="263">
        <v>2420995.5627</v>
      </c>
      <c r="I25" s="238">
        <v>3.4823349792677476</v>
      </c>
      <c r="J25" s="228"/>
      <c r="K25" s="239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</row>
    <row r="26" ht="13.5" customHeight="1">
      <c r="A26" s="226"/>
      <c r="D26" s="274"/>
      <c r="E26" s="226"/>
      <c r="F26" s="235"/>
      <c r="G26" s="240" t="s">
        <v>39</v>
      </c>
      <c r="H26" s="263">
        <v>2.27313806E7</v>
      </c>
      <c r="I26" s="238">
        <v>32.69658276537587</v>
      </c>
      <c r="J26" s="228"/>
      <c r="K26" s="239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</row>
    <row r="27" ht="15.75" customHeight="1">
      <c r="A27" s="226"/>
      <c r="D27" s="226"/>
      <c r="E27" s="226"/>
      <c r="F27" s="235"/>
      <c r="G27" s="248" t="s">
        <v>15</v>
      </c>
      <c r="H27" s="263">
        <v>868500.0</v>
      </c>
      <c r="I27" s="238">
        <v>1.249241417907056</v>
      </c>
      <c r="J27" s="228"/>
      <c r="K27" s="239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</row>
    <row r="28" ht="15.75" customHeight="1">
      <c r="A28" s="226"/>
      <c r="D28" s="226"/>
      <c r="E28" s="226"/>
      <c r="F28" s="235"/>
      <c r="G28" s="263" t="s">
        <v>42</v>
      </c>
      <c r="H28" s="275">
        <v>646.13</v>
      </c>
      <c r="I28" s="263">
        <v>9.293867096744802E-4</v>
      </c>
      <c r="J28" s="268"/>
      <c r="K28" s="239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</row>
    <row r="29" ht="15.75" customHeight="1">
      <c r="A29" s="226"/>
      <c r="D29" s="226"/>
      <c r="E29" s="226"/>
      <c r="F29" s="235"/>
      <c r="G29" s="228"/>
      <c r="H29" s="251">
        <f>SUM(H21:H28)</f>
        <v>69522190.63</v>
      </c>
      <c r="I29" s="268">
        <f>sum(I21:I28)</f>
        <v>100</v>
      </c>
      <c r="J29" s="268">
        <f>H29</f>
        <v>69522190.63</v>
      </c>
      <c r="K29" s="239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</row>
    <row r="30" ht="15.75" customHeight="1">
      <c r="A30" s="226"/>
      <c r="D30" s="226"/>
      <c r="E30" s="226"/>
      <c r="F30" s="235"/>
      <c r="G30" s="276" t="s">
        <v>162</v>
      </c>
      <c r="H30" s="251"/>
      <c r="I30" s="228"/>
      <c r="J30" s="268">
        <f>J18-J29</f>
        <v>465395153.1</v>
      </c>
      <c r="K30" s="239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</row>
    <row r="31" ht="15.75" customHeight="1">
      <c r="A31" s="226"/>
      <c r="B31" s="226"/>
      <c r="C31" s="226"/>
      <c r="D31" s="226"/>
      <c r="E31" s="226"/>
      <c r="F31" s="235"/>
      <c r="G31" s="228"/>
      <c r="H31" s="251"/>
      <c r="I31" s="228"/>
      <c r="J31" s="268"/>
      <c r="K31" s="239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</row>
    <row r="32" ht="15.75" customHeight="1">
      <c r="A32" s="226"/>
      <c r="B32" s="226"/>
      <c r="C32" s="226"/>
      <c r="D32" s="226"/>
      <c r="E32" s="226"/>
      <c r="F32" s="235"/>
      <c r="G32" s="277" t="s">
        <v>163</v>
      </c>
      <c r="H32" s="278"/>
      <c r="I32" s="279"/>
      <c r="J32" s="268"/>
      <c r="K32" s="239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</row>
    <row r="33" ht="15.75" customHeight="1">
      <c r="A33" s="226"/>
      <c r="B33" s="226"/>
      <c r="C33" s="226"/>
      <c r="D33" s="226"/>
      <c r="E33" s="226"/>
      <c r="F33" s="235"/>
      <c r="G33" s="280" t="s">
        <v>164</v>
      </c>
      <c r="H33" s="281">
        <v>768.9400000000005</v>
      </c>
      <c r="I33" s="282">
        <f>'Cash Report'!$E$31</f>
        <v>1353.01</v>
      </c>
      <c r="J33" s="263">
        <f>H33*I33</f>
        <v>1040383.509</v>
      </c>
      <c r="K33" s="239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</row>
    <row r="34" ht="15.75" customHeight="1">
      <c r="A34" s="226"/>
      <c r="B34" s="226"/>
      <c r="C34" s="226"/>
      <c r="D34" s="226"/>
      <c r="E34" s="226"/>
      <c r="F34" s="235"/>
      <c r="G34" s="283"/>
      <c r="H34" s="284"/>
      <c r="I34" s="285"/>
      <c r="J34" s="286"/>
      <c r="K34" s="239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</row>
    <row r="35" ht="15.75" customHeight="1">
      <c r="A35" s="226"/>
      <c r="B35" s="226"/>
      <c r="C35" s="226"/>
      <c r="D35" s="226"/>
      <c r="E35" s="226"/>
      <c r="F35" s="235"/>
      <c r="G35" s="287" t="s">
        <v>165</v>
      </c>
      <c r="H35" s="281">
        <f>SUM(H33)</f>
        <v>768.94</v>
      </c>
      <c r="I35" s="282">
        <f>'Cash Report'!$E$31</f>
        <v>1353.01</v>
      </c>
      <c r="J35" s="268">
        <f>H35*I35</f>
        <v>1040383.509</v>
      </c>
      <c r="K35" s="239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</row>
    <row r="36" ht="15.75" customHeight="1">
      <c r="A36" s="226"/>
      <c r="B36" s="226"/>
      <c r="C36" s="226"/>
      <c r="D36" s="226"/>
      <c r="E36" s="226"/>
      <c r="F36" s="235"/>
      <c r="G36" s="227"/>
      <c r="H36" s="227"/>
      <c r="I36" s="227"/>
      <c r="J36" s="227"/>
      <c r="K36" s="239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</row>
    <row r="37" ht="15.75" customHeight="1">
      <c r="A37" s="226"/>
      <c r="B37" s="226"/>
      <c r="C37" s="226"/>
      <c r="D37" s="226"/>
      <c r="E37" s="226"/>
      <c r="F37" s="235"/>
      <c r="G37" s="227"/>
      <c r="H37" s="227"/>
      <c r="I37" s="227"/>
      <c r="J37" s="227"/>
      <c r="K37" s="239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</row>
    <row r="38" ht="15.75" customHeight="1">
      <c r="A38" s="226"/>
      <c r="B38" s="226"/>
      <c r="C38" s="226"/>
      <c r="D38" s="226"/>
      <c r="E38" s="226"/>
      <c r="F38" s="235"/>
      <c r="G38" s="288" t="s">
        <v>166</v>
      </c>
      <c r="H38" s="106"/>
      <c r="I38" s="106"/>
      <c r="J38" s="289"/>
      <c r="K38" s="239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</row>
    <row r="39" ht="15.75" customHeight="1">
      <c r="A39" s="226"/>
      <c r="B39" s="226"/>
      <c r="C39" s="226"/>
      <c r="D39" s="226"/>
      <c r="E39" s="226"/>
      <c r="F39" s="235"/>
      <c r="G39" s="290" t="s">
        <v>167</v>
      </c>
      <c r="H39" s="290" t="s">
        <v>168</v>
      </c>
      <c r="I39" s="288" t="s">
        <v>169</v>
      </c>
      <c r="J39" s="289"/>
      <c r="K39" s="239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</row>
    <row r="40" ht="15.75" customHeight="1">
      <c r="A40" s="226"/>
      <c r="B40" s="226"/>
      <c r="C40" s="226"/>
      <c r="D40" s="226"/>
      <c r="E40" s="226"/>
      <c r="F40" s="235"/>
      <c r="G40" s="291" t="s">
        <v>170</v>
      </c>
      <c r="H40" s="292">
        <v>3280000.0</v>
      </c>
      <c r="I40" s="293" t="s">
        <v>171</v>
      </c>
      <c r="J40" s="294"/>
      <c r="K40" s="239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</row>
    <row r="41" ht="15.75" customHeight="1">
      <c r="A41" s="226"/>
      <c r="B41" s="226"/>
      <c r="C41" s="226"/>
      <c r="D41" s="226"/>
      <c r="E41" s="226"/>
      <c r="F41" s="235"/>
      <c r="G41" s="295" t="s">
        <v>172</v>
      </c>
      <c r="H41" s="292">
        <v>1369060.0</v>
      </c>
      <c r="I41" s="296" t="s">
        <v>173</v>
      </c>
      <c r="J41" s="294"/>
      <c r="K41" s="239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</row>
    <row r="42" ht="15.75" customHeight="1">
      <c r="A42" s="226"/>
      <c r="B42" s="226"/>
      <c r="C42" s="226"/>
      <c r="D42" s="226"/>
      <c r="E42" s="226"/>
      <c r="F42" s="235"/>
      <c r="G42" s="291" t="s">
        <v>174</v>
      </c>
      <c r="H42" s="292">
        <v>81790.0</v>
      </c>
      <c r="I42" s="297" t="s">
        <v>175</v>
      </c>
      <c r="J42" s="294"/>
      <c r="K42" s="239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</row>
    <row r="43" ht="15.75" customHeight="1">
      <c r="A43" s="226"/>
      <c r="B43" s="226"/>
      <c r="C43" s="226"/>
      <c r="D43" s="226"/>
      <c r="E43" s="226"/>
      <c r="F43" s="235"/>
      <c r="G43" s="298" t="s">
        <v>176</v>
      </c>
      <c r="H43" s="292">
        <v>2.911258842E7</v>
      </c>
      <c r="I43" s="299" t="s">
        <v>177</v>
      </c>
      <c r="J43" s="300"/>
      <c r="K43" s="239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</row>
    <row r="44" ht="15.75" customHeight="1">
      <c r="A44" s="226"/>
      <c r="B44" s="226"/>
      <c r="C44" s="226"/>
      <c r="D44" s="226"/>
      <c r="E44" s="226"/>
      <c r="F44" s="235"/>
      <c r="G44" s="299" t="s">
        <v>178</v>
      </c>
      <c r="H44" s="292">
        <v>100000.0</v>
      </c>
      <c r="I44" s="301" t="s">
        <v>179</v>
      </c>
      <c r="J44" s="300"/>
      <c r="K44" s="239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  <c r="AA44" s="226"/>
    </row>
    <row r="45" ht="15.75" customHeight="1">
      <c r="A45" s="226"/>
      <c r="B45" s="226"/>
      <c r="C45" s="226"/>
      <c r="D45" s="226"/>
      <c r="E45" s="226"/>
      <c r="F45" s="235"/>
      <c r="G45" s="299" t="s">
        <v>180</v>
      </c>
      <c r="H45" s="292">
        <v>154770.0</v>
      </c>
      <c r="I45" s="299" t="s">
        <v>181</v>
      </c>
      <c r="J45" s="300"/>
      <c r="K45" s="239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</row>
    <row r="46" ht="15.75" customHeight="1">
      <c r="A46" s="226"/>
      <c r="B46" s="226"/>
      <c r="C46" s="226"/>
      <c r="D46" s="226"/>
      <c r="E46" s="226"/>
      <c r="F46" s="235"/>
      <c r="G46" s="299" t="s">
        <v>182</v>
      </c>
      <c r="H46" s="292">
        <v>30000.0</v>
      </c>
      <c r="I46" s="301" t="s">
        <v>183</v>
      </c>
      <c r="J46" s="300"/>
      <c r="K46" s="239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</row>
    <row r="47" ht="15.75" customHeight="1">
      <c r="A47" s="226"/>
      <c r="B47" s="226"/>
      <c r="C47" s="226"/>
      <c r="D47" s="226"/>
      <c r="E47" s="226"/>
      <c r="F47" s="235"/>
      <c r="G47" s="299" t="s">
        <v>182</v>
      </c>
      <c r="H47" s="292">
        <v>99700.0</v>
      </c>
      <c r="I47" s="301" t="s">
        <v>184</v>
      </c>
      <c r="J47" s="300"/>
      <c r="K47" s="239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</row>
    <row r="48" ht="15.75" customHeight="1">
      <c r="A48" s="226"/>
      <c r="B48" s="226"/>
      <c r="C48" s="226"/>
      <c r="D48" s="226"/>
      <c r="E48" s="226"/>
      <c r="F48" s="235"/>
      <c r="G48" s="299" t="s">
        <v>185</v>
      </c>
      <c r="H48" s="292">
        <v>89900.0</v>
      </c>
      <c r="I48" s="301" t="s">
        <v>186</v>
      </c>
      <c r="J48" s="300"/>
      <c r="K48" s="239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</row>
    <row r="49" ht="15.75" customHeight="1">
      <c r="A49" s="226"/>
      <c r="B49" s="226"/>
      <c r="C49" s="226"/>
      <c r="D49" s="226"/>
      <c r="E49" s="226"/>
      <c r="F49" s="226"/>
      <c r="G49" s="299" t="s">
        <v>187</v>
      </c>
      <c r="H49" s="292">
        <v>221732.0</v>
      </c>
      <c r="I49" s="301" t="s">
        <v>188</v>
      </c>
      <c r="J49" s="300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</row>
    <row r="50" ht="15.75" customHeight="1">
      <c r="A50" s="226"/>
      <c r="B50" s="226"/>
      <c r="C50" s="226"/>
      <c r="D50" s="226"/>
      <c r="E50" s="226"/>
      <c r="F50" s="226"/>
      <c r="G50" s="302" t="s">
        <v>4</v>
      </c>
      <c r="H50" s="303">
        <f>sum(H40:H49)</f>
        <v>34539540.42</v>
      </c>
      <c r="I50" s="304"/>
      <c r="J50" s="305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</row>
    <row r="51" ht="15.75" customHeight="1">
      <c r="A51" s="226"/>
      <c r="B51" s="227"/>
      <c r="C51" s="227"/>
      <c r="D51" s="227"/>
      <c r="E51" s="226"/>
      <c r="F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</row>
    <row r="52" ht="15.75" customHeight="1">
      <c r="A52" s="227"/>
      <c r="B52" s="227"/>
      <c r="C52" s="227"/>
      <c r="D52" s="227"/>
      <c r="E52" s="227"/>
      <c r="F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ht="15.75" customHeight="1">
      <c r="A53" s="227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ht="15.75" customHeight="1">
      <c r="A54" s="227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ht="15.75" customHeight="1">
      <c r="A55" s="227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ht="15.75" customHeight="1">
      <c r="A56" s="227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ht="15.75" customHeight="1">
      <c r="A57" s="227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ht="15.75" customHeight="1">
      <c r="A58" s="227"/>
      <c r="B58" s="227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ht="15.75" customHeight="1">
      <c r="A59" s="227"/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ht="15.75" customHeight="1">
      <c r="A60" s="227"/>
      <c r="B60" s="227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ht="15.75" customHeight="1">
      <c r="A61" s="227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ht="15.75" customHeight="1">
      <c r="A62" s="227"/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ht="15.75" customHeight="1">
      <c r="A63" s="227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ht="15.75" customHeight="1">
      <c r="A64" s="227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ht="15.75" customHeight="1">
      <c r="A65" s="227"/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ht="15.75" customHeight="1">
      <c r="A66" s="227"/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ht="15.75" customHeight="1">
      <c r="A67" s="227"/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ht="15.75" customHeight="1">
      <c r="A68" s="227"/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ht="15.75" customHeight="1">
      <c r="A69" s="227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ht="15.75" customHeight="1">
      <c r="A70" s="227"/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ht="15.75" customHeight="1">
      <c r="A71" s="227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ht="15.75" customHeight="1">
      <c r="A72" s="227"/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ht="15.75" customHeight="1">
      <c r="A73" s="227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ht="15.75" customHeight="1">
      <c r="A74" s="227"/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ht="15.75" customHeight="1">
      <c r="A75" s="227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ht="15.75" customHeight="1">
      <c r="A76" s="227"/>
      <c r="B76" s="229"/>
      <c r="C76" s="229"/>
      <c r="D76" s="229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ht="15.75" customHeight="1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  <c r="AA77" s="229"/>
    </row>
    <row r="78" ht="15.75" customHeight="1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</row>
    <row r="79" ht="15.75" customHeight="1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  <c r="AA79" s="229"/>
    </row>
    <row r="80" ht="15.75" customHeight="1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  <c r="AA80" s="229"/>
    </row>
    <row r="81" ht="15.75" customHeight="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</row>
    <row r="82" ht="15.75" customHeight="1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  <c r="AA82" s="229"/>
    </row>
    <row r="83" ht="15.75" customHeight="1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  <c r="AA83" s="229"/>
    </row>
    <row r="84" ht="15.75" customHeight="1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</row>
    <row r="85" ht="15.75" customHeight="1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  <c r="AA85" s="229"/>
    </row>
    <row r="86" ht="15.75" customHeight="1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  <c r="AA86" s="229"/>
    </row>
    <row r="87" ht="15.75" customHeight="1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</row>
    <row r="88" ht="15.75" customHeight="1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</row>
    <row r="89" ht="15.75" customHeight="1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</row>
    <row r="90" ht="15.75" customHeight="1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</row>
    <row r="91" ht="15.75" customHeight="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</row>
    <row r="92" ht="15.75" customHeight="1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  <c r="AA92" s="229"/>
    </row>
    <row r="93" ht="15.75" customHeight="1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</row>
    <row r="94" ht="15.75" customHeight="1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</row>
    <row r="95" ht="15.7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</row>
    <row r="96" ht="15.75" customHeight="1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</row>
    <row r="97" ht="15.75" customHeight="1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</row>
    <row r="98" ht="15.75" customHeight="1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</row>
    <row r="99" ht="15.75" customHeight="1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</row>
    <row r="100" ht="15.75" customHeight="1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</row>
    <row r="101" ht="15.75" customHeight="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</row>
    <row r="102" ht="15.75" customHeight="1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</row>
    <row r="103" ht="15.75" customHeight="1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</row>
    <row r="104" ht="15.75" customHeight="1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</row>
    <row r="105" ht="15.75" customHeight="1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</row>
    <row r="106" ht="15.75" customHeight="1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</row>
    <row r="107" ht="15.75" customHeight="1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</row>
    <row r="108" ht="15.75" customHeight="1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</row>
    <row r="109" ht="15.75" customHeight="1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  <c r="AA109" s="229"/>
    </row>
    <row r="110" ht="15.75" customHeight="1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</row>
    <row r="111" ht="15.75" customHeight="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</row>
    <row r="112" ht="15.75" customHeight="1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</row>
    <row r="113" ht="15.75" customHeight="1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</row>
    <row r="114" ht="15.75" customHeight="1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</row>
    <row r="115" ht="15.75" customHeight="1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</row>
    <row r="116" ht="15.75" customHeight="1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</row>
    <row r="117" ht="15.75" customHeight="1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</row>
    <row r="118" ht="15.75" customHeight="1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</row>
    <row r="119" ht="15.75" customHeight="1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</row>
    <row r="120" ht="15.75" customHeight="1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</row>
    <row r="121" ht="15.75" customHeight="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</row>
    <row r="122" ht="15.75" customHeight="1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</row>
    <row r="123" ht="15.75" customHeight="1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</row>
    <row r="124" ht="15.75" customHeight="1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</row>
    <row r="125" ht="15.75" customHeight="1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</row>
    <row r="126" ht="15.75" customHeight="1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</row>
    <row r="127" ht="15.75" customHeight="1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</row>
    <row r="128" ht="15.75" customHeight="1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</row>
    <row r="129" ht="15.75" customHeight="1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</row>
    <row r="130" ht="15.75" customHeight="1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  <c r="AA130" s="229"/>
    </row>
    <row r="131" ht="15.75" customHeight="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</row>
    <row r="132" ht="15.75" customHeight="1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  <c r="AA132" s="229"/>
    </row>
    <row r="133" ht="15.75" customHeight="1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</row>
    <row r="134" ht="15.75" customHeight="1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</row>
    <row r="135" ht="15.75" customHeight="1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</row>
    <row r="136" ht="15.75" customHeight="1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</row>
    <row r="137" ht="15.75" customHeight="1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  <c r="AA137" s="229"/>
    </row>
    <row r="138" ht="15.75" customHeight="1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</row>
    <row r="139" ht="15.75" customHeight="1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  <c r="AA139" s="229"/>
    </row>
    <row r="140" ht="15.75" customHeight="1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</row>
    <row r="141" ht="15.75" customHeight="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</row>
    <row r="142" ht="15.75" customHeight="1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</row>
    <row r="143" ht="15.75" customHeight="1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</row>
    <row r="144" ht="15.75" customHeight="1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</row>
    <row r="145" ht="15.75" customHeight="1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</row>
    <row r="146" ht="15.75" customHeight="1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</row>
    <row r="147" ht="15.75" customHeight="1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</row>
    <row r="148" ht="15.75" customHeight="1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</row>
    <row r="149" ht="15.75" customHeight="1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</row>
    <row r="150" ht="15.75" customHeight="1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</row>
    <row r="151" ht="15.75" customHeight="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</row>
    <row r="152" ht="15.75" customHeight="1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</row>
    <row r="153" ht="15.75" customHeight="1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</row>
    <row r="154" ht="15.75" customHeight="1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</row>
    <row r="155" ht="15.75" customHeight="1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</row>
    <row r="156" ht="15.75" customHeight="1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</row>
    <row r="157" ht="15.75" customHeight="1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</row>
    <row r="158" ht="15.75" customHeight="1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</row>
    <row r="159" ht="15.75" customHeight="1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</row>
    <row r="160" ht="15.75" customHeight="1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</row>
    <row r="161" ht="15.75" customHeight="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</row>
    <row r="162" ht="15.75" customHeight="1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</row>
    <row r="163" ht="15.75" customHeight="1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</row>
    <row r="164" ht="15.75" customHeight="1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</row>
    <row r="165" ht="15.75" customHeight="1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</row>
    <row r="166" ht="15.75" customHeight="1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</row>
    <row r="167" ht="15.75" customHeight="1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</row>
    <row r="168" ht="15.75" customHeight="1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</row>
    <row r="169" ht="15.75" customHeight="1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</row>
    <row r="170" ht="15.75" customHeight="1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</row>
    <row r="171" ht="15.75" customHeight="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</row>
    <row r="172" ht="15.75" customHeight="1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</row>
    <row r="173" ht="15.75" customHeight="1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</row>
    <row r="174" ht="15.75" customHeight="1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</row>
    <row r="175" ht="15.75" customHeight="1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</row>
    <row r="176" ht="15.75" customHeight="1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</row>
    <row r="177" ht="15.75" customHeight="1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</row>
    <row r="178" ht="15.75" customHeight="1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</row>
    <row r="179" ht="15.75" customHeight="1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</row>
    <row r="180" ht="15.75" customHeight="1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</row>
    <row r="181" ht="15.75" customHeight="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</row>
    <row r="182" ht="15.75" customHeight="1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</row>
    <row r="183" ht="15.75" customHeight="1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</row>
    <row r="184" ht="15.75" customHeight="1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</row>
    <row r="185" ht="15.75" customHeight="1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</row>
    <row r="186" ht="15.75" customHeight="1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</row>
    <row r="187" ht="15.75" customHeight="1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</row>
    <row r="188" ht="15.75" customHeight="1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</row>
    <row r="189" ht="15.75" customHeight="1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</row>
    <row r="190" ht="15.75" customHeight="1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</row>
    <row r="191" ht="15.75" customHeight="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</row>
    <row r="192" ht="15.75" customHeight="1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</row>
    <row r="193" ht="15.75" customHeight="1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</row>
    <row r="194" ht="15.75" customHeight="1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</row>
    <row r="195" ht="15.75" customHeight="1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</row>
    <row r="196" ht="15.75" customHeight="1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</row>
    <row r="197" ht="15.75" customHeight="1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</row>
    <row r="198" ht="15.75" customHeight="1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</row>
    <row r="199" ht="15.75" customHeight="1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</row>
    <row r="200" ht="15.75" customHeight="1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</row>
    <row r="201" ht="15.75" customHeight="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</row>
    <row r="202" ht="15.75" customHeight="1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</row>
    <row r="203" ht="15.75" customHeight="1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</row>
    <row r="204" ht="15.75" customHeight="1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</row>
    <row r="205" ht="15.75" customHeight="1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  <c r="AA205" s="229"/>
    </row>
    <row r="206" ht="15.75" customHeight="1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  <c r="AA206" s="229"/>
    </row>
    <row r="207" ht="15.75" customHeight="1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  <c r="AA207" s="229"/>
    </row>
    <row r="208" ht="15.75" customHeight="1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  <c r="AA208" s="229"/>
    </row>
    <row r="209" ht="15.75" customHeight="1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  <c r="AA209" s="229"/>
    </row>
    <row r="210" ht="15.75" customHeight="1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  <c r="AA210" s="229"/>
    </row>
    <row r="211" ht="15.75" customHeight="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  <c r="AA211" s="229"/>
    </row>
    <row r="212" ht="15.75" customHeight="1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  <c r="AA212" s="229"/>
    </row>
    <row r="213" ht="15.75" customHeight="1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  <c r="AA213" s="229"/>
    </row>
    <row r="214" ht="15.75" customHeight="1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  <c r="AA214" s="229"/>
    </row>
    <row r="215" ht="15.75" customHeight="1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  <c r="AA215" s="229"/>
    </row>
    <row r="216" ht="15.75" customHeight="1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  <c r="AA216" s="229"/>
    </row>
    <row r="217" ht="15.75" customHeight="1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  <c r="AA217" s="229"/>
    </row>
    <row r="218" ht="15.75" customHeight="1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  <c r="AA218" s="229"/>
    </row>
    <row r="219" ht="15.75" customHeight="1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  <c r="AA219" s="229"/>
    </row>
    <row r="220" ht="15.75" customHeight="1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  <c r="AA220" s="229"/>
    </row>
    <row r="221" ht="15.75" customHeight="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  <c r="AA221" s="229"/>
    </row>
    <row r="222" ht="15.75" customHeight="1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</row>
    <row r="223" ht="15.75" customHeight="1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</row>
    <row r="224" ht="15.75" customHeight="1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</row>
    <row r="225" ht="15.75" customHeight="1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</row>
    <row r="226" ht="15.75" customHeight="1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  <c r="AA226" s="229"/>
    </row>
    <row r="227" ht="15.75" customHeight="1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  <c r="AA227" s="229"/>
    </row>
    <row r="228" ht="15.75" customHeight="1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  <c r="AA228" s="229"/>
    </row>
    <row r="229" ht="15.75" customHeight="1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  <c r="AA229" s="229"/>
    </row>
    <row r="230" ht="15.75" customHeight="1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  <c r="AA230" s="229"/>
    </row>
    <row r="231" ht="15.75" customHeight="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  <c r="AA231" s="229"/>
    </row>
    <row r="232" ht="15.75" customHeight="1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  <c r="AA232" s="229"/>
    </row>
    <row r="233" ht="15.75" customHeight="1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  <c r="AA233" s="229"/>
    </row>
    <row r="234" ht="15.75" customHeight="1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  <c r="AA234" s="229"/>
    </row>
    <row r="235" ht="15.75" customHeight="1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  <c r="AA235" s="229"/>
    </row>
    <row r="236" ht="15.75" customHeight="1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  <c r="AA236" s="229"/>
    </row>
    <row r="237" ht="15.75" customHeight="1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  <c r="AA237" s="229"/>
    </row>
    <row r="238" ht="15.75" customHeight="1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  <c r="AA238" s="229"/>
    </row>
    <row r="239" ht="15.75" customHeight="1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</row>
    <row r="240" ht="15.75" customHeight="1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  <c r="AA240" s="229"/>
    </row>
    <row r="241" ht="15.75" customHeight="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  <c r="AA241" s="229"/>
    </row>
    <row r="242" ht="15.75" customHeight="1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  <c r="AA242" s="229"/>
    </row>
    <row r="243" ht="15.75" customHeight="1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  <c r="AA243" s="229"/>
    </row>
    <row r="244" ht="15.75" customHeight="1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</row>
    <row r="245" ht="15.75" customHeight="1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</row>
    <row r="246" ht="15.75" customHeight="1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  <c r="AA246" s="229"/>
    </row>
    <row r="247" ht="15.75" customHeight="1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  <c r="AA247" s="229"/>
    </row>
    <row r="248" ht="15.75" customHeight="1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  <c r="AA248" s="229"/>
    </row>
    <row r="249" ht="15.75" customHeight="1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  <c r="AA249" s="229"/>
    </row>
    <row r="250" ht="15.75" customHeight="1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  <c r="AA250" s="229"/>
    </row>
    <row r="251" ht="15.75" customHeight="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  <c r="AA251" s="229"/>
    </row>
    <row r="252" ht="15.75" customHeight="1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  <c r="AA252" s="229"/>
    </row>
    <row r="253" ht="15.75" customHeight="1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  <c r="AA253" s="229"/>
    </row>
    <row r="254" ht="15.75" customHeight="1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  <c r="AA254" s="229"/>
    </row>
    <row r="255" ht="15.75" customHeight="1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  <c r="AA255" s="229"/>
    </row>
    <row r="256" ht="15.75" customHeight="1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  <c r="AA256" s="229"/>
    </row>
    <row r="257" ht="15.75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  <c r="AA257" s="229"/>
    </row>
    <row r="258" ht="15.75" customHeight="1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  <c r="AA258" s="229"/>
    </row>
    <row r="259" ht="15.75" customHeight="1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  <c r="AA259" s="229"/>
    </row>
    <row r="260" ht="15.75" customHeight="1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  <c r="AA260" s="229"/>
    </row>
    <row r="261" ht="15.75" customHeight="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  <c r="AA261" s="229"/>
    </row>
    <row r="262" ht="15.75" customHeight="1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  <c r="AA262" s="229"/>
    </row>
    <row r="263" ht="15.75" customHeight="1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  <c r="AA263" s="229"/>
    </row>
    <row r="264" ht="15.75" customHeight="1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  <c r="AA264" s="229"/>
    </row>
    <row r="265" ht="15.75" customHeight="1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  <c r="AA265" s="229"/>
    </row>
    <row r="266" ht="15.75" customHeight="1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  <c r="AA266" s="229"/>
    </row>
    <row r="267" ht="15.75" customHeight="1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  <c r="AA267" s="229"/>
    </row>
    <row r="268" ht="15.75" customHeight="1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  <c r="AA268" s="229"/>
    </row>
    <row r="269" ht="15.75" customHeight="1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  <c r="AA269" s="229"/>
    </row>
    <row r="270" ht="15.75" customHeight="1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  <c r="AA270" s="229"/>
    </row>
    <row r="271" ht="15.75" customHeight="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  <c r="AA271" s="229"/>
    </row>
    <row r="272" ht="15.75" customHeight="1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  <c r="AA272" s="229"/>
    </row>
    <row r="273" ht="15.75" customHeight="1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  <c r="AA273" s="229"/>
    </row>
    <row r="274" ht="15.75" customHeight="1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</row>
    <row r="275" ht="15.75" customHeight="1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</row>
    <row r="276" ht="15.75" customHeight="1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</row>
    <row r="277" ht="15.75" customHeight="1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</row>
    <row r="278" ht="15.75" customHeight="1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  <c r="AA278" s="229"/>
    </row>
    <row r="279" ht="15.75" customHeight="1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  <c r="AA279" s="229"/>
    </row>
    <row r="280" ht="15.75" customHeight="1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  <c r="AA280" s="229"/>
    </row>
    <row r="281" ht="15.75" customHeight="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  <c r="AA281" s="229"/>
    </row>
    <row r="282" ht="15.75" customHeight="1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  <c r="AA282" s="229"/>
    </row>
    <row r="283" ht="15.75" customHeight="1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  <c r="AA283" s="229"/>
    </row>
    <row r="284" ht="15.75" customHeight="1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  <c r="AA284" s="229"/>
    </row>
    <row r="285" ht="15.75" customHeight="1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  <c r="AA285" s="229"/>
    </row>
    <row r="286" ht="15.75" customHeight="1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  <c r="AA286" s="229"/>
    </row>
    <row r="287" ht="15.75" customHeight="1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  <c r="AA287" s="229"/>
    </row>
    <row r="288" ht="15.75" customHeight="1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  <c r="AA288" s="229"/>
    </row>
    <row r="289" ht="15.75" customHeight="1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  <c r="AA289" s="229"/>
    </row>
    <row r="290" ht="15.75" customHeight="1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  <c r="AA290" s="229"/>
    </row>
    <row r="291" ht="15.75" customHeight="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  <c r="AA291" s="229"/>
    </row>
    <row r="292" ht="15.75" customHeight="1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  <c r="AA292" s="229"/>
    </row>
    <row r="293" ht="15.75" customHeight="1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  <c r="AA293" s="229"/>
    </row>
    <row r="294" ht="15.75" customHeight="1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  <c r="AA294" s="229"/>
    </row>
    <row r="295" ht="15.75" customHeight="1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  <c r="AA295" s="229"/>
    </row>
    <row r="296" ht="15.75" customHeight="1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  <c r="AA296" s="229"/>
    </row>
    <row r="297" ht="15.7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</row>
    <row r="298" ht="15.7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  <c r="AA298" s="229"/>
    </row>
    <row r="299" ht="15.7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  <c r="AA299" s="229"/>
    </row>
    <row r="300" ht="15.7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</row>
    <row r="301" ht="15.7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</row>
    <row r="302" ht="15.7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</row>
    <row r="303" ht="15.7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</row>
    <row r="304" ht="15.7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</row>
    <row r="305" ht="15.7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</row>
    <row r="306" ht="15.7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</row>
    <row r="307" ht="15.7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</row>
    <row r="308" ht="15.7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</row>
    <row r="309" ht="15.7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</row>
    <row r="310" ht="15.7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</row>
    <row r="311" ht="15.7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</row>
    <row r="312" ht="15.7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</row>
    <row r="313" ht="15.7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</row>
    <row r="314" ht="15.7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</row>
    <row r="315" ht="15.7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</row>
    <row r="316" ht="15.7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</row>
    <row r="317" ht="15.7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</row>
    <row r="318" ht="15.7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</row>
    <row r="319" ht="15.7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</row>
    <row r="320" ht="15.7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</row>
    <row r="321" ht="15.7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</row>
    <row r="322" ht="15.7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</row>
    <row r="323" ht="15.7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</row>
    <row r="324" ht="15.7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</row>
    <row r="325" ht="15.7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</row>
    <row r="326" ht="15.7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</row>
    <row r="327" ht="15.7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</row>
    <row r="328" ht="15.7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</row>
    <row r="329" ht="15.7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</row>
    <row r="330" ht="15.7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</row>
    <row r="331" ht="15.7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</row>
    <row r="332" ht="15.7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</row>
    <row r="333" ht="15.7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  <c r="AA333" s="229"/>
    </row>
    <row r="334" ht="15.7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  <c r="AA334" s="229"/>
    </row>
    <row r="335" ht="15.7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  <c r="AA335" s="229"/>
    </row>
    <row r="336" ht="15.7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</row>
    <row r="337" ht="15.7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</row>
    <row r="338" ht="15.7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</row>
    <row r="339" ht="15.7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</row>
    <row r="340" ht="15.7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</row>
    <row r="341" ht="15.7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</row>
    <row r="342" ht="15.7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</row>
    <row r="343" ht="15.7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</row>
    <row r="344" ht="15.7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</row>
    <row r="345" ht="15.7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</row>
    <row r="346" ht="15.7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</row>
    <row r="347" ht="15.7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</row>
    <row r="348" ht="15.7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</row>
    <row r="349" ht="15.7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</row>
    <row r="350" ht="15.7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</row>
    <row r="351" ht="15.7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  <c r="AA351" s="229"/>
    </row>
    <row r="352" ht="15.7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  <c r="AA352" s="229"/>
    </row>
    <row r="353" ht="15.7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  <c r="AA353" s="229"/>
    </row>
    <row r="354" ht="15.7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  <c r="AA354" s="229"/>
    </row>
    <row r="355" ht="15.7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  <c r="AA355" s="229"/>
    </row>
    <row r="356" ht="15.7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  <c r="AA356" s="229"/>
    </row>
    <row r="357" ht="15.7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  <c r="AA357" s="229"/>
    </row>
    <row r="358" ht="15.7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  <c r="AA358" s="229"/>
    </row>
    <row r="359" ht="15.7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  <c r="AA359" s="229"/>
    </row>
    <row r="360" ht="15.7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  <c r="AA360" s="229"/>
    </row>
    <row r="361" ht="15.7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  <c r="AA361" s="229"/>
    </row>
    <row r="362" ht="15.7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</row>
    <row r="363" ht="15.7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  <c r="AA363" s="229"/>
    </row>
    <row r="364" ht="15.7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  <c r="AA364" s="229"/>
    </row>
    <row r="365" ht="15.7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  <c r="AA365" s="229"/>
    </row>
    <row r="366" ht="15.7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  <c r="AA366" s="229"/>
    </row>
    <row r="367" ht="15.7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  <c r="AA367" s="229"/>
    </row>
    <row r="368" ht="15.7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</row>
    <row r="369" ht="15.7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</row>
    <row r="370" ht="15.7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  <c r="AA370" s="229"/>
    </row>
    <row r="371" ht="15.7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  <c r="AA371" s="229"/>
    </row>
    <row r="372" ht="15.7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  <c r="AA372" s="229"/>
    </row>
    <row r="373" ht="15.7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  <c r="AA373" s="229"/>
    </row>
    <row r="374" ht="15.7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  <c r="AA374" s="229"/>
    </row>
    <row r="375" ht="15.7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  <c r="AA375" s="229"/>
    </row>
    <row r="376" ht="15.7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  <c r="AA376" s="229"/>
    </row>
    <row r="377" ht="15.7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  <c r="AA377" s="229"/>
    </row>
    <row r="378" ht="15.7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</row>
    <row r="379" ht="15.7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</row>
    <row r="380" ht="15.7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</row>
    <row r="381" ht="15.7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</row>
    <row r="382" ht="15.7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</row>
    <row r="383" ht="15.7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</row>
    <row r="384" ht="15.7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  <c r="AA384" s="229"/>
    </row>
    <row r="385" ht="15.7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  <c r="AA385" s="229"/>
    </row>
    <row r="386" ht="15.7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  <c r="AA386" s="229"/>
    </row>
    <row r="387" ht="15.7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  <c r="AA387" s="229"/>
    </row>
    <row r="388" ht="15.7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  <c r="AA388" s="229"/>
    </row>
    <row r="389" ht="15.7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  <c r="AA389" s="229"/>
    </row>
    <row r="390" ht="15.7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  <c r="AA390" s="229"/>
    </row>
    <row r="391" ht="15.7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  <c r="AA391" s="229"/>
    </row>
    <row r="392" ht="15.7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  <c r="AA392" s="229"/>
    </row>
    <row r="393" ht="15.7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  <c r="AA393" s="229"/>
    </row>
    <row r="394" ht="15.7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  <c r="AA394" s="229"/>
    </row>
    <row r="395" ht="15.7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  <c r="AA395" s="229"/>
    </row>
    <row r="396" ht="15.7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  <c r="AA396" s="229"/>
    </row>
    <row r="397" ht="15.7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  <c r="AA397" s="229"/>
    </row>
    <row r="398" ht="15.7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  <c r="AA398" s="229"/>
    </row>
    <row r="399" ht="15.7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  <c r="AA399" s="229"/>
    </row>
    <row r="400" ht="15.7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  <c r="AA400" s="229"/>
    </row>
    <row r="401" ht="15.7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  <c r="AA401" s="229"/>
    </row>
    <row r="402" ht="15.7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  <c r="AA402" s="229"/>
    </row>
    <row r="403" ht="15.7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  <c r="AA403" s="229"/>
    </row>
    <row r="404" ht="15.7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  <c r="AA404" s="229"/>
    </row>
    <row r="405" ht="15.7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  <c r="AA405" s="229"/>
    </row>
    <row r="406" ht="15.7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  <c r="AA406" s="229"/>
    </row>
    <row r="407" ht="15.7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  <c r="AA407" s="229"/>
    </row>
    <row r="408" ht="15.7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  <c r="AA408" s="229"/>
    </row>
    <row r="409" ht="15.7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  <c r="AA409" s="229"/>
    </row>
    <row r="410" ht="15.7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  <c r="AA410" s="229"/>
    </row>
    <row r="411" ht="15.7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  <c r="AA411" s="229"/>
    </row>
    <row r="412" ht="15.7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  <c r="AA412" s="229"/>
    </row>
    <row r="413" ht="15.7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  <c r="AA413" s="229"/>
    </row>
    <row r="414" ht="15.7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  <c r="AA414" s="229"/>
    </row>
    <row r="415" ht="15.7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  <c r="AA415" s="229"/>
    </row>
    <row r="416" ht="15.7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  <c r="AA416" s="229"/>
    </row>
    <row r="417" ht="15.7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  <c r="AA417" s="229"/>
    </row>
    <row r="418" ht="15.7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  <c r="AA418" s="229"/>
    </row>
    <row r="419" ht="15.7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  <c r="AA419" s="229"/>
    </row>
    <row r="420" ht="15.7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  <c r="AA420" s="229"/>
    </row>
    <row r="421" ht="15.7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  <c r="AA421" s="229"/>
    </row>
    <row r="422" ht="15.7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  <c r="AA422" s="229"/>
    </row>
    <row r="423" ht="15.7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  <c r="AA423" s="229"/>
    </row>
    <row r="424" ht="15.7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  <c r="AA424" s="229"/>
    </row>
    <row r="425" ht="15.7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  <c r="AA425" s="229"/>
    </row>
    <row r="426" ht="15.7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  <c r="AA426" s="229"/>
    </row>
    <row r="427" ht="15.7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  <c r="AA427" s="229"/>
    </row>
    <row r="428" ht="15.7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  <c r="AA428" s="229"/>
    </row>
    <row r="429" ht="15.7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  <c r="AA429" s="229"/>
    </row>
    <row r="430" ht="15.7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</row>
    <row r="431" ht="15.7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</row>
    <row r="432" ht="15.7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</row>
    <row r="433" ht="15.7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</row>
    <row r="434" ht="15.7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  <c r="AA434" s="229"/>
    </row>
    <row r="435" ht="15.7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  <c r="AA435" s="229"/>
    </row>
    <row r="436" ht="15.7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  <c r="AA436" s="229"/>
    </row>
    <row r="437" ht="15.7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  <c r="AA437" s="229"/>
    </row>
    <row r="438" ht="15.7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  <c r="AA438" s="229"/>
    </row>
    <row r="439" ht="15.7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  <c r="AA439" s="229"/>
    </row>
    <row r="440" ht="15.7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  <c r="AA440" s="229"/>
    </row>
    <row r="441" ht="15.7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  <c r="AA441" s="229"/>
    </row>
    <row r="442" ht="15.7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  <c r="AA442" s="229"/>
    </row>
    <row r="443" ht="15.7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  <c r="AA443" s="229"/>
    </row>
    <row r="444" ht="15.7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  <c r="AA444" s="229"/>
    </row>
    <row r="445" ht="15.7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  <c r="AA445" s="229"/>
    </row>
    <row r="446" ht="15.7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  <c r="AA446" s="229"/>
    </row>
    <row r="447" ht="15.7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  <c r="AA447" s="229"/>
    </row>
    <row r="448" ht="15.7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  <c r="AA448" s="229"/>
    </row>
    <row r="449" ht="15.7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  <c r="AA449" s="229"/>
    </row>
    <row r="450" ht="15.7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  <c r="AA450" s="229"/>
    </row>
    <row r="451" ht="15.7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  <c r="AA451" s="229"/>
    </row>
    <row r="452" ht="15.7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  <c r="AA452" s="229"/>
    </row>
    <row r="453" ht="15.7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  <c r="AA453" s="229"/>
    </row>
    <row r="454" ht="15.7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  <c r="AA454" s="229"/>
    </row>
    <row r="455" ht="15.7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  <c r="AA455" s="229"/>
    </row>
    <row r="456" ht="15.7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  <c r="AA456" s="229"/>
    </row>
    <row r="457" ht="15.7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  <c r="AA457" s="229"/>
    </row>
    <row r="458" ht="15.7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  <c r="AA458" s="229"/>
    </row>
    <row r="459" ht="15.7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  <c r="AA459" s="229"/>
    </row>
    <row r="460" ht="15.7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  <c r="AA460" s="229"/>
    </row>
    <row r="461" ht="15.7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  <c r="AA461" s="229"/>
    </row>
    <row r="462" ht="15.7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  <c r="AA462" s="229"/>
    </row>
    <row r="463" ht="15.7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  <c r="AA463" s="229"/>
    </row>
    <row r="464" ht="15.7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  <c r="AA464" s="229"/>
    </row>
    <row r="465" ht="15.7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  <c r="AA465" s="229"/>
    </row>
    <row r="466" ht="15.7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  <c r="AA466" s="229"/>
    </row>
    <row r="467" ht="15.7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  <c r="AA467" s="229"/>
    </row>
    <row r="468" ht="15.7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  <c r="AA468" s="229"/>
    </row>
    <row r="469" ht="15.7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  <c r="AA469" s="229"/>
    </row>
    <row r="470" ht="15.7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  <c r="AA470" s="229"/>
    </row>
    <row r="471" ht="15.7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  <c r="AA471" s="229"/>
    </row>
    <row r="472" ht="15.7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  <c r="AA472" s="229"/>
    </row>
    <row r="473" ht="15.7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  <c r="AA473" s="229"/>
    </row>
    <row r="474" ht="15.7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  <c r="AA474" s="229"/>
    </row>
    <row r="475" ht="15.7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  <c r="AA475" s="229"/>
    </row>
    <row r="476" ht="15.7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  <c r="AA476" s="229"/>
    </row>
    <row r="477" ht="15.7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  <c r="AA477" s="229"/>
    </row>
    <row r="478" ht="15.7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</row>
    <row r="479" ht="15.7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  <c r="AA479" s="229"/>
    </row>
    <row r="480" ht="15.7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  <c r="AA480" s="229"/>
    </row>
    <row r="481" ht="15.7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  <c r="AA481" s="229"/>
    </row>
    <row r="482" ht="15.7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</row>
    <row r="483" ht="15.7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</row>
    <row r="484" ht="15.7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</row>
    <row r="485" ht="15.7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</row>
    <row r="486" ht="15.7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  <c r="AA486" s="229"/>
    </row>
    <row r="487" ht="15.7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  <c r="AA487" s="229"/>
    </row>
    <row r="488" ht="15.7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  <c r="AA488" s="229"/>
    </row>
    <row r="489" ht="15.7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  <c r="AA489" s="229"/>
    </row>
    <row r="490" ht="15.7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  <c r="AA490" s="229"/>
    </row>
    <row r="491" ht="15.7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  <c r="AA491" s="229"/>
    </row>
    <row r="492" ht="15.7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  <c r="AA492" s="229"/>
    </row>
    <row r="493" ht="15.7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  <c r="AA493" s="229"/>
    </row>
    <row r="494" ht="15.7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  <c r="AA494" s="229"/>
    </row>
    <row r="495" ht="15.7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  <c r="AA495" s="229"/>
    </row>
    <row r="496" ht="15.7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  <c r="AA496" s="229"/>
    </row>
    <row r="497" ht="15.7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  <c r="AA497" s="229"/>
    </row>
    <row r="498" ht="15.7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  <c r="AA498" s="229"/>
    </row>
    <row r="499" ht="15.7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  <c r="AA499" s="229"/>
    </row>
    <row r="500" ht="15.7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  <c r="AA500" s="229"/>
    </row>
    <row r="501" ht="15.7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  <c r="AA501" s="229"/>
    </row>
    <row r="502" ht="15.7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  <c r="AA502" s="229"/>
    </row>
    <row r="503" ht="15.7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  <c r="AA503" s="229"/>
    </row>
    <row r="504" ht="15.7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  <c r="AA504" s="229"/>
    </row>
    <row r="505" ht="15.7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  <c r="AA505" s="229"/>
    </row>
    <row r="506" ht="15.7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  <c r="AA506" s="229"/>
    </row>
    <row r="507" ht="15.7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</row>
    <row r="508" ht="15.7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</row>
    <row r="509" ht="15.7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  <c r="AA509" s="229"/>
    </row>
    <row r="510" ht="15.7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  <c r="AA510" s="229"/>
    </row>
    <row r="511" ht="15.7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  <c r="AA511" s="229"/>
    </row>
    <row r="512" ht="15.7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  <c r="AA512" s="229"/>
    </row>
    <row r="513" ht="15.7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  <c r="AA513" s="229"/>
    </row>
    <row r="514" ht="15.7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  <c r="AA514" s="229"/>
    </row>
    <row r="515" ht="15.7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  <c r="AA515" s="229"/>
    </row>
    <row r="516" ht="15.7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  <c r="AA516" s="229"/>
    </row>
    <row r="517" ht="15.7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  <c r="AA517" s="229"/>
    </row>
    <row r="518" ht="15.7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  <c r="AA518" s="229"/>
    </row>
    <row r="519" ht="15.7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  <c r="AA519" s="229"/>
    </row>
    <row r="520" ht="15.7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  <c r="AA520" s="229"/>
    </row>
    <row r="521" ht="15.7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  <c r="AA521" s="229"/>
    </row>
    <row r="522" ht="15.7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  <c r="AA522" s="229"/>
    </row>
    <row r="523" ht="15.7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  <c r="AA523" s="229"/>
    </row>
    <row r="524" ht="15.7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  <c r="AA524" s="229"/>
    </row>
    <row r="525" ht="15.7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  <c r="AA525" s="229"/>
    </row>
    <row r="526" ht="15.7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  <c r="AA526" s="229"/>
    </row>
    <row r="527" ht="15.7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  <c r="AA527" s="229"/>
    </row>
    <row r="528" ht="15.7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  <c r="AA528" s="229"/>
    </row>
    <row r="529" ht="15.7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  <c r="AA529" s="229"/>
    </row>
    <row r="530" ht="15.7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  <c r="AA530" s="229"/>
    </row>
    <row r="531" ht="15.7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  <c r="AA531" s="229"/>
    </row>
    <row r="532" ht="15.7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  <c r="AA532" s="229"/>
    </row>
    <row r="533" ht="15.7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  <c r="AA533" s="229"/>
    </row>
    <row r="534" ht="15.7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</row>
    <row r="535" ht="15.7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</row>
    <row r="536" ht="15.7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</row>
    <row r="537" ht="15.7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</row>
    <row r="538" ht="15.7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  <c r="AA538" s="229"/>
    </row>
    <row r="539" ht="15.7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  <c r="AA539" s="229"/>
    </row>
    <row r="540" ht="15.7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  <c r="AA540" s="229"/>
    </row>
    <row r="541" ht="15.7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  <c r="AA541" s="229"/>
    </row>
    <row r="542" ht="15.7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  <c r="AA542" s="229"/>
    </row>
    <row r="543" ht="15.7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  <c r="AA543" s="229"/>
    </row>
    <row r="544" ht="15.7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  <c r="AA544" s="229"/>
    </row>
    <row r="545" ht="15.7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  <c r="AA545" s="229"/>
    </row>
    <row r="546" ht="15.7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  <c r="AA546" s="229"/>
    </row>
    <row r="547" ht="15.7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  <c r="AA547" s="229"/>
    </row>
    <row r="548" ht="15.7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  <c r="AA548" s="229"/>
    </row>
    <row r="549" ht="15.7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  <c r="AA549" s="229"/>
    </row>
    <row r="550" ht="15.7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  <c r="AA550" s="229"/>
    </row>
    <row r="551" ht="15.7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  <c r="AA551" s="229"/>
    </row>
    <row r="552" ht="15.7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  <c r="AA552" s="229"/>
    </row>
    <row r="553" ht="15.7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  <c r="AA553" s="229"/>
    </row>
    <row r="554" ht="15.7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  <c r="AA554" s="229"/>
    </row>
    <row r="555" ht="15.7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  <c r="AA555" s="229"/>
    </row>
    <row r="556" ht="15.7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  <c r="AA556" s="229"/>
    </row>
    <row r="557" ht="15.7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  <c r="AA557" s="229"/>
    </row>
    <row r="558" ht="15.7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  <c r="AA558" s="229"/>
    </row>
    <row r="559" ht="15.7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  <c r="AA559" s="229"/>
    </row>
    <row r="560" ht="15.7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  <c r="AA560" s="229"/>
    </row>
    <row r="561" ht="15.7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  <c r="AA561" s="229"/>
    </row>
    <row r="562" ht="15.7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  <c r="AA562" s="229"/>
    </row>
    <row r="563" ht="15.7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  <c r="AA563" s="229"/>
    </row>
    <row r="564" ht="15.7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  <c r="AA564" s="229"/>
    </row>
    <row r="565" ht="15.7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  <c r="AA565" s="229"/>
    </row>
    <row r="566" ht="15.7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  <c r="AA566" s="229"/>
    </row>
    <row r="567" ht="15.7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  <c r="AA567" s="229"/>
    </row>
    <row r="568" ht="15.7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  <c r="AA568" s="229"/>
    </row>
    <row r="569" ht="15.7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  <c r="AA569" s="229"/>
    </row>
    <row r="570" ht="15.7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  <c r="AA570" s="229"/>
    </row>
    <row r="571" ht="15.7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  <c r="AA571" s="229"/>
    </row>
    <row r="572" ht="15.7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  <c r="AA572" s="229"/>
    </row>
    <row r="573" ht="15.7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  <c r="AA573" s="229"/>
    </row>
    <row r="574" ht="15.7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  <c r="AA574" s="229"/>
    </row>
    <row r="575" ht="15.7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  <c r="AA575" s="229"/>
    </row>
    <row r="576" ht="15.7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  <c r="AA576" s="229"/>
    </row>
    <row r="577" ht="15.7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  <c r="AA577" s="229"/>
    </row>
    <row r="578" ht="15.7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  <c r="AA578" s="229"/>
    </row>
    <row r="579" ht="15.7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  <c r="AA579" s="229"/>
    </row>
    <row r="580" ht="15.7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  <c r="AA580" s="229"/>
    </row>
    <row r="581" ht="15.7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  <c r="AA581" s="229"/>
    </row>
    <row r="582" ht="15.7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  <c r="AA582" s="229"/>
    </row>
    <row r="583" ht="15.7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  <c r="AA583" s="229"/>
    </row>
    <row r="584" ht="15.7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  <c r="AA584" s="229"/>
    </row>
    <row r="585" ht="15.7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  <c r="AA585" s="229"/>
    </row>
    <row r="586" ht="15.7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  <c r="AA586" s="229"/>
    </row>
    <row r="587" ht="15.7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  <c r="AA587" s="229"/>
    </row>
    <row r="588" ht="15.7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  <c r="AA588" s="229"/>
    </row>
    <row r="589" ht="15.7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  <c r="AA589" s="229"/>
    </row>
    <row r="590" ht="15.7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  <c r="AA590" s="229"/>
    </row>
    <row r="591" ht="15.7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  <c r="AA591" s="229"/>
    </row>
    <row r="592" ht="15.7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  <c r="AA592" s="229"/>
    </row>
    <row r="593" ht="15.7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  <c r="AA593" s="229"/>
    </row>
    <row r="594" ht="15.7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  <c r="AA594" s="229"/>
    </row>
    <row r="595" ht="15.7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  <c r="AA595" s="229"/>
    </row>
    <row r="596" ht="15.7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  <c r="AA596" s="229"/>
    </row>
    <row r="597" ht="15.7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  <c r="AA597" s="229"/>
    </row>
    <row r="598" ht="15.7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  <c r="AA598" s="229"/>
    </row>
    <row r="599" ht="15.7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  <c r="AA599" s="229"/>
    </row>
    <row r="600" ht="15.7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  <c r="AA600" s="229"/>
    </row>
    <row r="601" ht="15.7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  <c r="AA601" s="229"/>
    </row>
    <row r="602" ht="15.7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  <c r="AA602" s="229"/>
    </row>
    <row r="603" ht="15.7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  <c r="AA603" s="229"/>
    </row>
    <row r="604" ht="15.7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  <c r="AA604" s="229"/>
    </row>
    <row r="605" ht="15.7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  <c r="AA605" s="229"/>
    </row>
    <row r="606" ht="15.7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  <c r="AA606" s="229"/>
    </row>
    <row r="607" ht="15.7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  <c r="AA607" s="229"/>
    </row>
    <row r="608" ht="15.7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  <c r="AA608" s="229"/>
    </row>
    <row r="609" ht="15.7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  <c r="AA609" s="229"/>
    </row>
    <row r="610" ht="15.7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  <c r="AA610" s="229"/>
    </row>
    <row r="611" ht="15.7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  <c r="AA611" s="229"/>
    </row>
    <row r="612" ht="15.7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  <c r="AA612" s="229"/>
    </row>
    <row r="613" ht="15.7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  <c r="AA613" s="229"/>
    </row>
    <row r="614" ht="15.7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  <c r="AA614" s="229"/>
    </row>
    <row r="615" ht="15.7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  <c r="AA615" s="229"/>
    </row>
    <row r="616" ht="15.7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  <c r="AA616" s="229"/>
    </row>
    <row r="617" ht="15.7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  <c r="AA617" s="229"/>
    </row>
    <row r="618" ht="15.7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  <c r="AA618" s="229"/>
    </row>
    <row r="619" ht="15.7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  <c r="AA619" s="229"/>
    </row>
    <row r="620" ht="15.7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  <c r="AA620" s="229"/>
    </row>
    <row r="621" ht="15.7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  <c r="AA621" s="229"/>
    </row>
    <row r="622" ht="15.7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  <c r="AA622" s="229"/>
    </row>
    <row r="623" ht="15.7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  <c r="AA623" s="229"/>
    </row>
    <row r="624" ht="15.7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  <c r="AA624" s="229"/>
    </row>
    <row r="625" ht="15.7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  <c r="AA625" s="229"/>
    </row>
    <row r="626" ht="15.7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  <c r="AA626" s="229"/>
    </row>
    <row r="627" ht="15.7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  <c r="AA627" s="229"/>
    </row>
    <row r="628" ht="15.7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  <c r="AA628" s="229"/>
    </row>
    <row r="629" ht="15.7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  <c r="AA629" s="229"/>
    </row>
    <row r="630" ht="15.7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  <c r="AA630" s="229"/>
    </row>
    <row r="631" ht="15.7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  <c r="AA631" s="229"/>
    </row>
    <row r="632" ht="15.7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  <c r="AA632" s="229"/>
    </row>
    <row r="633" ht="15.7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  <c r="AA633" s="229"/>
    </row>
    <row r="634" ht="15.7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  <c r="AA634" s="229"/>
    </row>
    <row r="635" ht="15.7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  <c r="AA635" s="229"/>
    </row>
    <row r="636" ht="15.7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  <c r="AA636" s="229"/>
    </row>
    <row r="637" ht="15.7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  <c r="AA637" s="229"/>
    </row>
    <row r="638" ht="15.7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  <c r="AA638" s="229"/>
    </row>
    <row r="639" ht="15.7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  <c r="AA639" s="229"/>
    </row>
    <row r="640" ht="15.7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  <c r="AA640" s="229"/>
    </row>
    <row r="641" ht="15.7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  <c r="AA641" s="229"/>
    </row>
    <row r="642" ht="15.7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  <c r="AA642" s="229"/>
    </row>
    <row r="643" ht="15.7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  <c r="AA643" s="229"/>
    </row>
    <row r="644" ht="15.7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  <c r="AA644" s="229"/>
    </row>
    <row r="645" ht="15.7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  <c r="AA645" s="229"/>
    </row>
    <row r="646" ht="15.7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  <c r="AA646" s="229"/>
    </row>
    <row r="647" ht="15.7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  <c r="AA647" s="229"/>
    </row>
    <row r="648" ht="15.7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  <c r="AA648" s="229"/>
    </row>
    <row r="649" ht="15.7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  <c r="AA649" s="229"/>
    </row>
    <row r="650" ht="15.7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  <c r="AA650" s="229"/>
    </row>
    <row r="651" ht="15.7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  <c r="AA651" s="229"/>
    </row>
    <row r="652" ht="15.7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  <c r="AA652" s="229"/>
    </row>
    <row r="653" ht="15.7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  <c r="AA653" s="229"/>
    </row>
    <row r="654" ht="15.7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  <c r="AA654" s="229"/>
    </row>
    <row r="655" ht="15.7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  <c r="AA655" s="229"/>
    </row>
    <row r="656" ht="15.7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  <c r="AA656" s="229"/>
    </row>
    <row r="657" ht="15.7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  <c r="AA657" s="229"/>
    </row>
    <row r="658" ht="15.7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  <c r="AA658" s="229"/>
    </row>
    <row r="659" ht="15.7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  <c r="AA659" s="229"/>
    </row>
    <row r="660" ht="15.7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  <c r="AA660" s="229"/>
    </row>
    <row r="661" ht="15.7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  <c r="AA661" s="229"/>
    </row>
    <row r="662" ht="15.7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  <c r="AA662" s="229"/>
    </row>
    <row r="663" ht="15.7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  <c r="AA663" s="229"/>
    </row>
    <row r="664" ht="15.7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  <c r="AA664" s="229"/>
    </row>
    <row r="665" ht="15.7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  <c r="AA665" s="229"/>
    </row>
    <row r="666" ht="15.7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  <c r="AA666" s="229"/>
    </row>
    <row r="667" ht="15.7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  <c r="AA667" s="229"/>
    </row>
    <row r="668" ht="15.7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  <c r="AA668" s="229"/>
    </row>
    <row r="669" ht="15.7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  <c r="AA669" s="229"/>
    </row>
    <row r="670" ht="15.7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  <c r="AA670" s="229"/>
    </row>
    <row r="671" ht="15.7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  <c r="AA671" s="229"/>
    </row>
    <row r="672" ht="15.7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  <c r="AA672" s="229"/>
    </row>
    <row r="673" ht="15.7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  <c r="AA673" s="229"/>
    </row>
    <row r="674" ht="15.7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  <c r="AA674" s="229"/>
    </row>
    <row r="675" ht="15.7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  <c r="AA675" s="229"/>
    </row>
    <row r="676" ht="15.7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  <c r="AA676" s="229"/>
    </row>
    <row r="677" ht="15.7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  <c r="AA677" s="229"/>
    </row>
    <row r="678" ht="15.7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  <c r="AA678" s="229"/>
    </row>
    <row r="679" ht="15.7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  <c r="AA679" s="229"/>
    </row>
    <row r="680" ht="15.7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  <c r="AA680" s="229"/>
    </row>
    <row r="681" ht="15.7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  <c r="AA681" s="229"/>
    </row>
    <row r="682" ht="15.7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  <c r="AA682" s="229"/>
    </row>
    <row r="683" ht="15.7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  <c r="AA683" s="229"/>
    </row>
    <row r="684" ht="15.7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  <c r="AA684" s="229"/>
    </row>
    <row r="685" ht="15.7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  <c r="AA685" s="229"/>
    </row>
    <row r="686" ht="15.7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  <c r="AA686" s="229"/>
    </row>
    <row r="687" ht="15.7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  <c r="AA687" s="229"/>
    </row>
    <row r="688" ht="15.7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  <c r="AA688" s="229"/>
    </row>
    <row r="689" ht="15.7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  <c r="AA689" s="229"/>
    </row>
    <row r="690" ht="15.7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  <c r="AA690" s="229"/>
    </row>
    <row r="691" ht="15.7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  <c r="AA691" s="229"/>
    </row>
    <row r="692" ht="15.7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  <c r="AA692" s="229"/>
    </row>
    <row r="693" ht="15.7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  <c r="AA693" s="229"/>
    </row>
    <row r="694" ht="15.7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  <c r="AA694" s="229"/>
    </row>
    <row r="695" ht="15.7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  <c r="AA695" s="229"/>
    </row>
    <row r="696" ht="15.7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  <c r="AA696" s="229"/>
    </row>
    <row r="697" ht="15.7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  <c r="AA697" s="229"/>
    </row>
    <row r="698" ht="15.7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  <c r="AA698" s="229"/>
    </row>
    <row r="699" ht="15.7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  <c r="AA699" s="229"/>
    </row>
    <row r="700" ht="15.7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  <c r="AA700" s="229"/>
    </row>
    <row r="701" ht="15.7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  <c r="AA701" s="229"/>
    </row>
    <row r="702" ht="15.7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  <c r="AA702" s="229"/>
    </row>
    <row r="703" ht="15.7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  <c r="AA703" s="229"/>
    </row>
    <row r="704" ht="15.7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  <c r="AA704" s="229"/>
    </row>
    <row r="705" ht="15.7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  <c r="AA705" s="229"/>
    </row>
    <row r="706" ht="15.7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  <c r="AA706" s="229"/>
    </row>
    <row r="707" ht="15.7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  <c r="AA707" s="229"/>
    </row>
    <row r="708" ht="15.7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  <c r="AA708" s="229"/>
    </row>
    <row r="709" ht="15.7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  <c r="AA709" s="229"/>
    </row>
    <row r="710" ht="15.7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  <c r="AA710" s="229"/>
    </row>
    <row r="711" ht="15.7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  <c r="AA711" s="229"/>
    </row>
    <row r="712" ht="15.7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  <c r="AA712" s="229"/>
    </row>
    <row r="713" ht="15.7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  <c r="AA713" s="229"/>
    </row>
    <row r="714" ht="15.7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  <c r="AA714" s="229"/>
    </row>
    <row r="715" ht="15.7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  <c r="AA715" s="229"/>
    </row>
    <row r="716" ht="15.7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  <c r="AA716" s="229"/>
    </row>
    <row r="717" ht="15.7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  <c r="AA717" s="229"/>
    </row>
    <row r="718" ht="15.7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  <c r="AA718" s="229"/>
    </row>
    <row r="719" ht="15.7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  <c r="AA719" s="229"/>
    </row>
    <row r="720" ht="15.7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  <c r="AA720" s="229"/>
    </row>
    <row r="721" ht="15.7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  <c r="AA721" s="229"/>
    </row>
    <row r="722" ht="15.7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  <c r="AA722" s="229"/>
    </row>
    <row r="723" ht="15.7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  <c r="AA723" s="229"/>
    </row>
    <row r="724" ht="15.7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  <c r="AA724" s="229"/>
    </row>
    <row r="725" ht="15.7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  <c r="AA725" s="229"/>
    </row>
    <row r="726" ht="15.7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  <c r="AA726" s="229"/>
    </row>
    <row r="727" ht="15.7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  <c r="AA727" s="229"/>
    </row>
    <row r="728" ht="15.7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  <c r="AA728" s="229"/>
    </row>
    <row r="729" ht="15.7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  <c r="AA729" s="229"/>
    </row>
    <row r="730" ht="15.7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  <c r="AA730" s="229"/>
    </row>
    <row r="731" ht="15.7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  <c r="AA731" s="229"/>
    </row>
    <row r="732" ht="15.7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  <c r="AA732" s="229"/>
    </row>
    <row r="733" ht="15.7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  <c r="AA733" s="229"/>
    </row>
    <row r="734" ht="15.7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  <c r="AA734" s="229"/>
    </row>
    <row r="735" ht="15.7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  <c r="AA735" s="229"/>
    </row>
    <row r="736" ht="15.7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  <c r="AA736" s="229"/>
    </row>
    <row r="737" ht="15.7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  <c r="AA737" s="229"/>
    </row>
    <row r="738" ht="15.7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  <c r="AA738" s="229"/>
    </row>
    <row r="739" ht="15.7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  <c r="AA739" s="229"/>
    </row>
    <row r="740" ht="15.7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  <c r="AA740" s="229"/>
    </row>
    <row r="741" ht="15.7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  <c r="AA741" s="229"/>
    </row>
    <row r="742" ht="15.7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  <c r="AA742" s="229"/>
    </row>
    <row r="743" ht="15.7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  <c r="AA743" s="229"/>
    </row>
    <row r="744" ht="15.7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  <c r="AA744" s="229"/>
    </row>
    <row r="745" ht="15.7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  <c r="AA745" s="229"/>
    </row>
    <row r="746" ht="15.7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  <c r="AA746" s="229"/>
    </row>
    <row r="747" ht="15.7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  <c r="AA747" s="229"/>
    </row>
    <row r="748" ht="15.7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  <c r="AA748" s="229"/>
    </row>
    <row r="749" ht="15.7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  <c r="AA749" s="229"/>
    </row>
    <row r="750" ht="15.7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  <c r="AA750" s="229"/>
    </row>
    <row r="751" ht="15.7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  <c r="AA751" s="229"/>
    </row>
    <row r="752" ht="15.7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  <c r="AA752" s="229"/>
    </row>
    <row r="753" ht="15.7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  <c r="AA753" s="229"/>
    </row>
    <row r="754" ht="15.7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  <c r="AA754" s="229"/>
    </row>
    <row r="755" ht="15.7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  <c r="AA755" s="229"/>
    </row>
    <row r="756" ht="15.7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  <c r="AA756" s="229"/>
    </row>
    <row r="757" ht="15.7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  <c r="AA757" s="229"/>
    </row>
    <row r="758" ht="15.7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  <c r="AA758" s="229"/>
    </row>
    <row r="759" ht="15.7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  <c r="AA759" s="229"/>
    </row>
    <row r="760" ht="15.7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  <c r="AA760" s="229"/>
    </row>
    <row r="761" ht="15.7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  <c r="AA761" s="229"/>
    </row>
    <row r="762" ht="15.7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  <c r="AA762" s="229"/>
    </row>
    <row r="763" ht="15.7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  <c r="AA763" s="229"/>
    </row>
    <row r="764" ht="15.7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  <c r="AA764" s="229"/>
    </row>
    <row r="765" ht="15.7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  <c r="AA765" s="229"/>
    </row>
    <row r="766" ht="15.7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  <c r="AA766" s="229"/>
    </row>
    <row r="767" ht="15.7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  <c r="AA767" s="229"/>
    </row>
    <row r="768" ht="15.7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  <c r="AA768" s="229"/>
    </row>
    <row r="769" ht="15.7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  <c r="AA769" s="229"/>
    </row>
    <row r="770" ht="15.7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  <c r="AA770" s="229"/>
    </row>
    <row r="771" ht="15.7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  <c r="AA771" s="229"/>
    </row>
    <row r="772" ht="15.7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  <c r="AA772" s="229"/>
    </row>
    <row r="773" ht="15.7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  <c r="AA773" s="229"/>
    </row>
    <row r="774" ht="15.7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  <c r="AA774" s="229"/>
    </row>
    <row r="775" ht="15.7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  <c r="AA775" s="229"/>
    </row>
    <row r="776" ht="15.7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  <c r="AA776" s="229"/>
    </row>
    <row r="777" ht="15.7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  <c r="AA777" s="229"/>
    </row>
    <row r="778" ht="15.7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  <c r="AA778" s="229"/>
    </row>
    <row r="779" ht="15.7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  <c r="AA779" s="229"/>
    </row>
    <row r="780" ht="15.7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  <c r="AA780" s="229"/>
    </row>
    <row r="781" ht="15.7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  <c r="AA781" s="229"/>
    </row>
    <row r="782" ht="15.7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  <c r="AA782" s="229"/>
    </row>
    <row r="783" ht="15.7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  <c r="AA783" s="229"/>
    </row>
    <row r="784" ht="15.7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  <c r="AA784" s="229"/>
    </row>
    <row r="785" ht="15.7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  <c r="AA785" s="229"/>
    </row>
    <row r="786" ht="15.7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  <c r="AA786" s="229"/>
    </row>
    <row r="787" ht="15.7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  <c r="AA787" s="229"/>
    </row>
    <row r="788" ht="15.7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  <c r="AA788" s="229"/>
    </row>
    <row r="789" ht="15.7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  <c r="AA789" s="229"/>
    </row>
    <row r="790" ht="15.7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  <c r="AA790" s="229"/>
    </row>
    <row r="791" ht="15.7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  <c r="AA791" s="229"/>
    </row>
    <row r="792" ht="15.7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  <c r="AA792" s="229"/>
    </row>
    <row r="793" ht="15.7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  <c r="AA793" s="229"/>
    </row>
    <row r="794" ht="15.7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  <c r="AA794" s="229"/>
    </row>
    <row r="795" ht="15.7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  <c r="AA795" s="229"/>
    </row>
    <row r="796" ht="15.7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  <c r="AA796" s="229"/>
    </row>
    <row r="797" ht="15.7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  <c r="AA797" s="229"/>
    </row>
    <row r="798" ht="15.7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  <c r="AA798" s="229"/>
    </row>
    <row r="799" ht="15.7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  <c r="AA799" s="229"/>
    </row>
    <row r="800" ht="15.7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  <c r="AA800" s="229"/>
    </row>
    <row r="801" ht="15.7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  <c r="AA801" s="229"/>
    </row>
    <row r="802" ht="15.7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  <c r="AA802" s="229"/>
    </row>
    <row r="803" ht="15.7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  <c r="AA803" s="229"/>
    </row>
    <row r="804" ht="15.7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  <c r="AA804" s="229"/>
    </row>
    <row r="805" ht="15.7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  <c r="AA805" s="229"/>
    </row>
    <row r="806" ht="15.7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  <c r="AA806" s="229"/>
    </row>
    <row r="807" ht="15.7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  <c r="AA807" s="229"/>
    </row>
    <row r="808" ht="15.7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  <c r="AA808" s="229"/>
    </row>
    <row r="809" ht="15.7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  <c r="AA809" s="229"/>
    </row>
    <row r="810" ht="15.7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  <c r="AA810" s="229"/>
    </row>
    <row r="811" ht="15.7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  <c r="AA811" s="229"/>
    </row>
    <row r="812" ht="15.7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  <c r="AA812" s="229"/>
    </row>
    <row r="813" ht="15.7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  <c r="AA813" s="229"/>
    </row>
    <row r="814" ht="15.7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  <c r="AA814" s="229"/>
    </row>
    <row r="815" ht="15.7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  <c r="AA815" s="229"/>
    </row>
    <row r="816" ht="15.7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  <c r="AA816" s="229"/>
    </row>
    <row r="817" ht="15.7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  <c r="AA817" s="229"/>
    </row>
    <row r="818" ht="15.7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  <c r="AA818" s="229"/>
    </row>
    <row r="819" ht="15.7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  <c r="AA819" s="229"/>
    </row>
    <row r="820" ht="15.7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  <c r="AA820" s="229"/>
    </row>
    <row r="821" ht="15.7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  <c r="AA821" s="229"/>
    </row>
    <row r="822" ht="15.7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  <c r="AA822" s="229"/>
    </row>
    <row r="823" ht="15.7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  <c r="AA823" s="229"/>
    </row>
    <row r="824" ht="15.7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  <c r="AA824" s="229"/>
    </row>
    <row r="825" ht="15.7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  <c r="AA825" s="229"/>
    </row>
    <row r="826" ht="15.7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  <c r="AA826" s="229"/>
    </row>
    <row r="827" ht="15.7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  <c r="AA827" s="229"/>
    </row>
    <row r="828" ht="15.7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  <c r="AA828" s="229"/>
    </row>
    <row r="829" ht="15.7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  <c r="AA829" s="229"/>
    </row>
    <row r="830" ht="15.7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  <c r="AA830" s="229"/>
    </row>
    <row r="831" ht="15.7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  <c r="AA831" s="229"/>
    </row>
    <row r="832" ht="15.7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  <c r="AA832" s="229"/>
    </row>
    <row r="833" ht="15.7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  <c r="AA833" s="229"/>
    </row>
    <row r="834" ht="15.7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  <c r="AA834" s="229"/>
    </row>
    <row r="835" ht="15.7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  <c r="AA835" s="229"/>
    </row>
    <row r="836" ht="15.7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  <c r="AA836" s="229"/>
    </row>
    <row r="837" ht="15.7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  <c r="AA837" s="229"/>
    </row>
    <row r="838" ht="15.7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  <c r="AA838" s="229"/>
    </row>
    <row r="839" ht="15.7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  <c r="AA839" s="229"/>
    </row>
    <row r="840" ht="15.7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  <c r="AA840" s="229"/>
    </row>
    <row r="841" ht="15.7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  <c r="AA841" s="229"/>
    </row>
    <row r="842" ht="15.7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  <c r="AA842" s="229"/>
    </row>
    <row r="843" ht="15.7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  <c r="AA843" s="229"/>
    </row>
    <row r="844" ht="15.7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  <c r="AA844" s="229"/>
    </row>
    <row r="845" ht="15.7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  <c r="AA845" s="229"/>
    </row>
    <row r="846" ht="15.7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  <c r="AA846" s="229"/>
    </row>
    <row r="847" ht="15.7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  <c r="AA847" s="229"/>
    </row>
    <row r="848" ht="15.7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  <c r="AA848" s="229"/>
    </row>
    <row r="849" ht="15.7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  <c r="AA849" s="229"/>
    </row>
    <row r="850" ht="15.7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  <c r="AA850" s="229"/>
    </row>
    <row r="851" ht="15.7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  <c r="AA851" s="229"/>
    </row>
    <row r="852" ht="15.7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  <c r="AA852" s="229"/>
    </row>
    <row r="853" ht="15.7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  <c r="AA853" s="229"/>
    </row>
    <row r="854" ht="15.7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  <c r="AA854" s="229"/>
    </row>
    <row r="855" ht="15.7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  <c r="AA855" s="229"/>
    </row>
    <row r="856" ht="15.7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  <c r="AA856" s="229"/>
    </row>
    <row r="857" ht="15.7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  <c r="AA857" s="229"/>
    </row>
    <row r="858" ht="15.7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  <c r="AA858" s="229"/>
    </row>
    <row r="859" ht="15.7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  <c r="AA859" s="229"/>
    </row>
    <row r="860" ht="15.7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  <c r="AA860" s="229"/>
    </row>
    <row r="861" ht="15.7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  <c r="AA861" s="229"/>
    </row>
    <row r="862" ht="15.7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  <c r="AA862" s="229"/>
    </row>
    <row r="863" ht="15.7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  <c r="AA863" s="229"/>
    </row>
    <row r="864" ht="15.7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  <c r="AA864" s="229"/>
    </row>
    <row r="865" ht="15.7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  <c r="AA865" s="229"/>
    </row>
    <row r="866" ht="15.7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  <c r="AA866" s="229"/>
    </row>
    <row r="867" ht="15.7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  <c r="AA867" s="229"/>
    </row>
    <row r="868" ht="15.7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  <c r="AA868" s="229"/>
    </row>
    <row r="869" ht="15.7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  <c r="AA869" s="229"/>
    </row>
    <row r="870" ht="15.7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  <c r="AA870" s="229"/>
    </row>
    <row r="871" ht="15.7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  <c r="AA871" s="229"/>
    </row>
    <row r="872" ht="15.7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  <c r="AA872" s="229"/>
    </row>
    <row r="873" ht="15.7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  <c r="AA873" s="229"/>
    </row>
    <row r="874" ht="15.7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  <c r="AA874" s="229"/>
    </row>
    <row r="875" ht="15.7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  <c r="AA875" s="229"/>
    </row>
    <row r="876" ht="15.7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  <c r="AA876" s="229"/>
    </row>
    <row r="877" ht="15.7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  <c r="AA877" s="229"/>
    </row>
    <row r="878" ht="15.7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  <c r="AA878" s="229"/>
    </row>
    <row r="879" ht="15.7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  <c r="AA879" s="229"/>
    </row>
    <row r="880" ht="15.7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  <c r="AA880" s="229"/>
    </row>
    <row r="881" ht="15.7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  <c r="AA881" s="229"/>
    </row>
    <row r="882" ht="15.7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  <c r="AA882" s="229"/>
    </row>
    <row r="883" ht="15.7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  <c r="AA883" s="229"/>
    </row>
    <row r="884" ht="15.7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  <c r="AA884" s="229"/>
    </row>
    <row r="885" ht="15.7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  <c r="AA885" s="229"/>
    </row>
    <row r="886" ht="15.7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  <c r="AA886" s="229"/>
    </row>
    <row r="887" ht="15.7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  <c r="AA887" s="229"/>
    </row>
    <row r="888" ht="15.7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  <c r="AA888" s="229"/>
    </row>
    <row r="889" ht="15.7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  <c r="AA889" s="229"/>
    </row>
    <row r="890" ht="15.7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  <c r="AA890" s="229"/>
    </row>
    <row r="891" ht="15.7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  <c r="AA891" s="229"/>
    </row>
    <row r="892" ht="15.7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  <c r="AA892" s="229"/>
    </row>
    <row r="893" ht="15.7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  <c r="AA893" s="229"/>
    </row>
    <row r="894" ht="15.7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  <c r="AA894" s="229"/>
    </row>
    <row r="895" ht="15.7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  <c r="AA895" s="229"/>
    </row>
    <row r="896" ht="15.7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  <c r="AA896" s="229"/>
    </row>
    <row r="897" ht="15.7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  <c r="AA897" s="229"/>
    </row>
    <row r="898" ht="15.7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  <c r="AA898" s="229"/>
    </row>
    <row r="899" ht="15.7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  <c r="AA899" s="229"/>
    </row>
    <row r="900" ht="15.7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  <c r="AA900" s="229"/>
    </row>
    <row r="901" ht="15.7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  <c r="AA901" s="229"/>
    </row>
    <row r="902" ht="15.7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  <c r="AA902" s="229"/>
    </row>
    <row r="903" ht="15.7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  <c r="AA903" s="229"/>
    </row>
    <row r="904" ht="15.7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  <c r="AA904" s="229"/>
    </row>
    <row r="905" ht="15.7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  <c r="AA905" s="229"/>
    </row>
    <row r="906" ht="15.7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  <c r="AA906" s="229"/>
    </row>
    <row r="907" ht="15.7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  <c r="AA907" s="229"/>
    </row>
    <row r="908" ht="15.7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  <c r="AA908" s="229"/>
    </row>
    <row r="909" ht="15.7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  <c r="AA909" s="229"/>
    </row>
    <row r="910" ht="15.7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  <c r="AA910" s="229"/>
    </row>
    <row r="911" ht="15.7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  <c r="AA911" s="229"/>
    </row>
    <row r="912" ht="15.7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  <c r="AA912" s="229"/>
    </row>
    <row r="913" ht="15.7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  <c r="AA913" s="229"/>
    </row>
    <row r="914" ht="15.7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  <c r="AA914" s="229"/>
    </row>
    <row r="915" ht="15.7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  <c r="AA915" s="229"/>
    </row>
    <row r="916" ht="15.7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  <c r="AA916" s="229"/>
    </row>
    <row r="917" ht="15.7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229"/>
    </row>
    <row r="918" ht="15.7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229"/>
    </row>
    <row r="919" ht="15.7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</row>
    <row r="920" ht="15.7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</row>
    <row r="921" ht="15.7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</row>
    <row r="922" ht="15.7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</row>
    <row r="923" ht="15.7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</row>
    <row r="924" ht="15.7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</row>
    <row r="925" ht="15.7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</row>
    <row r="926" ht="15.7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</row>
    <row r="927" ht="15.7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</row>
    <row r="928" ht="15.7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</row>
    <row r="929" ht="15.7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</row>
    <row r="930" ht="15.7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</row>
    <row r="931" ht="15.7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</row>
    <row r="932" ht="15.7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</row>
    <row r="933" ht="15.7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</row>
    <row r="934" ht="15.7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</row>
    <row r="935" ht="15.7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</row>
    <row r="936" ht="15.7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</row>
    <row r="937" ht="15.7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</row>
    <row r="938" ht="15.7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</row>
    <row r="939" ht="15.7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</row>
    <row r="940" ht="15.7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</row>
    <row r="941" ht="15.7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</row>
    <row r="942" ht="15.7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</row>
    <row r="943" ht="15.7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</row>
    <row r="944" ht="15.7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</row>
    <row r="945" ht="15.7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</row>
    <row r="946" ht="15.7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</row>
    <row r="947" ht="15.7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</row>
    <row r="948" ht="15.7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</row>
    <row r="949" ht="15.7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</row>
    <row r="950" ht="15.7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</row>
    <row r="951" ht="15.7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</row>
    <row r="952" ht="15.7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</row>
    <row r="953" ht="15.7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</row>
    <row r="954" ht="15.7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</row>
    <row r="955" ht="15.7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</row>
    <row r="956" ht="15.7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</row>
    <row r="957" ht="15.7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</row>
    <row r="958" ht="15.7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</row>
    <row r="959" ht="15.7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</row>
    <row r="960" ht="15.7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</row>
    <row r="961" ht="15.7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</row>
    <row r="962" ht="15.7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</row>
    <row r="963" ht="15.7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</row>
    <row r="964" ht="15.7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</row>
    <row r="965" ht="15.7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</row>
    <row r="966" ht="15.7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</row>
    <row r="967" ht="15.7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</row>
    <row r="968" ht="15.7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</row>
    <row r="969" ht="15.7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</row>
    <row r="970" ht="15.7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</row>
    <row r="971" ht="15.7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</row>
    <row r="972" ht="15.7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</row>
    <row r="973" ht="15.7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</row>
    <row r="974" ht="15.7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</row>
    <row r="975" ht="15.7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</row>
  </sheetData>
  <mergeCells count="2">
    <mergeCell ref="G2:J2"/>
    <mergeCell ref="G38:I3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3.75"/>
    <col customWidth="1" min="9" max="9" width="18.0"/>
  </cols>
  <sheetData>
    <row r="1" ht="15.75" customHeight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75" customHeight="1">
      <c r="A2" s="81"/>
      <c r="B2" s="306" t="s">
        <v>189</v>
      </c>
      <c r="C2" s="106"/>
      <c r="D2" s="106"/>
      <c r="E2" s="106"/>
      <c r="F2" s="106"/>
      <c r="G2" s="107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15.75" customHeight="1">
      <c r="A3" s="81"/>
      <c r="B3" s="307" t="s">
        <v>190</v>
      </c>
      <c r="C3" s="308" t="s">
        <v>191</v>
      </c>
      <c r="D3" s="309" t="s">
        <v>192</v>
      </c>
      <c r="E3" s="309" t="s">
        <v>193</v>
      </c>
      <c r="F3" s="310" t="s">
        <v>194</v>
      </c>
      <c r="G3" s="310" t="s">
        <v>151</v>
      </c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5.75" customHeight="1">
      <c r="A4" s="81"/>
      <c r="B4" s="311" t="s">
        <v>195</v>
      </c>
      <c r="C4" s="312">
        <f>'Cash Report'!D64</f>
        <v>115213964.8</v>
      </c>
      <c r="D4" s="313">
        <v>0.0</v>
      </c>
      <c r="E4" s="314">
        <v>0.0</v>
      </c>
      <c r="F4" s="315">
        <v>1.0</v>
      </c>
      <c r="G4" s="312">
        <f>C4*F4</f>
        <v>115213964.8</v>
      </c>
      <c r="H4" s="316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5.75" customHeight="1">
      <c r="A5" s="81"/>
      <c r="B5" s="311" t="s">
        <v>196</v>
      </c>
      <c r="C5" s="312">
        <v>0.0</v>
      </c>
      <c r="D5" s="317">
        <f>'Cash Report'!D65</f>
        <v>255374.67</v>
      </c>
      <c r="E5" s="318">
        <v>0.0</v>
      </c>
      <c r="F5" s="319">
        <f>'Cash Report'!$E$31</f>
        <v>1353.01</v>
      </c>
      <c r="G5" s="312">
        <f>'Cash Report'!J39</f>
        <v>345524482.3</v>
      </c>
      <c r="H5" s="320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75" customHeight="1">
      <c r="A6" s="81"/>
      <c r="B6" s="311" t="s">
        <v>197</v>
      </c>
      <c r="C6" s="312">
        <v>0.0</v>
      </c>
      <c r="D6" s="317">
        <v>0.0</v>
      </c>
      <c r="E6" s="318">
        <f>'Cash Report'!D66</f>
        <v>2525</v>
      </c>
      <c r="F6" s="321">
        <f>'Cash Report'!E30</f>
        <v>1844.24</v>
      </c>
      <c r="G6" s="312">
        <f>'Cash Report'!F66</f>
        <v>4656706</v>
      </c>
      <c r="H6" s="322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75" customHeight="1">
      <c r="A7" s="81"/>
      <c r="B7" s="323" t="s">
        <v>198</v>
      </c>
      <c r="C7" s="312">
        <v>0.0</v>
      </c>
      <c r="D7" s="317">
        <f>'Breakdown of Income and Expendi'!H35</f>
        <v>768.94</v>
      </c>
      <c r="E7" s="318">
        <v>0.0</v>
      </c>
      <c r="F7" s="319">
        <f>'Cash Report'!$E$31</f>
        <v>1353.01</v>
      </c>
      <c r="G7" s="312">
        <f>D7*F7</f>
        <v>1040383.509</v>
      </c>
      <c r="H7" s="322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5.75" customHeight="1">
      <c r="A8" s="81"/>
      <c r="B8" s="324" t="s">
        <v>144</v>
      </c>
      <c r="C8" s="325">
        <f t="shared" ref="C8:E8" si="1">SUM(C4:C7)</f>
        <v>115213964.8</v>
      </c>
      <c r="D8" s="326">
        <f t="shared" si="1"/>
        <v>256143.61</v>
      </c>
      <c r="E8" s="327">
        <f t="shared" si="1"/>
        <v>2525</v>
      </c>
      <c r="F8" s="310"/>
      <c r="G8" s="328">
        <f>SUM(G4:G7)</f>
        <v>466435536.6</v>
      </c>
      <c r="H8" s="80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81"/>
      <c r="B9" s="81"/>
      <c r="C9" s="81"/>
      <c r="D9" s="81"/>
      <c r="E9" s="81"/>
      <c r="F9" s="81"/>
      <c r="G9" s="329"/>
      <c r="H9" s="330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>
      <c r="A10" s="81"/>
      <c r="B10" s="81"/>
      <c r="C10" s="331"/>
      <c r="D10" s="81"/>
      <c r="E10" s="33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5.75" customHeight="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>
      <c r="A12" s="81"/>
      <c r="B12" s="332" t="s">
        <v>199</v>
      </c>
      <c r="C12" s="106"/>
      <c r="D12" s="106"/>
      <c r="E12" s="106"/>
      <c r="F12" s="106"/>
      <c r="G12" s="106"/>
      <c r="H12" s="107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5.75" customHeight="1">
      <c r="A13" s="81"/>
      <c r="B13" s="333" t="s">
        <v>200</v>
      </c>
      <c r="C13" s="334" t="s">
        <v>201</v>
      </c>
      <c r="D13" s="334" t="s">
        <v>202</v>
      </c>
      <c r="E13" s="334" t="s">
        <v>4</v>
      </c>
      <c r="F13" s="334" t="s">
        <v>130</v>
      </c>
      <c r="G13" s="310" t="s">
        <v>203</v>
      </c>
      <c r="H13" s="334" t="s">
        <v>204</v>
      </c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75" customHeight="1">
      <c r="A14" s="81"/>
      <c r="B14" s="335" t="s">
        <v>205</v>
      </c>
      <c r="C14" s="336">
        <f>59500-59500</f>
        <v>0</v>
      </c>
      <c r="D14" s="337">
        <v>689.68</v>
      </c>
      <c r="E14" s="336">
        <f t="shared" ref="E14:E19" si="2">SUM(C14:D14)</f>
        <v>689.68</v>
      </c>
      <c r="F14" s="338" t="s">
        <v>132</v>
      </c>
      <c r="G14" s="311" t="s">
        <v>206</v>
      </c>
      <c r="H14" s="338"/>
      <c r="I14" s="339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5.75" customHeight="1">
      <c r="A15" s="81"/>
      <c r="B15" s="335" t="s">
        <v>207</v>
      </c>
      <c r="C15" s="317">
        <f>752544.4-123000-60000</f>
        <v>569544.4</v>
      </c>
      <c r="D15" s="337">
        <v>130154.35</v>
      </c>
      <c r="E15" s="336">
        <f t="shared" si="2"/>
        <v>699698.75</v>
      </c>
      <c r="F15" s="338" t="s">
        <v>132</v>
      </c>
      <c r="G15" s="311" t="s">
        <v>206</v>
      </c>
      <c r="H15" s="338"/>
      <c r="I15" s="339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340"/>
      <c r="B16" s="335" t="s">
        <v>208</v>
      </c>
      <c r="C16" s="341">
        <v>111975.34870967735</v>
      </c>
      <c r="D16" s="337">
        <v>593.71</v>
      </c>
      <c r="E16" s="336">
        <f t="shared" si="2"/>
        <v>112569.0587</v>
      </c>
      <c r="F16" s="338" t="s">
        <v>132</v>
      </c>
      <c r="G16" s="311" t="s">
        <v>206</v>
      </c>
      <c r="H16" s="342"/>
      <c r="I16" s="339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</row>
    <row r="17" ht="30.0" customHeight="1">
      <c r="A17" s="340"/>
      <c r="B17" s="343" t="s">
        <v>209</v>
      </c>
      <c r="C17" s="344">
        <v>45314.87</v>
      </c>
      <c r="D17" s="337">
        <v>32146.39</v>
      </c>
      <c r="E17" s="336">
        <f t="shared" si="2"/>
        <v>77461.26</v>
      </c>
      <c r="F17" s="345" t="s">
        <v>132</v>
      </c>
      <c r="G17" s="311" t="s">
        <v>206</v>
      </c>
      <c r="H17" s="346" t="s">
        <v>210</v>
      </c>
      <c r="I17" s="347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</row>
    <row r="18" ht="15.75" customHeight="1">
      <c r="A18" s="81"/>
      <c r="B18" s="335" t="s">
        <v>211</v>
      </c>
      <c r="C18" s="348">
        <v>528300.0</v>
      </c>
      <c r="D18" s="349">
        <v>0.0</v>
      </c>
      <c r="E18" s="336">
        <f t="shared" si="2"/>
        <v>528300</v>
      </c>
      <c r="F18" s="350">
        <v>46063.0</v>
      </c>
      <c r="G18" s="311" t="s">
        <v>212</v>
      </c>
      <c r="H18" s="338"/>
      <c r="I18" s="347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>
      <c r="A19" s="81"/>
      <c r="B19" s="335" t="s">
        <v>213</v>
      </c>
      <c r="C19" s="336">
        <v>769.0</v>
      </c>
      <c r="D19" s="317">
        <v>0.0</v>
      </c>
      <c r="E19" s="336">
        <f t="shared" si="2"/>
        <v>769</v>
      </c>
      <c r="F19" s="338" t="s">
        <v>132</v>
      </c>
      <c r="G19" s="311" t="s">
        <v>132</v>
      </c>
      <c r="H19" s="338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5.75" customHeight="1">
      <c r="A20" s="81"/>
      <c r="B20" s="335"/>
      <c r="C20" s="351">
        <f t="shared" ref="C20:E20" si="3">SUM(C14:C19)</f>
        <v>1255903.619</v>
      </c>
      <c r="D20" s="351">
        <f t="shared" si="3"/>
        <v>163584.13</v>
      </c>
      <c r="E20" s="352">
        <f t="shared" si="3"/>
        <v>1419487.749</v>
      </c>
      <c r="F20" s="311"/>
      <c r="G20" s="353"/>
      <c r="H20" s="353"/>
      <c r="I20" s="330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>
      <c r="A21" s="81"/>
      <c r="B21" s="81"/>
      <c r="C21" s="81"/>
      <c r="D21" s="81"/>
      <c r="E21" s="354"/>
      <c r="F21" s="331"/>
      <c r="G21" s="354"/>
      <c r="H21" s="355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>
      <c r="A22" s="81"/>
      <c r="B22" s="81"/>
      <c r="C22" s="81"/>
      <c r="D22" s="81"/>
      <c r="E22" s="81"/>
      <c r="F22" s="81"/>
      <c r="G22" s="81"/>
      <c r="H22" s="81"/>
      <c r="I22" s="356">
        <f>E20+E26</f>
        <v>1460121.089</v>
      </c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>
      <c r="A23" s="81"/>
      <c r="B23" s="332" t="s">
        <v>214</v>
      </c>
      <c r="C23" s="106"/>
      <c r="D23" s="106"/>
      <c r="E23" s="106"/>
      <c r="F23" s="106"/>
      <c r="G23" s="106"/>
      <c r="H23" s="107"/>
      <c r="I23" s="356">
        <f>I22*F5</f>
        <v>1975558434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5.75" customHeight="1">
      <c r="A24" s="81"/>
      <c r="B24" s="310" t="s">
        <v>200</v>
      </c>
      <c r="C24" s="310" t="s">
        <v>201</v>
      </c>
      <c r="D24" s="310" t="s">
        <v>202</v>
      </c>
      <c r="E24" s="310" t="s">
        <v>4</v>
      </c>
      <c r="F24" s="310" t="s">
        <v>130</v>
      </c>
      <c r="G24" s="310" t="s">
        <v>203</v>
      </c>
      <c r="H24" s="310" t="s">
        <v>204</v>
      </c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5.75" customHeight="1">
      <c r="A25" s="81"/>
      <c r="B25" s="311" t="s">
        <v>215</v>
      </c>
      <c r="C25" s="349">
        <v>38400.0</v>
      </c>
      <c r="D25" s="357">
        <v>2233.34</v>
      </c>
      <c r="E25" s="358">
        <f>C25+D25</f>
        <v>40633.34</v>
      </c>
      <c r="F25" s="359" t="s">
        <v>132</v>
      </c>
      <c r="G25" s="311" t="s">
        <v>206</v>
      </c>
      <c r="H25" s="360" t="s">
        <v>216</v>
      </c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5.75" customHeight="1">
      <c r="A26" s="81"/>
      <c r="B26" s="361" t="s">
        <v>217</v>
      </c>
      <c r="C26" s="362">
        <f t="shared" ref="C26:E26" si="4">SUM(C25)</f>
        <v>38400</v>
      </c>
      <c r="D26" s="362">
        <f t="shared" si="4"/>
        <v>2233.34</v>
      </c>
      <c r="E26" s="363">
        <f t="shared" si="4"/>
        <v>40633.34</v>
      </c>
      <c r="F26" s="353"/>
      <c r="G26" s="353"/>
      <c r="H26" s="364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>
      <c r="A27" s="81"/>
      <c r="B27" s="81"/>
      <c r="C27" s="81"/>
      <c r="D27" s="81"/>
      <c r="E27" s="81"/>
      <c r="F27" s="365"/>
      <c r="G27" s="354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>
      <c r="A28" s="81"/>
      <c r="B28" s="81"/>
      <c r="C28" s="81"/>
      <c r="D28" s="366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5.75" customHeight="1">
      <c r="A29" s="81"/>
      <c r="B29" s="332" t="s">
        <v>218</v>
      </c>
      <c r="C29" s="106"/>
      <c r="D29" s="106"/>
      <c r="E29" s="106"/>
      <c r="F29" s="106"/>
      <c r="G29" s="106"/>
      <c r="H29" s="367"/>
      <c r="I29" s="330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5.75" customHeight="1">
      <c r="A30" s="81"/>
      <c r="B30" s="333" t="s">
        <v>200</v>
      </c>
      <c r="C30" s="334" t="s">
        <v>201</v>
      </c>
      <c r="D30" s="334" t="s">
        <v>202</v>
      </c>
      <c r="E30" s="334" t="s">
        <v>4</v>
      </c>
      <c r="F30" s="310" t="s">
        <v>130</v>
      </c>
      <c r="G30" s="310" t="s">
        <v>203</v>
      </c>
      <c r="H30" s="310" t="s">
        <v>204</v>
      </c>
      <c r="I30" s="330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>
      <c r="A31" s="81"/>
      <c r="B31" s="335" t="s">
        <v>219</v>
      </c>
      <c r="C31" s="368">
        <v>0.0</v>
      </c>
      <c r="D31" s="369">
        <v>9141371.53</v>
      </c>
      <c r="E31" s="370">
        <f t="shared" ref="E31:E32" si="5">C31+D31</f>
        <v>9141371.53</v>
      </c>
      <c r="F31" s="371" t="s">
        <v>132</v>
      </c>
      <c r="G31" s="311" t="s">
        <v>206</v>
      </c>
      <c r="H31" s="311"/>
      <c r="I31" s="330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5.75" customHeight="1">
      <c r="A32" s="81"/>
      <c r="B32" s="372" t="s">
        <v>123</v>
      </c>
      <c r="C32" s="368">
        <v>5000000.0</v>
      </c>
      <c r="D32" s="373">
        <v>2679400.0</v>
      </c>
      <c r="E32" s="370">
        <f t="shared" si="5"/>
        <v>7679400</v>
      </c>
      <c r="F32" s="371" t="s">
        <v>132</v>
      </c>
      <c r="G32" s="311" t="s">
        <v>206</v>
      </c>
      <c r="H32" s="311"/>
      <c r="I32" s="374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5.75" customHeight="1">
      <c r="A33" s="81"/>
      <c r="B33" s="361" t="s">
        <v>220</v>
      </c>
      <c r="C33" s="328">
        <f t="shared" ref="C33:E33" si="6">SUM(C31:C32)</f>
        <v>5000000</v>
      </c>
      <c r="D33" s="328">
        <f t="shared" si="6"/>
        <v>11820771.53</v>
      </c>
      <c r="E33" s="328">
        <f t="shared" si="6"/>
        <v>16820771.53</v>
      </c>
      <c r="F33" s="311"/>
      <c r="G33" s="311"/>
      <c r="H33" s="31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5.7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5.75" customHeight="1">
      <c r="A35" s="81"/>
      <c r="B35" s="81"/>
      <c r="C35" s="81"/>
      <c r="D35" s="81"/>
      <c r="E35" s="81"/>
      <c r="F35" s="375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5.75" customHeight="1">
      <c r="A36" s="81"/>
      <c r="B36" s="81"/>
      <c r="C36" s="81"/>
      <c r="D36" s="81"/>
      <c r="E36" s="81"/>
      <c r="F36" s="375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5.75" customHeight="1">
      <c r="A37" s="81"/>
      <c r="B37" s="81"/>
      <c r="C37" s="81"/>
      <c r="D37" s="81"/>
      <c r="E37" s="81"/>
      <c r="F37" s="347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5.75" customHeight="1">
      <c r="A38" s="81"/>
      <c r="B38" s="81"/>
      <c r="C38" s="81"/>
      <c r="D38" s="81"/>
      <c r="E38" s="81"/>
      <c r="F38" s="347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5.75" customHeight="1">
      <c r="A39" s="81"/>
      <c r="B39" s="81"/>
      <c r="C39" s="81"/>
      <c r="D39" s="81"/>
      <c r="E39" s="81"/>
      <c r="F39" s="347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5.75" customHeight="1">
      <c r="A40" s="81"/>
      <c r="B40" s="81"/>
      <c r="C40" s="81"/>
      <c r="D40" s="81"/>
      <c r="E40" s="81"/>
      <c r="F40" s="347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5.7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5.7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15.7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ht="15.7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ht="15.7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ht="15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15.7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ht="15.7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5.7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15.7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15.7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15.7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15.7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5.7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15.7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15.7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B2:G2"/>
    <mergeCell ref="B12:H12"/>
    <mergeCell ref="B23:H23"/>
    <mergeCell ref="B29:H2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42.25"/>
  </cols>
  <sheetData>
    <row r="1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</row>
    <row r="2">
      <c r="A2" s="229"/>
      <c r="B2" s="376" t="s">
        <v>221</v>
      </c>
      <c r="C2" s="106"/>
      <c r="D2" s="106"/>
      <c r="E2" s="106"/>
      <c r="F2" s="107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</row>
    <row r="3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</row>
    <row r="4">
      <c r="A4" s="229"/>
      <c r="B4" s="377" t="s">
        <v>222</v>
      </c>
      <c r="C4" s="377" t="s">
        <v>169</v>
      </c>
      <c r="D4" s="377" t="s">
        <v>223</v>
      </c>
      <c r="E4" s="377" t="s">
        <v>224</v>
      </c>
      <c r="F4" s="377" t="s">
        <v>225</v>
      </c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</row>
    <row r="5">
      <c r="A5" s="229"/>
      <c r="B5" s="378" t="s">
        <v>226</v>
      </c>
      <c r="C5" s="379" t="s">
        <v>227</v>
      </c>
      <c r="D5" s="380"/>
      <c r="E5" s="381"/>
      <c r="F5" s="382">
        <v>5151.0</v>
      </c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</row>
    <row r="6">
      <c r="A6" s="229"/>
      <c r="B6" s="378" t="s">
        <v>226</v>
      </c>
      <c r="C6" s="380" t="s">
        <v>228</v>
      </c>
      <c r="D6" s="381">
        <v>5000.0</v>
      </c>
      <c r="E6" s="383"/>
      <c r="F6" s="384">
        <f t="shared" ref="F6:F55" si="1">F5+D6-E6</f>
        <v>10151</v>
      </c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</row>
    <row r="7">
      <c r="A7" s="229"/>
      <c r="B7" s="378" t="s">
        <v>226</v>
      </c>
      <c r="C7" s="380" t="s">
        <v>229</v>
      </c>
      <c r="D7" s="380"/>
      <c r="E7" s="384">
        <v>670.0</v>
      </c>
      <c r="F7" s="384">
        <f t="shared" si="1"/>
        <v>9481</v>
      </c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</row>
    <row r="8">
      <c r="A8" s="229"/>
      <c r="B8" s="378" t="s">
        <v>226</v>
      </c>
      <c r="C8" s="380" t="s">
        <v>230</v>
      </c>
      <c r="D8" s="385"/>
      <c r="E8" s="384">
        <v>1210.0</v>
      </c>
      <c r="F8" s="384">
        <f t="shared" si="1"/>
        <v>8271</v>
      </c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</row>
    <row r="9">
      <c r="A9" s="229"/>
      <c r="B9" s="378" t="s">
        <v>226</v>
      </c>
      <c r="C9" s="380" t="s">
        <v>231</v>
      </c>
      <c r="D9" s="380"/>
      <c r="E9" s="381">
        <v>910.0</v>
      </c>
      <c r="F9" s="384">
        <f t="shared" si="1"/>
        <v>7361</v>
      </c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</row>
    <row r="10">
      <c r="A10" s="229"/>
      <c r="B10" s="378" t="s">
        <v>226</v>
      </c>
      <c r="C10" s="380" t="s">
        <v>232</v>
      </c>
      <c r="D10" s="380"/>
      <c r="E10" s="381">
        <v>725.0</v>
      </c>
      <c r="F10" s="384">
        <f t="shared" si="1"/>
        <v>6636</v>
      </c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</row>
    <row r="11">
      <c r="A11" s="229"/>
      <c r="B11" s="378" t="s">
        <v>226</v>
      </c>
      <c r="C11" s="380" t="s">
        <v>233</v>
      </c>
      <c r="D11" s="380"/>
      <c r="E11" s="384">
        <v>1200.0</v>
      </c>
      <c r="F11" s="384">
        <f t="shared" si="1"/>
        <v>5436</v>
      </c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</row>
    <row r="12">
      <c r="A12" s="229"/>
      <c r="B12" s="378" t="s">
        <v>226</v>
      </c>
      <c r="C12" s="380" t="s">
        <v>234</v>
      </c>
      <c r="D12" s="380"/>
      <c r="E12" s="384">
        <v>1200.0</v>
      </c>
      <c r="F12" s="384">
        <f t="shared" si="1"/>
        <v>4236</v>
      </c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</row>
    <row r="13">
      <c r="A13" s="229"/>
      <c r="B13" s="386">
        <v>45758.0</v>
      </c>
      <c r="C13" s="380" t="s">
        <v>235</v>
      </c>
      <c r="D13" s="387">
        <v>200.0</v>
      </c>
      <c r="E13" s="383"/>
      <c r="F13" s="384">
        <f t="shared" si="1"/>
        <v>4436</v>
      </c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</row>
    <row r="14">
      <c r="A14" s="229"/>
      <c r="B14" s="386">
        <v>45758.0</v>
      </c>
      <c r="C14" s="380" t="s">
        <v>236</v>
      </c>
      <c r="D14" s="387">
        <v>210.0</v>
      </c>
      <c r="E14" s="383"/>
      <c r="F14" s="384">
        <f t="shared" si="1"/>
        <v>4646</v>
      </c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</row>
    <row r="15">
      <c r="A15" s="229"/>
      <c r="B15" s="386">
        <v>45819.0</v>
      </c>
      <c r="C15" s="380" t="s">
        <v>237</v>
      </c>
      <c r="D15" s="387">
        <v>20000.0</v>
      </c>
      <c r="E15" s="385"/>
      <c r="F15" s="384">
        <f t="shared" si="1"/>
        <v>24646</v>
      </c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</row>
    <row r="16">
      <c r="A16" s="229"/>
      <c r="B16" s="386">
        <v>45819.0</v>
      </c>
      <c r="C16" s="380" t="s">
        <v>238</v>
      </c>
      <c r="D16" s="388"/>
      <c r="E16" s="387">
        <v>2000.0</v>
      </c>
      <c r="F16" s="384">
        <f t="shared" si="1"/>
        <v>22646</v>
      </c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</row>
    <row r="17">
      <c r="A17" s="229"/>
      <c r="B17" s="386">
        <v>45819.0</v>
      </c>
      <c r="C17" s="380" t="s">
        <v>239</v>
      </c>
      <c r="D17" s="388"/>
      <c r="E17" s="387">
        <v>2000.0</v>
      </c>
      <c r="F17" s="384">
        <f t="shared" si="1"/>
        <v>20646</v>
      </c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</row>
    <row r="18">
      <c r="A18" s="229"/>
      <c r="B18" s="386">
        <v>45819.0</v>
      </c>
      <c r="C18" s="380" t="s">
        <v>240</v>
      </c>
      <c r="D18" s="388"/>
      <c r="E18" s="387">
        <v>2000.0</v>
      </c>
      <c r="F18" s="384">
        <f t="shared" si="1"/>
        <v>18646</v>
      </c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</row>
    <row r="19">
      <c r="A19" s="229"/>
      <c r="B19" s="386">
        <v>45819.0</v>
      </c>
      <c r="C19" s="380" t="s">
        <v>241</v>
      </c>
      <c r="D19" s="388"/>
      <c r="E19" s="387">
        <v>3250.0</v>
      </c>
      <c r="F19" s="384">
        <f t="shared" si="1"/>
        <v>15396</v>
      </c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</row>
    <row r="20">
      <c r="A20" s="229"/>
      <c r="B20" s="386">
        <v>45819.0</v>
      </c>
      <c r="C20" s="380" t="s">
        <v>242</v>
      </c>
      <c r="D20" s="384">
        <v>500.0</v>
      </c>
      <c r="E20" s="383"/>
      <c r="F20" s="384">
        <f t="shared" si="1"/>
        <v>15896</v>
      </c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</row>
    <row r="21">
      <c r="A21" s="229"/>
      <c r="B21" s="386">
        <v>45819.0</v>
      </c>
      <c r="C21" s="380" t="s">
        <v>243</v>
      </c>
      <c r="D21" s="388"/>
      <c r="E21" s="389">
        <v>700.0</v>
      </c>
      <c r="F21" s="384">
        <f t="shared" si="1"/>
        <v>15196</v>
      </c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</row>
    <row r="22">
      <c r="A22" s="229"/>
      <c r="B22" s="386">
        <v>45819.0</v>
      </c>
      <c r="C22" s="380" t="s">
        <v>244</v>
      </c>
      <c r="D22" s="388"/>
      <c r="E22" s="390">
        <v>1620.0</v>
      </c>
      <c r="F22" s="384">
        <f t="shared" si="1"/>
        <v>13576</v>
      </c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</row>
    <row r="23">
      <c r="A23" s="229"/>
      <c r="B23" s="386">
        <v>45819.0</v>
      </c>
      <c r="C23" s="380" t="s">
        <v>245</v>
      </c>
      <c r="D23" s="388"/>
      <c r="E23" s="389">
        <v>3000.0</v>
      </c>
      <c r="F23" s="384">
        <f t="shared" si="1"/>
        <v>10576</v>
      </c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</row>
    <row r="24">
      <c r="A24" s="229"/>
      <c r="B24" s="378" t="s">
        <v>246</v>
      </c>
      <c r="C24" s="380" t="s">
        <v>247</v>
      </c>
      <c r="D24" s="388"/>
      <c r="E24" s="384">
        <v>1120.0</v>
      </c>
      <c r="F24" s="384">
        <f t="shared" si="1"/>
        <v>9456</v>
      </c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</row>
    <row r="25">
      <c r="A25" s="229"/>
      <c r="B25" s="378" t="s">
        <v>246</v>
      </c>
      <c r="C25" s="380" t="s">
        <v>248</v>
      </c>
      <c r="D25" s="388"/>
      <c r="E25" s="389">
        <v>890.0</v>
      </c>
      <c r="F25" s="384">
        <f t="shared" si="1"/>
        <v>8566</v>
      </c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</row>
    <row r="26">
      <c r="A26" s="229"/>
      <c r="B26" s="378" t="s">
        <v>246</v>
      </c>
      <c r="C26" s="380" t="s">
        <v>249</v>
      </c>
      <c r="D26" s="388"/>
      <c r="E26" s="389">
        <v>890.0</v>
      </c>
      <c r="F26" s="384">
        <f t="shared" si="1"/>
        <v>7676</v>
      </c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</row>
    <row r="27">
      <c r="A27" s="229"/>
      <c r="B27" s="378" t="s">
        <v>250</v>
      </c>
      <c r="C27" s="380" t="s">
        <v>251</v>
      </c>
      <c r="D27" s="388"/>
      <c r="E27" s="381">
        <v>2000.0</v>
      </c>
      <c r="F27" s="384">
        <f t="shared" si="1"/>
        <v>5676</v>
      </c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</row>
    <row r="28">
      <c r="A28" s="229"/>
      <c r="B28" s="378" t="s">
        <v>250</v>
      </c>
      <c r="C28" s="380" t="s">
        <v>252</v>
      </c>
      <c r="D28" s="381">
        <v>420.0</v>
      </c>
      <c r="E28" s="385"/>
      <c r="F28" s="384">
        <f t="shared" si="1"/>
        <v>6096</v>
      </c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</row>
    <row r="29">
      <c r="A29" s="229"/>
      <c r="B29" s="378" t="s">
        <v>253</v>
      </c>
      <c r="C29" s="380" t="s">
        <v>254</v>
      </c>
      <c r="D29" s="381">
        <v>310.0</v>
      </c>
      <c r="E29" s="380"/>
      <c r="F29" s="384">
        <f t="shared" si="1"/>
        <v>6406</v>
      </c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</row>
    <row r="30">
      <c r="A30" s="229"/>
      <c r="B30" s="386">
        <v>45669.0</v>
      </c>
      <c r="C30" s="380" t="s">
        <v>255</v>
      </c>
      <c r="D30" s="388"/>
      <c r="E30" s="384">
        <v>1000.0</v>
      </c>
      <c r="F30" s="384">
        <f t="shared" si="1"/>
        <v>5406</v>
      </c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</row>
    <row r="31">
      <c r="A31" s="229"/>
      <c r="B31" s="386">
        <v>45881.0</v>
      </c>
      <c r="C31" s="380" t="s">
        <v>256</v>
      </c>
      <c r="D31" s="384">
        <v>10000.0</v>
      </c>
      <c r="E31" s="383"/>
      <c r="F31" s="384">
        <f t="shared" si="1"/>
        <v>15406</v>
      </c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</row>
    <row r="32">
      <c r="A32" s="229"/>
      <c r="B32" s="378" t="s">
        <v>257</v>
      </c>
      <c r="C32" s="380" t="s">
        <v>258</v>
      </c>
      <c r="D32" s="388"/>
      <c r="E32" s="381">
        <v>2000.0</v>
      </c>
      <c r="F32" s="384">
        <f t="shared" si="1"/>
        <v>13406</v>
      </c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</row>
    <row r="33">
      <c r="A33" s="229"/>
      <c r="B33" s="378" t="s">
        <v>257</v>
      </c>
      <c r="C33" s="380" t="s">
        <v>259</v>
      </c>
      <c r="D33" s="388"/>
      <c r="E33" s="381">
        <v>2000.0</v>
      </c>
      <c r="F33" s="384">
        <f t="shared" si="1"/>
        <v>11406</v>
      </c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</row>
    <row r="34">
      <c r="A34" s="229"/>
      <c r="B34" s="378" t="s">
        <v>257</v>
      </c>
      <c r="C34" s="380" t="s">
        <v>260</v>
      </c>
      <c r="D34" s="388"/>
      <c r="E34" s="381">
        <v>1000.0</v>
      </c>
      <c r="F34" s="384">
        <f t="shared" si="1"/>
        <v>10406</v>
      </c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</row>
    <row r="35">
      <c r="A35" s="229"/>
      <c r="B35" s="378" t="s">
        <v>257</v>
      </c>
      <c r="C35" s="380" t="s">
        <v>261</v>
      </c>
      <c r="D35" s="388"/>
      <c r="E35" s="381">
        <v>2000.0</v>
      </c>
      <c r="F35" s="384">
        <f t="shared" si="1"/>
        <v>8406</v>
      </c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</row>
    <row r="36">
      <c r="A36" s="229"/>
      <c r="B36" s="378" t="s">
        <v>257</v>
      </c>
      <c r="C36" s="380" t="s">
        <v>262</v>
      </c>
      <c r="D36" s="388"/>
      <c r="E36" s="381">
        <v>2000.0</v>
      </c>
      <c r="F36" s="384">
        <f t="shared" si="1"/>
        <v>6406</v>
      </c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</row>
    <row r="37">
      <c r="A37" s="229"/>
      <c r="B37" s="378" t="s">
        <v>257</v>
      </c>
      <c r="C37" s="380" t="s">
        <v>263</v>
      </c>
      <c r="D37" s="383"/>
      <c r="E37" s="381">
        <v>1000.0</v>
      </c>
      <c r="F37" s="384">
        <f t="shared" si="1"/>
        <v>5406</v>
      </c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</row>
    <row r="38">
      <c r="A38" s="229"/>
      <c r="B38" s="378" t="s">
        <v>257</v>
      </c>
      <c r="C38" s="380" t="s">
        <v>264</v>
      </c>
      <c r="D38" s="380"/>
      <c r="E38" s="381">
        <v>2000.0</v>
      </c>
      <c r="F38" s="384">
        <f t="shared" si="1"/>
        <v>3406</v>
      </c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</row>
    <row r="39">
      <c r="A39" s="229"/>
      <c r="B39" s="378" t="s">
        <v>257</v>
      </c>
      <c r="C39" s="380" t="s">
        <v>265</v>
      </c>
      <c r="D39" s="380"/>
      <c r="E39" s="381">
        <v>1000.0</v>
      </c>
      <c r="F39" s="384">
        <f t="shared" si="1"/>
        <v>2406</v>
      </c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</row>
    <row r="40">
      <c r="A40" s="229"/>
      <c r="B40" s="378" t="s">
        <v>257</v>
      </c>
      <c r="C40" s="380" t="s">
        <v>228</v>
      </c>
      <c r="D40" s="381">
        <v>13000.0</v>
      </c>
      <c r="E40" s="380"/>
      <c r="F40" s="384">
        <f t="shared" si="1"/>
        <v>15406</v>
      </c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</row>
    <row r="41">
      <c r="A41" s="229"/>
      <c r="B41" s="378" t="s">
        <v>257</v>
      </c>
      <c r="C41" s="380" t="s">
        <v>266</v>
      </c>
      <c r="D41" s="380"/>
      <c r="E41" s="381">
        <v>3250.0</v>
      </c>
      <c r="F41" s="384">
        <f t="shared" si="1"/>
        <v>12156</v>
      </c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</row>
    <row r="42">
      <c r="A42" s="229"/>
      <c r="B42" s="378" t="s">
        <v>257</v>
      </c>
      <c r="C42" s="380" t="s">
        <v>267</v>
      </c>
      <c r="D42" s="380"/>
      <c r="E42" s="381">
        <v>3250.0</v>
      </c>
      <c r="F42" s="384">
        <f t="shared" si="1"/>
        <v>8906</v>
      </c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</row>
    <row r="43">
      <c r="A43" s="229"/>
      <c r="B43" s="378" t="s">
        <v>257</v>
      </c>
      <c r="C43" s="380" t="s">
        <v>268</v>
      </c>
      <c r="D43" s="380"/>
      <c r="E43" s="381">
        <v>1625.0</v>
      </c>
      <c r="F43" s="384">
        <f t="shared" si="1"/>
        <v>7281</v>
      </c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</row>
    <row r="44">
      <c r="A44" s="229"/>
      <c r="B44" s="378" t="s">
        <v>269</v>
      </c>
      <c r="C44" s="380" t="s">
        <v>270</v>
      </c>
      <c r="D44" s="380"/>
      <c r="E44" s="381">
        <v>5300.0</v>
      </c>
      <c r="F44" s="384">
        <f t="shared" si="1"/>
        <v>1981</v>
      </c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</row>
    <row r="45">
      <c r="A45" s="229"/>
      <c r="B45" s="386">
        <v>46235.0</v>
      </c>
      <c r="C45" s="380" t="s">
        <v>271</v>
      </c>
      <c r="D45" s="388"/>
      <c r="E45" s="384">
        <v>1280.0</v>
      </c>
      <c r="F45" s="384">
        <f t="shared" si="1"/>
        <v>701</v>
      </c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</row>
    <row r="46">
      <c r="A46" s="229"/>
      <c r="B46" s="378" t="s">
        <v>272</v>
      </c>
      <c r="C46" s="380" t="s">
        <v>273</v>
      </c>
      <c r="D46" s="384">
        <v>22000.0</v>
      </c>
      <c r="E46" s="383"/>
      <c r="F46" s="384">
        <f t="shared" si="1"/>
        <v>22701</v>
      </c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</row>
    <row r="47">
      <c r="A47" s="229"/>
      <c r="B47" s="378" t="s">
        <v>272</v>
      </c>
      <c r="C47" s="379" t="s">
        <v>274</v>
      </c>
      <c r="D47" s="388"/>
      <c r="E47" s="384">
        <v>500.0</v>
      </c>
      <c r="F47" s="384">
        <f t="shared" si="1"/>
        <v>22201</v>
      </c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</row>
    <row r="48">
      <c r="A48" s="229"/>
      <c r="B48" s="391" t="s">
        <v>275</v>
      </c>
      <c r="C48" s="392" t="s">
        <v>276</v>
      </c>
      <c r="D48" s="393"/>
      <c r="E48" s="394">
        <v>1500.0</v>
      </c>
      <c r="F48" s="384">
        <f t="shared" si="1"/>
        <v>20701</v>
      </c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</row>
    <row r="49">
      <c r="A49" s="229"/>
      <c r="B49" s="391" t="s">
        <v>275</v>
      </c>
      <c r="C49" s="392" t="s">
        <v>277</v>
      </c>
      <c r="D49" s="393"/>
      <c r="E49" s="394">
        <v>3500.0</v>
      </c>
      <c r="F49" s="384">
        <f t="shared" si="1"/>
        <v>17201</v>
      </c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</row>
    <row r="50">
      <c r="A50" s="229"/>
      <c r="B50" s="391" t="s">
        <v>275</v>
      </c>
      <c r="C50" s="392" t="s">
        <v>278</v>
      </c>
      <c r="D50" s="393"/>
      <c r="E50" s="394">
        <v>2000.0</v>
      </c>
      <c r="F50" s="384">
        <f t="shared" si="1"/>
        <v>15201</v>
      </c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</row>
    <row r="51">
      <c r="A51" s="229"/>
      <c r="B51" s="391" t="s">
        <v>275</v>
      </c>
      <c r="C51" s="392" t="s">
        <v>279</v>
      </c>
      <c r="D51" s="393"/>
      <c r="E51" s="394">
        <v>4500.0</v>
      </c>
      <c r="F51" s="384">
        <f t="shared" si="1"/>
        <v>10701</v>
      </c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</row>
    <row r="52">
      <c r="A52" s="229"/>
      <c r="B52" s="391" t="s">
        <v>275</v>
      </c>
      <c r="C52" s="392" t="s">
        <v>280</v>
      </c>
      <c r="D52" s="395"/>
      <c r="E52" s="394">
        <v>2000.0</v>
      </c>
      <c r="F52" s="384">
        <f t="shared" si="1"/>
        <v>8701</v>
      </c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</row>
    <row r="53">
      <c r="A53" s="229"/>
      <c r="B53" s="396">
        <v>46205.0</v>
      </c>
      <c r="C53" s="392" t="s">
        <v>281</v>
      </c>
      <c r="D53" s="392"/>
      <c r="E53" s="394">
        <v>1105.0</v>
      </c>
      <c r="F53" s="397">
        <f t="shared" si="1"/>
        <v>7596</v>
      </c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</row>
    <row r="54">
      <c r="A54" s="229"/>
      <c r="B54" s="396">
        <v>46205.0</v>
      </c>
      <c r="C54" s="392" t="s">
        <v>282</v>
      </c>
      <c r="D54" s="392"/>
      <c r="E54" s="394">
        <v>650.0</v>
      </c>
      <c r="F54" s="397">
        <f t="shared" si="1"/>
        <v>6946</v>
      </c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</row>
    <row r="55">
      <c r="A55" s="229"/>
      <c r="B55" s="398" t="s">
        <v>283</v>
      </c>
      <c r="C55" s="262" t="s">
        <v>284</v>
      </c>
      <c r="D55" s="260"/>
      <c r="E55" s="399">
        <v>1000.0</v>
      </c>
      <c r="F55" s="397">
        <f t="shared" si="1"/>
        <v>5946</v>
      </c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</row>
    <row r="56">
      <c r="A56" s="229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</row>
    <row r="57">
      <c r="A57" s="229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</row>
    <row r="58">
      <c r="A58" s="229"/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</row>
    <row r="59">
      <c r="A59" s="229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</row>
    <row r="60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</row>
    <row r="61">
      <c r="A61" s="229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</row>
    <row r="62">
      <c r="A62" s="229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</row>
    <row r="63">
      <c r="A63" s="229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</row>
    <row r="64">
      <c r="A64" s="229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</row>
    <row r="65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</row>
    <row r="66">
      <c r="A66" s="229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</row>
    <row r="67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</row>
    <row r="68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</row>
    <row r="69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</row>
    <row r="70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</row>
    <row r="71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</row>
    <row r="72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</row>
    <row r="73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</row>
    <row r="74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</row>
    <row r="75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</row>
    <row r="76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</row>
    <row r="77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</row>
    <row r="78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</row>
    <row r="79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</row>
    <row r="80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</row>
    <row r="8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</row>
    <row r="82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</row>
    <row r="83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</row>
    <row r="84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</row>
    <row r="85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</row>
    <row r="86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</row>
    <row r="87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</row>
    <row r="88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</row>
    <row r="89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</row>
    <row r="90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</row>
    <row r="9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</row>
    <row r="92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</row>
    <row r="93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</row>
    <row r="94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</row>
    <row r="95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</row>
    <row r="96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</row>
    <row r="97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</row>
    <row r="98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</row>
    <row r="99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</row>
    <row r="100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</row>
    <row r="10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</row>
    <row r="102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</row>
    <row r="103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</row>
    <row r="104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</row>
    <row r="105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</row>
    <row r="106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</row>
    <row r="107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</row>
    <row r="108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</row>
    <row r="109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</row>
    <row r="110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</row>
    <row r="11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</row>
    <row r="112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</row>
    <row r="113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</row>
    <row r="114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</row>
    <row r="115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</row>
    <row r="116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</row>
    <row r="117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</row>
    <row r="118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</row>
    <row r="119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</row>
    <row r="120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</row>
    <row r="12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</row>
    <row r="122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</row>
    <row r="123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</row>
    <row r="124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</row>
    <row r="125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</row>
    <row r="126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</row>
    <row r="127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</row>
    <row r="128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</row>
    <row r="129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</row>
    <row r="130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</row>
    <row r="13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</row>
    <row r="132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</row>
    <row r="133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</row>
    <row r="134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</row>
    <row r="135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</row>
    <row r="136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</row>
    <row r="137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</row>
    <row r="138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</row>
    <row r="139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</row>
    <row r="140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</row>
    <row r="14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</row>
    <row r="142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</row>
    <row r="143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</row>
    <row r="144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</row>
    <row r="145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</row>
    <row r="146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</row>
    <row r="147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</row>
    <row r="148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</row>
    <row r="149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</row>
    <row r="150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</row>
    <row r="15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</row>
    <row r="152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</row>
    <row r="153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</row>
    <row r="154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</row>
    <row r="155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</row>
    <row r="156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</row>
    <row r="157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</row>
    <row r="158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</row>
    <row r="159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</row>
    <row r="160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</row>
    <row r="16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</row>
    <row r="162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</row>
    <row r="163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</row>
    <row r="164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</row>
    <row r="165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</row>
    <row r="166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</row>
    <row r="167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</row>
    <row r="168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</row>
    <row r="169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</row>
    <row r="170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</row>
    <row r="17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</row>
    <row r="172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</row>
    <row r="173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</row>
    <row r="174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</row>
    <row r="175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</row>
    <row r="176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</row>
    <row r="177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</row>
    <row r="178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</row>
    <row r="179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</row>
    <row r="180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</row>
    <row r="18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</row>
    <row r="182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</row>
    <row r="183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</row>
    <row r="184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</row>
    <row r="185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</row>
    <row r="186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</row>
    <row r="187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</row>
    <row r="188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</row>
    <row r="189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</row>
    <row r="190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</row>
    <row r="19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</row>
    <row r="192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</row>
    <row r="193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</row>
    <row r="194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</row>
    <row r="195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</row>
    <row r="196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</row>
    <row r="197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</row>
    <row r="198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</row>
    <row r="199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</row>
    <row r="200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</row>
    <row r="20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</row>
    <row r="202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</row>
    <row r="203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</row>
    <row r="204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</row>
    <row r="205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</row>
    <row r="206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</row>
    <row r="207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</row>
    <row r="208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</row>
    <row r="209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</row>
    <row r="210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</row>
    <row r="21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</row>
    <row r="212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</row>
    <row r="213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</row>
    <row r="214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</row>
    <row r="215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</row>
    <row r="216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</row>
    <row r="217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</row>
    <row r="218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</row>
    <row r="219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</row>
    <row r="220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</row>
    <row r="22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</row>
    <row r="222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</row>
    <row r="223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</row>
    <row r="224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</row>
    <row r="225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</row>
    <row r="226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</row>
    <row r="227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</row>
    <row r="228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</row>
    <row r="229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</row>
    <row r="230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</row>
    <row r="23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</row>
    <row r="232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</row>
    <row r="233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</row>
    <row r="234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</row>
    <row r="235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</row>
    <row r="236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</row>
    <row r="237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</row>
    <row r="238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</row>
    <row r="239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</row>
    <row r="240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</row>
    <row r="24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</row>
    <row r="242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</row>
    <row r="243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</row>
    <row r="244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</row>
    <row r="245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</row>
    <row r="246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</row>
    <row r="247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</row>
    <row r="248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</row>
    <row r="249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</row>
    <row r="250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</row>
    <row r="25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</row>
    <row r="252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</row>
    <row r="253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</row>
    <row r="254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</row>
    <row r="255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</row>
    <row r="256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</row>
    <row r="257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</row>
    <row r="258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</row>
    <row r="259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</row>
    <row r="260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</row>
    <row r="26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</row>
    <row r="262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</row>
    <row r="263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</row>
    <row r="264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</row>
    <row r="265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</row>
    <row r="266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</row>
    <row r="267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</row>
    <row r="268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</row>
    <row r="269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</row>
    <row r="270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</row>
    <row r="27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</row>
    <row r="272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</row>
    <row r="273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</row>
    <row r="274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</row>
    <row r="275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</row>
    <row r="276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</row>
    <row r="277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</row>
    <row r="278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</row>
    <row r="279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</row>
    <row r="280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</row>
    <row r="28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</row>
    <row r="282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</row>
    <row r="283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</row>
    <row r="284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</row>
    <row r="285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</row>
    <row r="286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</row>
    <row r="287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</row>
    <row r="288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</row>
    <row r="289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</row>
    <row r="290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</row>
    <row r="29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</row>
    <row r="292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</row>
    <row r="293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</row>
    <row r="294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</row>
    <row r="295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</row>
    <row r="296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</row>
    <row r="297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</row>
    <row r="298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</row>
    <row r="299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</row>
    <row r="300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</row>
    <row r="30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</row>
    <row r="302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</row>
    <row r="303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</row>
    <row r="304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</row>
    <row r="305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</row>
    <row r="306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</row>
    <row r="307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</row>
    <row r="308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</row>
    <row r="309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</row>
    <row r="310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</row>
    <row r="31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</row>
    <row r="312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</row>
    <row r="313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</row>
    <row r="314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</row>
    <row r="315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</row>
    <row r="316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</row>
    <row r="317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</row>
    <row r="318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</row>
    <row r="319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</row>
    <row r="320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</row>
    <row r="32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</row>
    <row r="322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</row>
    <row r="323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</row>
    <row r="324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</row>
    <row r="325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</row>
    <row r="326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</row>
    <row r="327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</row>
    <row r="328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</row>
    <row r="329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</row>
    <row r="330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</row>
    <row r="33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</row>
    <row r="332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</row>
    <row r="333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</row>
    <row r="334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</row>
    <row r="335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</row>
    <row r="336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</row>
    <row r="337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</row>
    <row r="338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</row>
    <row r="339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</row>
    <row r="340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</row>
    <row r="34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</row>
    <row r="342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</row>
    <row r="343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</row>
    <row r="344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</row>
    <row r="345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</row>
    <row r="346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</row>
    <row r="347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</row>
    <row r="348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</row>
    <row r="349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</row>
    <row r="350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</row>
    <row r="35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</row>
    <row r="352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</row>
    <row r="353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</row>
    <row r="354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</row>
    <row r="355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</row>
    <row r="356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</row>
    <row r="357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</row>
    <row r="358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</row>
    <row r="359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</row>
    <row r="360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</row>
    <row r="36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</row>
    <row r="362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</row>
    <row r="363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</row>
    <row r="364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</row>
    <row r="365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</row>
    <row r="366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</row>
    <row r="367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</row>
    <row r="368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</row>
    <row r="369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</row>
    <row r="370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</row>
    <row r="37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</row>
    <row r="372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</row>
    <row r="373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</row>
    <row r="374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</row>
    <row r="375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</row>
    <row r="376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</row>
    <row r="377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</row>
    <row r="378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</row>
    <row r="379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</row>
    <row r="380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</row>
    <row r="38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</row>
    <row r="382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</row>
    <row r="383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</row>
    <row r="384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</row>
    <row r="385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</row>
    <row r="386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</row>
    <row r="387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</row>
    <row r="388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</row>
    <row r="389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</row>
    <row r="390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</row>
    <row r="39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</row>
    <row r="392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</row>
    <row r="393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</row>
    <row r="394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</row>
    <row r="395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</row>
    <row r="396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</row>
    <row r="397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</row>
    <row r="398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</row>
    <row r="399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</row>
    <row r="400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</row>
    <row r="40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</row>
    <row r="402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</row>
    <row r="403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</row>
    <row r="404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</row>
    <row r="405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</row>
    <row r="406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</row>
    <row r="407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</row>
    <row r="408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</row>
    <row r="409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</row>
    <row r="410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</row>
    <row r="41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</row>
    <row r="412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</row>
    <row r="413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</row>
    <row r="414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</row>
    <row r="415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</row>
    <row r="416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</row>
    <row r="417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</row>
    <row r="418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</row>
    <row r="419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</row>
    <row r="420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</row>
    <row r="42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</row>
    <row r="422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</row>
    <row r="423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</row>
    <row r="424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</row>
    <row r="425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</row>
    <row r="426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</row>
    <row r="427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</row>
    <row r="428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</row>
    <row r="429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</row>
    <row r="430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</row>
    <row r="43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</row>
    <row r="432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</row>
    <row r="433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</row>
    <row r="434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</row>
    <row r="435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</row>
    <row r="436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</row>
    <row r="437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</row>
    <row r="438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</row>
    <row r="439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</row>
    <row r="440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</row>
    <row r="44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</row>
    <row r="442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</row>
    <row r="443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</row>
    <row r="444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</row>
    <row r="445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</row>
    <row r="446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</row>
    <row r="447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</row>
    <row r="448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</row>
    <row r="449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</row>
    <row r="450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</row>
    <row r="45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</row>
    <row r="452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</row>
    <row r="453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</row>
    <row r="454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</row>
    <row r="455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</row>
    <row r="456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</row>
    <row r="457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</row>
    <row r="458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</row>
    <row r="459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</row>
    <row r="460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</row>
    <row r="46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</row>
    <row r="462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</row>
    <row r="463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</row>
    <row r="464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</row>
    <row r="465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</row>
    <row r="466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</row>
    <row r="467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</row>
    <row r="468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</row>
    <row r="469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</row>
    <row r="470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</row>
    <row r="47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</row>
    <row r="472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</row>
    <row r="473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</row>
    <row r="474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</row>
    <row r="475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</row>
    <row r="476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</row>
    <row r="477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</row>
    <row r="478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</row>
    <row r="479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</row>
    <row r="480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</row>
    <row r="48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</row>
    <row r="482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</row>
    <row r="483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</row>
    <row r="484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</row>
    <row r="485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</row>
    <row r="486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</row>
    <row r="487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</row>
    <row r="488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</row>
    <row r="489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</row>
    <row r="490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</row>
    <row r="49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</row>
    <row r="492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</row>
    <row r="493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</row>
    <row r="494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</row>
    <row r="495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</row>
    <row r="496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</row>
    <row r="497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</row>
    <row r="498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</row>
    <row r="499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</row>
    <row r="500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</row>
    <row r="50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</row>
    <row r="502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</row>
    <row r="503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</row>
    <row r="504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</row>
    <row r="505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</row>
    <row r="506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</row>
    <row r="507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</row>
    <row r="508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</row>
    <row r="509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</row>
    <row r="510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</row>
    <row r="51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</row>
    <row r="512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</row>
    <row r="513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</row>
    <row r="514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</row>
    <row r="515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</row>
    <row r="516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</row>
    <row r="517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</row>
    <row r="518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</row>
    <row r="519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</row>
    <row r="520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</row>
    <row r="52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</row>
    <row r="522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</row>
    <row r="523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</row>
    <row r="524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</row>
    <row r="525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</row>
    <row r="526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</row>
    <row r="527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</row>
    <row r="528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</row>
    <row r="529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</row>
    <row r="530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</row>
    <row r="53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</row>
    <row r="532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</row>
    <row r="533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</row>
    <row r="534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</row>
    <row r="535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</row>
    <row r="536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</row>
    <row r="537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</row>
    <row r="538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</row>
    <row r="539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</row>
    <row r="540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</row>
    <row r="54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</row>
    <row r="542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</row>
    <row r="543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</row>
    <row r="544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</row>
    <row r="545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</row>
    <row r="546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</row>
    <row r="547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</row>
    <row r="548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</row>
    <row r="549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</row>
    <row r="550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</row>
    <row r="55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</row>
    <row r="552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</row>
    <row r="553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</row>
    <row r="554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</row>
    <row r="555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</row>
    <row r="556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</row>
    <row r="557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</row>
    <row r="558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</row>
    <row r="559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</row>
    <row r="560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</row>
    <row r="56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</row>
    <row r="562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</row>
    <row r="563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</row>
    <row r="564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</row>
    <row r="565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</row>
    <row r="566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</row>
    <row r="567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</row>
    <row r="568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</row>
    <row r="569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</row>
    <row r="570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</row>
    <row r="57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</row>
    <row r="572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</row>
    <row r="573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</row>
    <row r="574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</row>
    <row r="575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</row>
    <row r="576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</row>
    <row r="577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</row>
    <row r="578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</row>
    <row r="579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</row>
    <row r="580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</row>
    <row r="58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</row>
    <row r="582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</row>
    <row r="583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</row>
    <row r="584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</row>
    <row r="585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</row>
    <row r="586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</row>
    <row r="587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</row>
    <row r="588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</row>
    <row r="589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</row>
    <row r="590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</row>
    <row r="59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</row>
    <row r="592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</row>
    <row r="593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</row>
    <row r="594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</row>
    <row r="595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</row>
    <row r="596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</row>
    <row r="597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</row>
    <row r="598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</row>
    <row r="599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</row>
    <row r="600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</row>
    <row r="60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</row>
    <row r="602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</row>
    <row r="603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</row>
    <row r="604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</row>
    <row r="605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</row>
    <row r="606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</row>
    <row r="607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</row>
    <row r="608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</row>
    <row r="609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</row>
    <row r="610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</row>
    <row r="61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</row>
    <row r="612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</row>
    <row r="613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</row>
    <row r="614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</row>
    <row r="615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</row>
    <row r="616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</row>
    <row r="617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</row>
    <row r="618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</row>
    <row r="619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</row>
    <row r="620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</row>
    <row r="62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</row>
    <row r="622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</row>
    <row r="623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</row>
    <row r="624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</row>
    <row r="625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</row>
    <row r="626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</row>
    <row r="627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</row>
    <row r="628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</row>
    <row r="629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</row>
    <row r="630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</row>
    <row r="63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</row>
    <row r="632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</row>
    <row r="633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</row>
    <row r="634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</row>
    <row r="635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</row>
    <row r="636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</row>
    <row r="637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</row>
    <row r="638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</row>
    <row r="639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</row>
    <row r="640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</row>
    <row r="64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</row>
    <row r="642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</row>
    <row r="643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</row>
    <row r="644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</row>
    <row r="645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</row>
    <row r="646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</row>
    <row r="647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</row>
    <row r="648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</row>
    <row r="649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</row>
    <row r="650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</row>
    <row r="65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</row>
    <row r="652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</row>
    <row r="653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</row>
    <row r="654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</row>
    <row r="655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</row>
    <row r="656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</row>
    <row r="657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</row>
    <row r="658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</row>
    <row r="659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</row>
    <row r="660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</row>
    <row r="66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</row>
    <row r="662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</row>
    <row r="663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</row>
    <row r="664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</row>
    <row r="665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</row>
    <row r="666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</row>
    <row r="667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</row>
    <row r="668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</row>
    <row r="669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</row>
    <row r="670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</row>
    <row r="67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</row>
    <row r="672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</row>
    <row r="673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</row>
    <row r="674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</row>
    <row r="675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</row>
    <row r="676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</row>
    <row r="677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</row>
    <row r="678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</row>
    <row r="679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</row>
    <row r="680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</row>
    <row r="68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</row>
    <row r="682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</row>
    <row r="683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</row>
    <row r="684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</row>
    <row r="685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</row>
    <row r="686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</row>
    <row r="687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</row>
    <row r="688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</row>
    <row r="689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</row>
    <row r="690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</row>
    <row r="69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</row>
    <row r="692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</row>
    <row r="693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</row>
    <row r="694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</row>
    <row r="695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</row>
    <row r="696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</row>
    <row r="697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</row>
    <row r="698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</row>
    <row r="699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</row>
    <row r="700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</row>
    <row r="70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</row>
    <row r="702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</row>
    <row r="703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</row>
    <row r="704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</row>
    <row r="705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</row>
    <row r="706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</row>
    <row r="707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</row>
    <row r="708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</row>
    <row r="709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</row>
    <row r="710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</row>
    <row r="71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</row>
    <row r="712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</row>
    <row r="713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</row>
    <row r="714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</row>
    <row r="715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</row>
    <row r="716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</row>
    <row r="717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</row>
    <row r="718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</row>
    <row r="719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</row>
    <row r="720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</row>
    <row r="72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</row>
    <row r="722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</row>
    <row r="723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</row>
    <row r="724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</row>
    <row r="725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</row>
    <row r="726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</row>
    <row r="727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</row>
    <row r="728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</row>
    <row r="729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</row>
    <row r="730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</row>
    <row r="73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</row>
    <row r="732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</row>
    <row r="733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</row>
    <row r="734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</row>
    <row r="735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</row>
    <row r="736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</row>
    <row r="737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</row>
    <row r="738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</row>
    <row r="739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</row>
    <row r="740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</row>
    <row r="74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</row>
    <row r="742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</row>
    <row r="743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</row>
    <row r="744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</row>
    <row r="745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</row>
    <row r="746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</row>
    <row r="747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</row>
    <row r="748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</row>
    <row r="749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</row>
    <row r="750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</row>
    <row r="75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</row>
    <row r="752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</row>
    <row r="753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</row>
    <row r="754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</row>
    <row r="755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</row>
    <row r="756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</row>
    <row r="757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</row>
    <row r="758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</row>
    <row r="759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</row>
    <row r="760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</row>
    <row r="76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</row>
    <row r="762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</row>
    <row r="763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</row>
    <row r="764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</row>
    <row r="765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</row>
    <row r="766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</row>
    <row r="767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</row>
    <row r="768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</row>
    <row r="769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</row>
    <row r="770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</row>
    <row r="77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</row>
    <row r="772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</row>
    <row r="773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</row>
    <row r="774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</row>
    <row r="775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</row>
    <row r="776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</row>
    <row r="777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</row>
    <row r="778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</row>
    <row r="779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</row>
    <row r="780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</row>
    <row r="78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</row>
    <row r="782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</row>
    <row r="783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</row>
    <row r="784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</row>
    <row r="785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</row>
    <row r="786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</row>
    <row r="787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</row>
    <row r="788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</row>
    <row r="789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</row>
    <row r="790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</row>
    <row r="79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</row>
    <row r="792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</row>
    <row r="793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</row>
    <row r="794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</row>
    <row r="795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</row>
    <row r="796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</row>
    <row r="797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</row>
    <row r="798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</row>
    <row r="799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</row>
    <row r="800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</row>
    <row r="80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</row>
    <row r="802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</row>
    <row r="803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</row>
    <row r="804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</row>
    <row r="805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</row>
    <row r="806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</row>
    <row r="807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</row>
    <row r="808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</row>
    <row r="809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</row>
    <row r="810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</row>
    <row r="81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</row>
    <row r="812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</row>
    <row r="813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</row>
    <row r="814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</row>
    <row r="815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</row>
    <row r="816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</row>
    <row r="817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</row>
    <row r="818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</row>
    <row r="819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</row>
    <row r="820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</row>
    <row r="82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</row>
    <row r="822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</row>
    <row r="823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</row>
    <row r="824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</row>
    <row r="825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</row>
    <row r="826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</row>
    <row r="827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</row>
    <row r="828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</row>
    <row r="829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</row>
    <row r="830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</row>
    <row r="83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</row>
    <row r="832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</row>
    <row r="833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</row>
    <row r="834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</row>
    <row r="835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</row>
    <row r="836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</row>
    <row r="837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</row>
    <row r="838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</row>
    <row r="839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</row>
    <row r="840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</row>
    <row r="84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</row>
    <row r="842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</row>
    <row r="843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</row>
    <row r="844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</row>
    <row r="845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</row>
    <row r="846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</row>
    <row r="847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</row>
    <row r="848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</row>
    <row r="849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</row>
    <row r="850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</row>
    <row r="85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</row>
    <row r="852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</row>
    <row r="853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</row>
    <row r="854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</row>
    <row r="855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</row>
    <row r="856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</row>
    <row r="857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</row>
    <row r="858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</row>
    <row r="859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</row>
    <row r="860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</row>
    <row r="86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</row>
    <row r="862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</row>
    <row r="863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</row>
    <row r="864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</row>
    <row r="865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</row>
    <row r="866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</row>
    <row r="867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</row>
    <row r="868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</row>
    <row r="869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</row>
    <row r="870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</row>
    <row r="87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</row>
    <row r="872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</row>
    <row r="873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</row>
    <row r="874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</row>
    <row r="875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</row>
    <row r="876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</row>
    <row r="877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</row>
    <row r="878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</row>
    <row r="879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</row>
    <row r="880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</row>
    <row r="88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</row>
    <row r="882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</row>
    <row r="883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</row>
    <row r="884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</row>
    <row r="885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</row>
    <row r="886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</row>
    <row r="887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</row>
    <row r="888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</row>
    <row r="889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</row>
    <row r="890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</row>
    <row r="89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</row>
    <row r="892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</row>
    <row r="893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</row>
    <row r="894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</row>
    <row r="895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</row>
    <row r="896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</row>
    <row r="897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</row>
    <row r="898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</row>
    <row r="899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</row>
    <row r="900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</row>
    <row r="90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</row>
    <row r="902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</row>
    <row r="903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</row>
    <row r="904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</row>
    <row r="905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</row>
    <row r="906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</row>
    <row r="907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</row>
    <row r="908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</row>
    <row r="909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</row>
    <row r="910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</row>
    <row r="91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</row>
    <row r="912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</row>
    <row r="913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</row>
    <row r="914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</row>
    <row r="915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</row>
    <row r="916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</row>
    <row r="917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</row>
    <row r="918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</row>
    <row r="919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</row>
    <row r="920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</row>
    <row r="92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</row>
    <row r="922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</row>
    <row r="923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</row>
    <row r="924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</row>
    <row r="925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</row>
    <row r="926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</row>
    <row r="927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</row>
    <row r="928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</row>
    <row r="929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</row>
    <row r="930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</row>
    <row r="93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</row>
    <row r="932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</row>
    <row r="933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</row>
    <row r="934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</row>
    <row r="935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</row>
    <row r="936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</row>
    <row r="937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</row>
    <row r="938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</row>
    <row r="939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</row>
    <row r="940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</row>
    <row r="94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</row>
    <row r="942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</row>
    <row r="943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</row>
    <row r="944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</row>
    <row r="945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</row>
    <row r="946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</row>
    <row r="947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</row>
    <row r="948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</row>
    <row r="949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</row>
    <row r="950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</row>
    <row r="95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</row>
    <row r="952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</row>
    <row r="953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</row>
    <row r="954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</row>
    <row r="955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</row>
    <row r="956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</row>
    <row r="957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</row>
    <row r="958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</row>
    <row r="959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</row>
    <row r="960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</row>
    <row r="96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</row>
    <row r="962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</row>
    <row r="963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</row>
    <row r="964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</row>
    <row r="965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</row>
    <row r="966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</row>
    <row r="967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</row>
    <row r="968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</row>
    <row r="969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</row>
    <row r="970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</row>
    <row r="97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</row>
    <row r="972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</row>
    <row r="973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</row>
    <row r="974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</row>
    <row r="975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</row>
    <row r="976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</row>
    <row r="977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</row>
    <row r="978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</row>
    <row r="979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</row>
    <row r="980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</row>
    <row r="98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</row>
    <row r="982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</row>
    <row r="983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</row>
    <row r="984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</row>
    <row r="985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</row>
    <row r="986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</row>
    <row r="987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</row>
    <row r="988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</row>
    <row r="989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</row>
    <row r="990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</row>
    <row r="99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</row>
    <row r="992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</row>
    <row r="993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</row>
    <row r="994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</row>
    <row r="995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</row>
    <row r="996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</row>
    <row r="997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</row>
    <row r="998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</row>
  </sheetData>
  <mergeCells count="1">
    <mergeCell ref="B2:F2"/>
  </mergeCells>
  <drawing r:id="rId1"/>
</worksheet>
</file>