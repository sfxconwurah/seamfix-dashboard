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  <sheet state="visible" name="Cash Utilizations from Safe" sheetId="6" r:id="rId10"/>
  </sheets>
  <definedNames/>
  <calcPr/>
</workbook>
</file>

<file path=xl/sharedStrings.xml><?xml version="1.0" encoding="utf-8"?>
<sst xmlns="http://schemas.openxmlformats.org/spreadsheetml/2006/main" count="470" uniqueCount="283">
  <si>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</si>
  <si>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</si>
  <si>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</si>
  <si>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</si>
  <si>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</si>
  <si>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</si>
  <si>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</si>
  <si>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</si>
  <si>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</si>
  <si>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</si>
  <si>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MWC REgistration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</si>
  <si>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</si>
  <si>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</si>
  <si>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</si>
  <si>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</si>
  <si>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</si>
  <si>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</si>
  <si>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</si>
  <si>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AWS</t>
  </si>
  <si>
    <t>UAE funding</t>
  </si>
  <si>
    <t>BTA</t>
  </si>
  <si>
    <t>Nimc consultancy fee</t>
  </si>
  <si>
    <t>VAT</t>
  </si>
  <si>
    <t>WHT</t>
  </si>
  <si>
    <t>Hosting</t>
  </si>
  <si>
    <t>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</si>
  <si>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</si>
  <si>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</si>
  <si>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</si>
  <si>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</si>
  <si>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</si>
  <si>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</si>
  <si>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</si>
  <si>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</si>
  <si>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</si>
  <si>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</si>
  <si>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SCB</t>
  </si>
  <si>
    <t>Office Supplies, Fuel &amp; Letter Dispatch</t>
  </si>
  <si>
    <t>UBA Main</t>
  </si>
  <si>
    <t>Bank Charges</t>
  </si>
  <si>
    <t>UBA (PROJECT) </t>
  </si>
  <si>
    <t>UBA (COLLECTION 1)</t>
  </si>
  <si>
    <t>UBA (COLLECTION 2)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</si>
  <si>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</si>
  <si>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</si>
  <si>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</si>
  <si>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</si>
  <si>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</si>
  <si>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</si>
  <si>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</si>
  <si>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</si>
  <si>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</si>
  <si>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</si>
  <si>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</si>
  <si>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</si>
  <si>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</si>
  <si>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</si>
  <si>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</si>
  <si>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</si>
  <si>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</si>
  <si>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</si>
  <si>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</si>
  <si>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</si>
  <si>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</si>
  <si>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</si>
  <si>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Insurance Claim</t>
  </si>
  <si>
    <t>MTN CIV Income</t>
  </si>
  <si>
    <t>Interest Earned</t>
  </si>
  <si>
    <t>NIMC Income</t>
  </si>
  <si>
    <t>iTranscript Income</t>
  </si>
  <si>
    <t>NextGen</t>
  </si>
  <si>
    <t>Loan Repayment</t>
  </si>
  <si>
    <t>MTN Income</t>
  </si>
  <si>
    <t>Inflows</t>
  </si>
  <si>
    <t>Nimc Income</t>
  </si>
  <si>
    <t>UBA MAIN</t>
  </si>
  <si>
    <t>UBA Project</t>
  </si>
  <si>
    <t>sa</t>
  </si>
  <si>
    <t>SEAMFIX LIMITED</t>
  </si>
  <si>
    <t>CASH AND CASH EQUIVALENT REPORT AS AT 20TH FEBRUARY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</si>
  <si>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</si>
  <si>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</si>
  <si>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</si>
  <si>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</si>
  <si>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</si>
  <si>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</si>
  <si>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</si>
  <si>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</si>
  <si>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</si>
  <si>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</si>
  <si>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</si>
  <si>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
Outflow: </t>
  </si>
  <si>
    <t xml:space="preserve">Inflow: 
Outflow: </t>
  </si>
  <si>
    <t>Inflow: 
Outflow: Bank Charges</t>
  </si>
  <si>
    <t xml:space="preserve">Inflow: Interbank transfer
Outflow: </t>
  </si>
  <si>
    <t>Inflow: Nimc Income
Outflow: Bank cahrges</t>
  </si>
  <si>
    <t>Inflows: 
Outflow: Hosting fee</t>
  </si>
  <si>
    <t xml:space="preserve">C </t>
  </si>
  <si>
    <t>Inflow: Staff loan repayment
Outflow: Payment Batch, Nimc Consultancy fee, salary &amp; Bank charges</t>
  </si>
  <si>
    <t>Inflows:
Outflow: Bank charges</t>
  </si>
  <si>
    <t>Wema</t>
  </si>
  <si>
    <t>Wema card A/c</t>
  </si>
  <si>
    <t>Inflow: Interbank transfer
Outflow:</t>
  </si>
  <si>
    <t>Momo Account</t>
  </si>
  <si>
    <t>TOTAL CASH (NGN)</t>
  </si>
  <si>
    <t>ZENITH BANK (USD)</t>
  </si>
  <si>
    <t>Inflow: 
Outflow:</t>
  </si>
  <si>
    <t>GTB MAIN (USD)</t>
  </si>
  <si>
    <t xml:space="preserve">Inflow:Nimc Income
Outflow: </t>
  </si>
  <si>
    <t>GTB  DEBIT CARD (USD)</t>
  </si>
  <si>
    <t>Inflow: 
Outflow:Software Tools</t>
  </si>
  <si>
    <t>Inflow: NIMC Income 
Outflow: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</si>
  <si>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</si>
  <si>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</si>
  <si>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</si>
  <si>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</si>
  <si>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</si>
  <si>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</si>
  <si>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</si>
  <si>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</si>
  <si>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</si>
  <si>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</si>
  <si>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</si>
  <si>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</si>
  <si>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</si>
  <si>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</si>
  <si>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</si>
  <si>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</si>
  <si>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</si>
  <si>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</si>
  <si>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</si>
  <si>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</si>
  <si>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</si>
  <si>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</si>
  <si>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</si>
  <si>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</si>
  <si>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</si>
  <si>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</si>
  <si>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</si>
  <si>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</si>
  <si>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</si>
  <si>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- 20TH FEBRUARY 2026</t>
  </si>
  <si>
    <t>Inflows:</t>
  </si>
  <si>
    <t>Amount</t>
  </si>
  <si>
    <t>% Ratio</t>
  </si>
  <si>
    <t>Details</t>
  </si>
  <si>
    <t>Exc rate</t>
  </si>
  <si>
    <t>Naira Equivalent</t>
  </si>
  <si>
    <t>Opening Balance- 14th Feb NGN</t>
  </si>
  <si>
    <t>Staff Loan Repayment</t>
  </si>
  <si>
    <t>Opening Balance- 14th Feb USD</t>
  </si>
  <si>
    <t>Total Cash Inflows for the week</t>
  </si>
  <si>
    <t>Opening Balance- 14th Feb GBP</t>
  </si>
  <si>
    <t>Total Opening Balance</t>
  </si>
  <si>
    <t>INFLOWS</t>
  </si>
  <si>
    <t>TOTAL CASH BALANCE BEFORE OUTFLOWS</t>
  </si>
  <si>
    <t>Total Cash Outflow for the week</t>
  </si>
  <si>
    <t>Net Cash Inflow for the Week</t>
  </si>
  <si>
    <t>CASH BALANCE AS AT 20TH FEB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</si>
  <si>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</si>
  <si>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</si>
  <si>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</si>
  <si>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</si>
  <si>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</si>
  <si>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</si>
  <si>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</si>
  <si>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Henrich Gold Global Concept</t>
  </si>
  <si>
    <t>Purchase of toner for the printer in ESUT</t>
  </si>
  <si>
    <t>Johnbosco Obiekwe</t>
  </si>
  <si>
    <t>Staff advance to Johnbosco for ESUT operations</t>
  </si>
  <si>
    <t>Elohimtech Gadgets and ICT Services</t>
  </si>
  <si>
    <t>Replacement of Christian Okoro Laptop battery in Enugu</t>
  </si>
  <si>
    <t>Replacemebt elitebook batthery and purchase of 4 mouse(ESUT)</t>
  </si>
  <si>
    <t>Shuttlers</t>
  </si>
  <si>
    <t>Staff Shuttlers Services for Jan 2026</t>
  </si>
  <si>
    <t>Flyforvalue Aviation Ltd-Collection Account</t>
  </si>
  <si>
    <t>Funding of Valuejet wallet</t>
  </si>
  <si>
    <t>Quickfix Engineering Ltd</t>
  </si>
  <si>
    <t>Replacement of 5kva/48v Hybrid Inverter for the main office</t>
  </si>
  <si>
    <t>Frank Atube</t>
  </si>
  <si>
    <t>Refund for expenses made during Abuja trip (21st - 23rd Jan 2026)</t>
  </si>
  <si>
    <t>Ademola Koledoye</t>
  </si>
  <si>
    <t>Refund for Anthropic subscription and domain registration</t>
  </si>
  <si>
    <t>Foldage Global Resources</t>
  </si>
  <si>
    <t>Replacement of Elite book Keyboard (Retrieved from Chidinma)</t>
  </si>
  <si>
    <t>Fagbamila Dolapo</t>
  </si>
  <si>
    <t>2026 Radio &amp; TV permit'</t>
  </si>
  <si>
    <t>Mankind Global</t>
  </si>
  <si>
    <t>Replacement MacBook Air charger for Miracle</t>
  </si>
  <si>
    <t>Todara Lagos</t>
  </si>
  <si>
    <t>Advance payment for Office renovation project</t>
  </si>
  <si>
    <t>Reliance HMO Ltd</t>
  </si>
  <si>
    <t>Payment to Reliance HMO</t>
  </si>
  <si>
    <t>BREAKDOWN OF SEAMFIX CASH BALANCES AS AT 20TH FEB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</si>
  <si>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</si>
  <si>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</si>
  <si>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</si>
  <si>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</si>
  <si>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</si>
  <si>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</si>
  <si>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</si>
  <si>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</si>
  <si>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</si>
  <si>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</si>
  <si>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</si>
  <si>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</si>
  <si>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</si>
  <si>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</si>
  <si>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</si>
  <si>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</si>
  <si>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</si>
  <si>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</si>
  <si>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</si>
  <si>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FBN Quest &amp; Stanbic Investment</t>
  </si>
  <si>
    <t>This is held in Naira with FBN and Stanbic. Naira equivalent is N103.5m</t>
  </si>
  <si>
    <t>Absa Bank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</si>
  <si>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</si>
  <si>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</si>
  <si>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</si>
  <si>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</si>
  <si>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</si>
  <si>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</si>
  <si>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</si>
  <si>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</si>
  <si>
    <t>MARKET VALUE OF MTN SHARES</t>
  </si>
  <si>
    <t>Investment date</t>
  </si>
  <si>
    <t>Invested Amount</t>
  </si>
  <si>
    <t xml:space="preserve">Market value as at 22nd </t>
  </si>
  <si>
    <t>USAGE OF LAST FOUR CASH WITHDRAWALS FOR SAFE</t>
  </si>
  <si>
    <t>Date</t>
  </si>
  <si>
    <t>Inflow</t>
  </si>
  <si>
    <t>Outflow</t>
  </si>
  <si>
    <t>Balance</t>
  </si>
  <si>
    <t>Balance brought forward from 5th Nov 2025</t>
  </si>
  <si>
    <t>Cash withdrwan from GTBank</t>
  </si>
  <si>
    <t>Oct 2025 Management allowance - Lilian</t>
  </si>
  <si>
    <t>Oct 2025 Management allowance - Tobi</t>
  </si>
  <si>
    <t>Oct 2025 Management allowance - Kolade</t>
  </si>
  <si>
    <t>Oct 2025 Management allowance - Diyan</t>
  </si>
  <si>
    <t>BTA refund from Kolade for Kigali Trip</t>
  </si>
  <si>
    <t>BTA for South African trip - Chimezie</t>
  </si>
  <si>
    <t>BTA for South African trip - Frank</t>
  </si>
  <si>
    <t>Cash deposit into SCB account</t>
  </si>
  <si>
    <t>17/11/2025</t>
  </si>
  <si>
    <t>BTA for Kenyan trip - Kolade</t>
  </si>
  <si>
    <t>BTA for Kenyan trip - Samuel</t>
  </si>
  <si>
    <t>BTA for Kenyan trip - Jessica</t>
  </si>
  <si>
    <t>24/11/2025</t>
  </si>
  <si>
    <t>Nov management Allowance to Kolade</t>
  </si>
  <si>
    <t>BTA refund by Kolade for Kenyan trip</t>
  </si>
  <si>
    <t>30/11/2025</t>
  </si>
  <si>
    <t>BTA refund by Jessica for Kenyan trip</t>
  </si>
  <si>
    <t>Dec Management Allowance - Frank</t>
  </si>
  <si>
    <t>Cash withdrawn from Access</t>
  </si>
  <si>
    <t>16/12/2025</t>
  </si>
  <si>
    <t>Nov Management allowance to Tobi</t>
  </si>
  <si>
    <t>Dec Management allowance to Tobi</t>
  </si>
  <si>
    <t>13th month Management allowance to Tobi</t>
  </si>
  <si>
    <t>Nov Management allowance to Lilian</t>
  </si>
  <si>
    <t>Dec Management allowance to Lilian</t>
  </si>
  <si>
    <t>13th month Management allowance to Lilian</t>
  </si>
  <si>
    <t>Dec Management allowance to Kolade</t>
  </si>
  <si>
    <t>13th month Management allowance to Kolade</t>
  </si>
  <si>
    <t>Cash withdrawn from SCB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</si>
  <si>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</si>
  <si>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</si>
  <si>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</si>
  <si>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</si>
  <si>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</si>
  <si>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</si>
  <si>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</si>
  <si>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</si>
  <si>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</si>
  <si>
    <t>27/01/2026</t>
  </si>
  <si>
    <t>Jan Management allowance - Lilian balance</t>
  </si>
  <si>
    <t>Jan Management allowance - Frank</t>
  </si>
  <si>
    <t>Jan Management allowance  - Kolade</t>
  </si>
  <si>
    <t>Jan Management allowance  - Diyan</t>
  </si>
  <si>
    <t>Jan Management allowance  - Tobi</t>
  </si>
  <si>
    <t>BTA - Frank</t>
  </si>
  <si>
    <t>BTA - George</t>
  </si>
  <si>
    <t>13/02/2026</t>
  </si>
  <si>
    <t>Feb. Management allowance - Frank Atube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</si>
</sst>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&quot;$&quot;#,##0.00"/>
    <numFmt numFmtId="169" formatCode="#,##0_);[Red]\(#,##0\)"/>
    <numFmt numFmtId="170" formatCode="#,##0.00\ [$₦-467];\-#,##0.00\ [$₦-467]"/>
    <numFmt numFmtId="171" formatCode="[$£]#,##0.00"/>
    <numFmt numFmtId="172" formatCode="[$₦-470]#,##0.00"/>
    <numFmt numFmtId="173" formatCode="[$₦]#,##0.00"/>
    <numFmt numFmtId="174" formatCode="d mmm yyyy"/>
    <numFmt numFmtId="175" formatCode="[$₦-466]\ #,##0.00"/>
    <numFmt numFmtId="176" formatCode="_(&quot;$&quot;* #,##0.00_);_(&quot;$&quot;* \(#,##0.00\);_(&quot;$&quot;* &quot;-&quot;??_);_(@_)"/>
    <numFmt numFmtId="177" formatCode="0000000000"/>
    <numFmt numFmtId="178" formatCode="[$₦-46A]#,##0.00"/>
    <numFmt numFmtId="179" formatCode="mmm yyyy"/>
    <numFmt numFmtId="180" formatCode="mm/dd/yyyy"/>
    <numFmt numFmtId="181" formatCode="&quot;$&quot;#,##0"/>
  </numFmts>
  <fonts count="29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color rgb="FF000000"/>
      <name val="Verdana"/>
    </font>
    <font>
      <sz val="11.0"/>
      <color theme="1"/>
      <name val="Calibri"/>
    </font>
    <font>
      <sz val="9.0"/>
      <color theme="1"/>
      <name val="Arial"/>
      <scheme val="minor"/>
    </font>
    <font>
      <b/>
      <sz val="9.0"/>
      <color theme="1"/>
      <name val="Arial"/>
    </font>
    <font>
      <sz val="9.0"/>
      <color rgb="FF000000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  <font>
      <b/>
      <i/>
      <sz val="9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222222"/>
      <name val="Arial"/>
      <scheme val="minor"/>
    </font>
    <font>
      <sz val="10.0"/>
      <color rgb="FF222222"/>
      <name val="Arial"/>
      <scheme val="minor"/>
    </font>
    <font>
      <sz val="9.0"/>
      <color rgb="FF222222"/>
      <name val="Arial"/>
    </font>
    <font>
      <sz val="9.0"/>
      <color rgb="FF1F1F1F"/>
      <name val="Arial"/>
    </font>
    <font>
      <color rgb="FF222222"/>
      <name val="Georgi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</fills>
  <borders count="41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bottom/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4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/>
    </xf>
    <xf borderId="5" fillId="2" fontId="1" numFmtId="0" xfId="0" applyAlignment="1" applyBorder="1" applyFont="1">
      <alignment horizontal="center" readingOrder="0"/>
    </xf>
    <xf borderId="5" fillId="2" fontId="1" numFmtId="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7" fillId="2" fontId="5" numFmtId="0" xfId="0" applyAlignment="1" applyBorder="1" applyFont="1">
      <alignment vertical="center"/>
    </xf>
    <xf borderId="8" fillId="2" fontId="1" numFmtId="164" xfId="0" applyAlignment="1" applyBorder="1" applyFont="1" applyNumberFormat="1">
      <alignment vertical="center"/>
    </xf>
    <xf borderId="9" fillId="2" fontId="5" numFmtId="165" xfId="0" applyAlignment="1" applyBorder="1" applyFont="1" applyNumberFormat="1">
      <alignment vertical="center"/>
    </xf>
    <xf borderId="10" fillId="0" fontId="6" numFmtId="166" xfId="0" applyAlignment="1" applyBorder="1" applyFont="1" applyNumberFormat="1">
      <alignment readingOrder="0"/>
    </xf>
    <xf borderId="10" fillId="0" fontId="7" numFmtId="166" xfId="0" applyAlignment="1" applyBorder="1" applyFont="1" applyNumberFormat="1">
      <alignment readingOrder="0"/>
    </xf>
    <xf borderId="11" fillId="2" fontId="1" numFmtId="4" xfId="0" applyBorder="1" applyFont="1" applyNumberFormat="1"/>
    <xf borderId="0" fillId="2" fontId="1" numFmtId="4" xfId="0" applyAlignment="1" applyFont="1" applyNumberFormat="1">
      <alignment horizontal="right"/>
    </xf>
    <xf borderId="7" fillId="2" fontId="1" numFmtId="0" xfId="0" applyAlignment="1" applyBorder="1" applyFont="1">
      <alignment vertical="center"/>
    </xf>
    <xf borderId="9" fillId="2" fontId="1" numFmtId="165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vertical="center"/>
    </xf>
    <xf borderId="8" fillId="2" fontId="1" numFmtId="167" xfId="0" applyAlignment="1" applyBorder="1" applyFont="1" applyNumberFormat="1">
      <alignment horizontal="right" vertical="center"/>
    </xf>
    <xf borderId="0" fillId="0" fontId="1" numFmtId="4" xfId="0" applyFont="1" applyNumberFormat="1"/>
    <xf borderId="0" fillId="0" fontId="2" numFmtId="4" xfId="0" applyFont="1" applyNumberFormat="1"/>
    <xf borderId="5" fillId="2" fontId="1" numFmtId="4" xfId="0" applyAlignment="1" applyBorder="1" applyFont="1" applyNumberFormat="1">
      <alignment horizontal="left" readingOrder="0"/>
    </xf>
    <xf borderId="0" fillId="0" fontId="2" numFmtId="167" xfId="0" applyFont="1" applyNumberFormat="1"/>
    <xf borderId="5" fillId="2" fontId="1" numFmtId="0" xfId="0" applyAlignment="1" applyBorder="1" applyFont="1">
      <alignment horizontal="left" readingOrder="0"/>
    </xf>
    <xf borderId="0" fillId="0" fontId="8" numFmtId="4" xfId="0" applyFont="1" applyNumberFormat="1"/>
    <xf borderId="12" fillId="2" fontId="5" numFmtId="165" xfId="0" applyAlignment="1" applyBorder="1" applyFont="1" applyNumberFormat="1">
      <alignment vertical="center"/>
    </xf>
    <xf borderId="0" fillId="2" fontId="1" numFmtId="4" xfId="0" applyAlignment="1" applyFont="1" applyNumberFormat="1">
      <alignment horizontal="right" readingOrder="0"/>
    </xf>
    <xf borderId="0" fillId="0" fontId="1" numFmtId="167" xfId="0" applyFont="1" applyNumberFormat="1"/>
    <xf borderId="13" fillId="2" fontId="5" numFmtId="165" xfId="0" applyAlignment="1" applyBorder="1" applyFont="1" applyNumberFormat="1">
      <alignment vertical="center"/>
    </xf>
    <xf borderId="13" fillId="2" fontId="1" numFmtId="165" xfId="0" applyAlignment="1" applyBorder="1" applyFont="1" applyNumberFormat="1">
      <alignment vertical="center"/>
    </xf>
    <xf borderId="0" fillId="0" fontId="1" numFmtId="0" xfId="0" applyFont="1"/>
    <xf borderId="0" fillId="0" fontId="1" numFmtId="164" xfId="0" applyFont="1" applyNumberFormat="1"/>
    <xf borderId="10" fillId="0" fontId="4" numFmtId="166" xfId="0" applyAlignment="1" applyBorder="1" applyFont="1" applyNumberFormat="1">
      <alignment horizontal="right" readingOrder="0" vertical="bottom"/>
    </xf>
    <xf borderId="11" fillId="2" fontId="1" numFmtId="0" xfId="0" applyBorder="1" applyFont="1"/>
    <xf borderId="0" fillId="0" fontId="4" numFmtId="4" xfId="0" applyAlignment="1" applyFont="1" applyNumberFormat="1">
      <alignment horizontal="right" readingOrder="0" vertical="bottom"/>
    </xf>
    <xf borderId="0" fillId="0" fontId="5" numFmtId="4" xfId="0" applyFont="1" applyNumberFormat="1"/>
    <xf borderId="0" fillId="0" fontId="9" numFmtId="4" xfId="0" applyFont="1" applyNumberFormat="1"/>
    <xf borderId="10" fillId="2" fontId="10" numFmtId="166" xfId="0" applyAlignment="1" applyBorder="1" applyFont="1" applyNumberFormat="1">
      <alignment horizontal="right" readingOrder="0" shrinkToFit="0" vertical="bottom" wrapText="0"/>
    </xf>
    <xf borderId="0" fillId="2" fontId="10" numFmtId="4" xfId="0" applyAlignment="1" applyFont="1" applyNumberFormat="1">
      <alignment horizontal="right" readingOrder="0" shrinkToFit="0" vertical="bottom" wrapText="0"/>
    </xf>
    <xf borderId="10" fillId="0" fontId="11" numFmtId="166" xfId="0" applyAlignment="1" applyBorder="1" applyFont="1" applyNumberFormat="1">
      <alignment horizontal="right" readingOrder="0" shrinkToFit="0" vertical="bottom" wrapText="0"/>
    </xf>
    <xf borderId="0" fillId="0" fontId="12" numFmtId="4" xfId="0" applyFont="1" applyNumberFormat="1"/>
    <xf borderId="0" fillId="0" fontId="11" numFmtId="4" xfId="0" applyAlignment="1" applyFont="1" applyNumberFormat="1">
      <alignment horizontal="right" readingOrder="0" shrinkToFit="0" vertical="bottom" wrapText="0"/>
    </xf>
    <xf borderId="0" fillId="0" fontId="9" numFmtId="167" xfId="0" applyFont="1" applyNumberFormat="1"/>
    <xf borderId="8" fillId="2" fontId="5" numFmtId="164" xfId="0" applyAlignment="1" applyBorder="1" applyFont="1" applyNumberFormat="1">
      <alignment vertical="center"/>
    </xf>
    <xf borderId="10" fillId="0" fontId="12" numFmtId="166" xfId="0" applyAlignment="1" applyBorder="1" applyFont="1" applyNumberFormat="1">
      <alignment horizontal="right" readingOrder="0"/>
    </xf>
    <xf borderId="14" fillId="2" fontId="1" numFmtId="165" xfId="0" applyAlignment="1" applyBorder="1" applyFont="1" applyNumberFormat="1">
      <alignment vertical="center"/>
    </xf>
    <xf borderId="8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10" fillId="2" fontId="1" numFmtId="4" xfId="0" applyAlignment="1" applyBorder="1" applyFont="1" applyNumberFormat="1">
      <alignment vertical="center"/>
    </xf>
    <xf borderId="7" fillId="2" fontId="1" numFmtId="166" xfId="0" applyAlignment="1" applyBorder="1" applyFont="1" applyNumberFormat="1">
      <alignment readingOrder="0" vertical="center"/>
    </xf>
    <xf borderId="7" fillId="2" fontId="1" numFmtId="164" xfId="0" applyAlignment="1" applyBorder="1" applyFont="1" applyNumberFormat="1">
      <alignment vertical="center"/>
    </xf>
    <xf borderId="8" fillId="2" fontId="1" numFmtId="4" xfId="0" applyAlignment="1" applyBorder="1" applyFont="1" applyNumberFormat="1">
      <alignment vertical="center"/>
    </xf>
    <xf borderId="15" fillId="2" fontId="2" numFmtId="2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right"/>
    </xf>
    <xf borderId="16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7" fillId="2" fontId="1" numFmtId="165" xfId="0" applyAlignment="1" applyBorder="1" applyFont="1" applyNumberFormat="1">
      <alignment vertical="center"/>
    </xf>
    <xf borderId="1" fillId="2" fontId="1" numFmtId="166" xfId="0" applyBorder="1" applyFont="1" applyNumberFormat="1"/>
    <xf borderId="18" fillId="2" fontId="1" numFmtId="4" xfId="0" applyAlignment="1" applyBorder="1" applyFont="1" applyNumberFormat="1">
      <alignment horizontal="right"/>
    </xf>
    <xf borderId="1" fillId="2" fontId="2" numFmtId="4" xfId="0" applyBorder="1" applyFont="1" applyNumberFormat="1"/>
    <xf borderId="1" fillId="2" fontId="1" numFmtId="0" xfId="0" applyAlignment="1" applyBorder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13" numFmtId="0" xfId="0" applyFont="1"/>
    <xf borderId="0" fillId="0" fontId="3" numFmtId="164" xfId="0" applyFont="1" applyNumberFormat="1"/>
    <xf borderId="13" fillId="0" fontId="13" numFmtId="164" xfId="0" applyBorder="1" applyFont="1" applyNumberFormat="1"/>
    <xf borderId="10" fillId="0" fontId="3" numFmtId="166" xfId="0" applyAlignment="1" applyBorder="1" applyFont="1" applyNumberFormat="1">
      <alignment horizontal="right"/>
    </xf>
    <xf borderId="10" fillId="0" fontId="6" numFmtId="166" xfId="0" applyBorder="1" applyFont="1" applyNumberFormat="1"/>
    <xf borderId="13" fillId="0" fontId="3" numFmtId="164" xfId="0" applyBorder="1" applyFont="1" applyNumberFormat="1"/>
    <xf borderId="0" fillId="0" fontId="2" numFmtId="4" xfId="0" applyFont="1" applyNumberFormat="1"/>
    <xf borderId="0" fillId="0" fontId="5" numFmtId="0" xfId="0" applyFont="1"/>
    <xf borderId="0" fillId="0" fontId="5" numFmtId="4" xfId="0" applyFont="1" applyNumberFormat="1"/>
    <xf borderId="0" fillId="0" fontId="1" numFmtId="0" xfId="0" applyFont="1"/>
    <xf borderId="0" fillId="0" fontId="2" numFmtId="164" xfId="0" applyFont="1" applyNumberFormat="1"/>
    <xf borderId="0" fillId="0" fontId="9" numFmtId="164" xfId="0" applyFont="1" applyNumberFormat="1"/>
    <xf borderId="0" fillId="0" fontId="6" numFmtId="4" xfId="0" applyFont="1" applyNumberFormat="1"/>
    <xf borderId="0" fillId="0" fontId="13" numFmtId="164" xfId="0" applyAlignment="1" applyFont="1" applyNumberFormat="1">
      <alignment horizontal="right"/>
    </xf>
    <xf borderId="0" fillId="0" fontId="4" numFmtId="166" xfId="0" applyAlignment="1" applyFont="1" applyNumberFormat="1">
      <alignment horizontal="right" readingOrder="0" vertical="bottom"/>
    </xf>
    <xf borderId="0" fillId="0" fontId="11" numFmtId="166" xfId="0" applyAlignment="1" applyFont="1" applyNumberFormat="1">
      <alignment horizontal="right" readingOrder="0" shrinkToFit="0" vertical="bottom" wrapText="0"/>
    </xf>
    <xf borderId="0" fillId="0" fontId="13" numFmtId="4" xfId="0" applyFont="1" applyNumberFormat="1"/>
    <xf borderId="10" fillId="0" fontId="3" numFmtId="166" xfId="0" applyAlignment="1" applyBorder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9" numFmtId="4" xfId="0" applyFont="1" applyNumberFormat="1"/>
    <xf borderId="19" fillId="0" fontId="3" numFmtId="164" xfId="0" applyBorder="1" applyFont="1" applyNumberFormat="1"/>
    <xf borderId="0" fillId="0" fontId="11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center"/>
    </xf>
    <xf borderId="10" fillId="0" fontId="3" numFmtId="164" xfId="0" applyBorder="1" applyFont="1" applyNumberFormat="1"/>
    <xf borderId="10" fillId="0" fontId="13" numFmtId="4" xfId="0" applyAlignment="1" applyBorder="1" applyFont="1" applyNumberFormat="1">
      <alignment horizontal="right"/>
    </xf>
    <xf borderId="0" fillId="0" fontId="13" numFmtId="4" xfId="0" applyAlignment="1" applyFont="1" applyNumberFormat="1">
      <alignment horizontal="right"/>
    </xf>
    <xf borderId="0" fillId="0" fontId="12" numFmtId="0" xfId="0" applyFont="1"/>
    <xf borderId="0" fillId="3" fontId="14" numFmtId="168" xfId="0" applyAlignment="1" applyFill="1" applyFont="1" applyNumberFormat="1">
      <alignment horizontal="right" readingOrder="0"/>
    </xf>
    <xf borderId="0" fillId="0" fontId="12" numFmtId="4" xfId="0" applyAlignment="1" applyFont="1" applyNumberFormat="1">
      <alignment horizontal="right" readingOrder="0" shrinkToFit="0" vertical="bottom" wrapText="0"/>
    </xf>
    <xf borderId="1" fillId="2" fontId="14" numFmtId="166" xfId="0" applyAlignment="1" applyBorder="1" applyFont="1" applyNumberFormat="1">
      <alignment horizontal="right" readingOrder="0"/>
    </xf>
    <xf borderId="20" fillId="2" fontId="14" numFmtId="166" xfId="0" applyAlignment="1" applyBorder="1" applyFont="1" applyNumberFormat="1">
      <alignment horizontal="right"/>
    </xf>
    <xf borderId="0" fillId="0" fontId="12" numFmtId="4" xfId="0" applyAlignment="1" applyFont="1" applyNumberFormat="1">
      <alignment horizontal="right"/>
    </xf>
    <xf borderId="1" fillId="2" fontId="14" numFmtId="164" xfId="0" applyBorder="1" applyFont="1" applyNumberFormat="1"/>
    <xf borderId="13" fillId="0" fontId="15" numFmtId="169" xfId="0" applyAlignment="1" applyBorder="1" applyFont="1" applyNumberFormat="1">
      <alignment horizontal="center" shrinkToFit="0" wrapText="1"/>
    </xf>
    <xf borderId="21" fillId="0" fontId="16" numFmtId="0" xfId="0" applyBorder="1" applyFont="1"/>
    <xf borderId="22" fillId="0" fontId="16" numFmtId="0" xfId="0" applyBorder="1" applyFont="1"/>
    <xf borderId="13" fillId="0" fontId="15" numFmtId="169" xfId="0" applyAlignment="1" applyBorder="1" applyFont="1" applyNumberFormat="1">
      <alignment horizontal="center" readingOrder="0" shrinkToFit="0" wrapText="1"/>
    </xf>
    <xf borderId="10" fillId="4" fontId="15" numFmtId="169" xfId="0" applyAlignment="1" applyBorder="1" applyFill="1" applyFont="1" applyNumberFormat="1">
      <alignment horizontal="center" shrinkToFit="0" wrapText="1"/>
    </xf>
    <xf borderId="10" fillId="4" fontId="15" numFmtId="170" xfId="0" applyAlignment="1" applyBorder="1" applyFont="1" applyNumberFormat="1">
      <alignment horizontal="center" shrinkToFit="0" wrapText="1"/>
    </xf>
    <xf borderId="10" fillId="4" fontId="15" numFmtId="0" xfId="0" applyAlignment="1" applyBorder="1" applyFont="1">
      <alignment horizontal="center" shrinkToFit="0" wrapText="1"/>
    </xf>
    <xf borderId="10" fillId="0" fontId="14" numFmtId="169" xfId="0" applyAlignment="1" applyBorder="1" applyFont="1" applyNumberFormat="1">
      <alignment horizontal="center"/>
    </xf>
    <xf borderId="10" fillId="0" fontId="17" numFmtId="164" xfId="0" applyBorder="1" applyFont="1" applyNumberFormat="1"/>
    <xf borderId="10" fillId="0" fontId="14" numFmtId="166" xfId="0" applyBorder="1" applyFont="1" applyNumberFormat="1"/>
    <xf borderId="10" fillId="0" fontId="14" numFmtId="164" xfId="0" applyAlignment="1" applyBorder="1" applyFont="1" applyNumberFormat="1">
      <alignment horizontal="center"/>
    </xf>
    <xf borderId="10" fillId="0" fontId="12" numFmtId="166" xfId="0" applyAlignment="1" applyBorder="1" applyFont="1" applyNumberFormat="1">
      <alignment horizontal="right"/>
    </xf>
    <xf borderId="10" fillId="0" fontId="14" numFmtId="164" xfId="0" applyBorder="1" applyFont="1" applyNumberFormat="1"/>
    <xf borderId="10" fillId="0" fontId="12" numFmtId="0" xfId="0" applyAlignment="1" applyBorder="1" applyFont="1">
      <alignment shrinkToFit="0" wrapText="1"/>
    </xf>
    <xf borderId="0" fillId="0" fontId="12" numFmtId="170" xfId="0" applyFont="1" applyNumberFormat="1"/>
    <xf borderId="10" fillId="2" fontId="17" numFmtId="164" xfId="0" applyBorder="1" applyFont="1" applyNumberFormat="1"/>
    <xf borderId="10" fillId="0" fontId="12" numFmtId="0" xfId="0" applyAlignment="1" applyBorder="1" applyFont="1">
      <alignment readingOrder="0" shrinkToFit="0" wrapText="1"/>
    </xf>
    <xf borderId="10" fillId="0" fontId="17" numFmtId="166" xfId="0" applyBorder="1" applyFont="1" applyNumberFormat="1"/>
    <xf borderId="13" fillId="2" fontId="12" numFmtId="166" xfId="0" applyBorder="1" applyFont="1" applyNumberFormat="1"/>
    <xf borderId="13" fillId="2" fontId="15" numFmtId="166" xfId="0" applyBorder="1" applyFont="1" applyNumberFormat="1"/>
    <xf borderId="10" fillId="0" fontId="14" numFmtId="166" xfId="0" applyAlignment="1" applyBorder="1" applyFont="1" applyNumberFormat="1">
      <alignment horizontal="right" readingOrder="0" vertical="bottom"/>
    </xf>
    <xf borderId="10" fillId="2" fontId="14" numFmtId="166" xfId="0" applyAlignment="1" applyBorder="1" applyFont="1" applyNumberFormat="1">
      <alignment horizontal="right" readingOrder="0" shrinkToFit="0" vertical="bottom" wrapText="0"/>
    </xf>
    <xf borderId="10" fillId="0" fontId="12" numFmtId="0" xfId="0" applyAlignment="1" applyBorder="1" applyFont="1">
      <alignment horizontal="left" readingOrder="0" shrinkToFit="0" wrapText="1"/>
    </xf>
    <xf borderId="10" fillId="0" fontId="12" numFmtId="166" xfId="0" applyAlignment="1" applyBorder="1" applyFont="1" applyNumberFormat="1">
      <alignment horizontal="right" readingOrder="0" shrinkToFit="0" vertical="bottom" wrapText="0"/>
    </xf>
    <xf borderId="0" fillId="0" fontId="15" numFmtId="166" xfId="0" applyAlignment="1" applyFont="1" applyNumberFormat="1">
      <alignment horizontal="right" shrinkToFit="0" vertical="bottom" wrapText="0"/>
    </xf>
    <xf borderId="11" fillId="2" fontId="12" numFmtId="166" xfId="0" applyAlignment="1" applyBorder="1" applyFont="1" applyNumberFormat="1">
      <alignment horizontal="right"/>
    </xf>
    <xf borderId="22" fillId="0" fontId="17" numFmtId="164" xfId="0" applyBorder="1" applyFont="1" applyNumberFormat="1"/>
    <xf borderId="10" fillId="0" fontId="14" numFmtId="0" xfId="0" applyBorder="1" applyFont="1"/>
    <xf borderId="23" fillId="0" fontId="17" numFmtId="169" xfId="0" applyAlignment="1" applyBorder="1" applyFont="1" applyNumberFormat="1">
      <alignment horizontal="center" shrinkToFit="0" wrapText="1"/>
    </xf>
    <xf borderId="10" fillId="0" fontId="15" numFmtId="166" xfId="0" applyBorder="1" applyFont="1" applyNumberFormat="1"/>
    <xf borderId="10" fillId="0" fontId="12" numFmtId="0" xfId="0" applyBorder="1" applyFont="1"/>
    <xf borderId="10" fillId="0" fontId="17" numFmtId="164" xfId="0" applyAlignment="1" applyBorder="1" applyFont="1" applyNumberFormat="1">
      <alignment horizontal="right" shrinkToFit="0" wrapText="1"/>
    </xf>
    <xf borderId="24" fillId="0" fontId="14" numFmtId="169" xfId="0" applyAlignment="1" applyBorder="1" applyFont="1" applyNumberFormat="1">
      <alignment horizontal="center"/>
    </xf>
    <xf borderId="21" fillId="0" fontId="14" numFmtId="164" xfId="0" applyBorder="1" applyFont="1" applyNumberFormat="1"/>
    <xf borderId="25" fillId="0" fontId="14" numFmtId="0" xfId="0" applyAlignment="1" applyBorder="1" applyFont="1">
      <alignment horizontal="right"/>
    </xf>
    <xf borderId="10" fillId="0" fontId="12" numFmtId="170" xfId="0" applyBorder="1" applyFont="1" applyNumberFormat="1"/>
    <xf borderId="10" fillId="0" fontId="14" numFmtId="164" xfId="0" applyAlignment="1" applyBorder="1" applyFont="1" applyNumberFormat="1">
      <alignment horizontal="right"/>
    </xf>
    <xf borderId="10" fillId="0" fontId="14" numFmtId="166" xfId="0" applyAlignment="1" applyBorder="1" applyFont="1" applyNumberFormat="1">
      <alignment horizontal="right"/>
    </xf>
    <xf borderId="0" fillId="0" fontId="14" numFmtId="166" xfId="0" applyFont="1" applyNumberFormat="1"/>
    <xf borderId="26" fillId="0" fontId="15" numFmtId="171" xfId="0" applyAlignment="1" applyBorder="1" applyFont="1" applyNumberFormat="1">
      <alignment horizontal="right" shrinkToFit="0" wrapText="1"/>
    </xf>
    <xf borderId="10" fillId="0" fontId="14" numFmtId="164" xfId="0" applyAlignment="1" applyBorder="1" applyFont="1" applyNumberFormat="1">
      <alignment horizontal="center" readingOrder="0"/>
    </xf>
    <xf borderId="27" fillId="2" fontId="17" numFmtId="164" xfId="0" applyBorder="1" applyFont="1" applyNumberFormat="1"/>
    <xf borderId="10" fillId="2" fontId="14" numFmtId="4" xfId="0" applyAlignment="1" applyBorder="1" applyFont="1" applyNumberFormat="1">
      <alignment horizontal="right"/>
    </xf>
    <xf borderId="13" fillId="0" fontId="17" numFmtId="164" xfId="0" applyBorder="1" applyFont="1" applyNumberFormat="1"/>
    <xf borderId="10" fillId="0" fontId="17" numFmtId="4" xfId="0" applyAlignment="1" applyBorder="1" applyFont="1" applyNumberFormat="1">
      <alignment horizontal="right"/>
    </xf>
    <xf borderId="28" fillId="0" fontId="14" numFmtId="4" xfId="0" applyAlignment="1" applyBorder="1" applyFont="1" applyNumberFormat="1">
      <alignment horizontal="right"/>
    </xf>
    <xf borderId="10" fillId="0" fontId="15" numFmtId="4" xfId="0" applyBorder="1" applyFont="1" applyNumberFormat="1"/>
    <xf borderId="29" fillId="0" fontId="17" numFmtId="164" xfId="0" applyBorder="1" applyFont="1" applyNumberFormat="1"/>
    <xf borderId="13" fillId="0" fontId="15" numFmtId="0" xfId="0" applyAlignment="1" applyBorder="1" applyFont="1">
      <alignment horizontal="center"/>
    </xf>
    <xf borderId="10" fillId="0" fontId="12" numFmtId="4" xfId="0" applyBorder="1" applyFont="1" applyNumberFormat="1"/>
    <xf borderId="10" fillId="0" fontId="18" numFmtId="164" xfId="0" applyAlignment="1" applyBorder="1" applyFont="1" applyNumberFormat="1">
      <alignment horizontal="right" shrinkToFit="0" wrapText="1"/>
    </xf>
    <xf borderId="10" fillId="0" fontId="17" numFmtId="172" xfId="0" applyAlignment="1" applyBorder="1" applyFont="1" applyNumberFormat="1">
      <alignment horizontal="right" shrinkToFit="0" wrapText="1"/>
    </xf>
    <xf borderId="10" fillId="0" fontId="15" numFmtId="170" xfId="0" applyBorder="1" applyFont="1" applyNumberFormat="1"/>
    <xf borderId="0" fillId="0" fontId="14" numFmtId="0" xfId="0" applyFont="1"/>
    <xf borderId="0" fillId="0" fontId="14" numFmtId="170" xfId="0" applyFont="1" applyNumberFormat="1"/>
    <xf borderId="0" fillId="0" fontId="14" numFmtId="4" xfId="0" applyFont="1" applyNumberFormat="1"/>
    <xf borderId="0" fillId="0" fontId="15" numFmtId="0" xfId="0" applyFont="1"/>
    <xf borderId="0" fillId="0" fontId="12" numFmtId="171" xfId="0" applyAlignment="1" applyFont="1" applyNumberFormat="1">
      <alignment horizontal="right" shrinkToFit="0" wrapText="1"/>
    </xf>
    <xf borderId="1" fillId="2" fontId="14" numFmtId="4" xfId="0" applyBorder="1" applyFont="1" applyNumberFormat="1"/>
    <xf borderId="13" fillId="0" fontId="17" numFmtId="169" xfId="0" applyAlignment="1" applyBorder="1" applyFont="1" applyNumberFormat="1">
      <alignment horizontal="center" shrinkToFit="0" wrapText="1"/>
    </xf>
    <xf borderId="10" fillId="0" fontId="15" numFmtId="0" xfId="0" applyAlignment="1" applyBorder="1" applyFont="1">
      <alignment horizontal="center"/>
    </xf>
    <xf borderId="30" fillId="4" fontId="14" numFmtId="169" xfId="0" applyAlignment="1" applyBorder="1" applyFont="1" applyNumberFormat="1">
      <alignment horizontal="center" shrinkToFit="0" wrapText="1"/>
    </xf>
    <xf borderId="31" fillId="4" fontId="17" numFmtId="164" xfId="0" applyAlignment="1" applyBorder="1" applyFont="1" applyNumberFormat="1">
      <alignment shrinkToFit="0" wrapText="1"/>
    </xf>
    <xf borderId="10" fillId="4" fontId="17" numFmtId="0" xfId="0" applyAlignment="1" applyBorder="1" applyFont="1">
      <alignment horizontal="center" shrinkToFit="0" wrapText="1"/>
    </xf>
    <xf borderId="10" fillId="4" fontId="15" numFmtId="0" xfId="0" applyAlignment="1" applyBorder="1" applyFont="1">
      <alignment horizontal="center"/>
    </xf>
    <xf borderId="28" fillId="0" fontId="12" numFmtId="169" xfId="0" applyAlignment="1" applyBorder="1" applyFont="1" applyNumberFormat="1">
      <alignment horizontal="center" shrinkToFit="0" wrapText="1"/>
    </xf>
    <xf borderId="26" fillId="0" fontId="12" numFmtId="164" xfId="0" applyAlignment="1" applyBorder="1" applyFont="1" applyNumberFormat="1">
      <alignment shrinkToFit="0" wrapText="1"/>
    </xf>
    <xf borderId="26" fillId="0" fontId="14" numFmtId="173" xfId="0" applyAlignment="1" applyBorder="1" applyFont="1" applyNumberFormat="1">
      <alignment horizontal="right"/>
    </xf>
    <xf borderId="26" fillId="0" fontId="12" numFmtId="164" xfId="0" applyAlignment="1" applyBorder="1" applyFont="1" applyNumberFormat="1">
      <alignment horizontal="center" shrinkToFit="0" wrapText="1"/>
    </xf>
    <xf borderId="26" fillId="0" fontId="12" numFmtId="173" xfId="0" applyAlignment="1" applyBorder="1" applyFont="1" applyNumberFormat="1">
      <alignment horizontal="right" shrinkToFit="0" wrapText="1"/>
    </xf>
    <xf borderId="26" fillId="0" fontId="12" numFmtId="164" xfId="0" applyAlignment="1" applyBorder="1" applyFont="1" applyNumberFormat="1">
      <alignment horizontal="right" shrinkToFit="0" wrapText="1"/>
    </xf>
    <xf borderId="10" fillId="0" fontId="15" numFmtId="0" xfId="0" applyBorder="1" applyFont="1"/>
    <xf borderId="0" fillId="0" fontId="11" numFmtId="168" xfId="0" applyAlignment="1" applyFont="1" applyNumberFormat="1">
      <alignment horizontal="right" readingOrder="0" shrinkToFit="0" vertical="bottom" wrapText="0"/>
    </xf>
    <xf borderId="28" fillId="0" fontId="14" numFmtId="173" xfId="0" applyAlignment="1" applyBorder="1" applyFont="1" applyNumberFormat="1">
      <alignment horizontal="right"/>
    </xf>
    <xf borderId="10" fillId="0" fontId="15" numFmtId="0" xfId="0" applyAlignment="1" applyBorder="1" applyFont="1">
      <alignment horizontal="left"/>
    </xf>
    <xf borderId="24" fillId="0" fontId="15" numFmtId="169" xfId="0" applyAlignment="1" applyBorder="1" applyFont="1" applyNumberFormat="1">
      <alignment horizontal="center" shrinkToFit="0" wrapText="1"/>
    </xf>
    <xf borderId="25" fillId="0" fontId="16" numFmtId="0" xfId="0" applyBorder="1" applyFont="1"/>
    <xf borderId="26" fillId="0" fontId="16" numFmtId="0" xfId="0" applyBorder="1" applyFont="1"/>
    <xf borderId="26" fillId="0" fontId="15" numFmtId="173" xfId="0" applyAlignment="1" applyBorder="1" applyFont="1" applyNumberFormat="1">
      <alignment horizontal="right" shrinkToFit="0" wrapText="1"/>
    </xf>
    <xf borderId="0" fillId="0" fontId="12" numFmtId="168" xfId="0" applyFont="1" applyNumberFormat="1"/>
    <xf borderId="30" fillId="4" fontId="12" numFmtId="169" xfId="0" applyAlignment="1" applyBorder="1" applyFont="1" applyNumberFormat="1">
      <alignment horizontal="center" shrinkToFit="0" wrapText="1"/>
    </xf>
    <xf borderId="31" fillId="4" fontId="15" numFmtId="164" xfId="0" applyAlignment="1" applyBorder="1" applyFont="1" applyNumberFormat="1">
      <alignment shrinkToFit="0" wrapText="1"/>
    </xf>
    <xf borderId="10" fillId="4" fontId="17" numFmtId="0" xfId="0" applyAlignment="1" applyBorder="1" applyFont="1">
      <alignment horizontal="center"/>
    </xf>
    <xf borderId="32" fillId="4" fontId="17" numFmtId="0" xfId="0" applyAlignment="1" applyBorder="1" applyFont="1">
      <alignment horizontal="center"/>
    </xf>
    <xf borderId="33" fillId="2" fontId="12" numFmtId="168" xfId="0" applyAlignment="1" applyBorder="1" applyFont="1" applyNumberFormat="1">
      <alignment horizontal="right" readingOrder="0"/>
    </xf>
    <xf borderId="10" fillId="0" fontId="14" numFmtId="168" xfId="0" applyAlignment="1" applyBorder="1" applyFont="1" applyNumberFormat="1">
      <alignment horizontal="right"/>
    </xf>
    <xf borderId="25" fillId="0" fontId="14" numFmtId="164" xfId="0" applyAlignment="1" applyBorder="1" applyFont="1" applyNumberFormat="1">
      <alignment horizontal="right" shrinkToFit="0" wrapText="1"/>
    </xf>
    <xf borderId="10" fillId="0" fontId="12" numFmtId="164" xfId="0" applyAlignment="1" applyBorder="1" applyFont="1" applyNumberFormat="1">
      <alignment horizontal="center" shrinkToFit="0" wrapText="1"/>
    </xf>
    <xf borderId="10" fillId="0" fontId="12" numFmtId="173" xfId="0" applyAlignment="1" applyBorder="1" applyFont="1" applyNumberFormat="1">
      <alignment horizontal="center"/>
    </xf>
    <xf borderId="10" fillId="0" fontId="12" numFmtId="0" xfId="0" applyAlignment="1" applyBorder="1" applyFont="1">
      <alignment horizontal="center"/>
    </xf>
    <xf borderId="10" fillId="0" fontId="12" numFmtId="164" xfId="0" applyAlignment="1" applyBorder="1" applyFont="1" applyNumberFormat="1">
      <alignment shrinkToFit="0" wrapText="1"/>
    </xf>
    <xf borderId="24" fillId="0" fontId="12" numFmtId="169" xfId="0" applyAlignment="1" applyBorder="1" applyFont="1" applyNumberFormat="1">
      <alignment horizontal="left" shrinkToFit="0" wrapText="1"/>
    </xf>
    <xf borderId="10" fillId="0" fontId="12" numFmtId="168" xfId="0" applyAlignment="1" applyBorder="1" applyFont="1" applyNumberFormat="1">
      <alignment horizontal="center" shrinkToFit="0" wrapText="1"/>
    </xf>
    <xf borderId="10" fillId="0" fontId="12" numFmtId="174" xfId="0" applyAlignment="1" applyBorder="1" applyFont="1" applyNumberFormat="1">
      <alignment horizontal="center" readingOrder="0"/>
    </xf>
    <xf borderId="10" fillId="0" fontId="15" numFmtId="168" xfId="0" applyAlignment="1" applyBorder="1" applyFont="1" applyNumberFormat="1">
      <alignment horizontal="right" shrinkToFit="0" wrapText="1"/>
    </xf>
    <xf borderId="13" fillId="0" fontId="14" numFmtId="164" xfId="0" applyAlignment="1" applyBorder="1" applyFont="1" applyNumberFormat="1">
      <alignment horizontal="right" shrinkToFit="0" wrapText="1"/>
    </xf>
    <xf borderId="10" fillId="0" fontId="15" numFmtId="168" xfId="0" applyAlignment="1" applyBorder="1" applyFont="1" applyNumberFormat="1">
      <alignment horizontal="center" shrinkToFit="0" wrapText="1"/>
    </xf>
    <xf borderId="0" fillId="0" fontId="12" numFmtId="168" xfId="0" applyFont="1" applyNumberFormat="1"/>
    <xf borderId="0" fillId="0" fontId="15" numFmtId="0" xfId="0" applyAlignment="1" applyFont="1">
      <alignment horizontal="center" shrinkToFit="0" wrapText="1"/>
    </xf>
    <xf borderId="34" fillId="4" fontId="15" numFmtId="0" xfId="0" applyAlignment="1" applyBorder="1" applyFont="1">
      <alignment horizontal="center" shrinkToFit="0" wrapText="1"/>
    </xf>
    <xf borderId="32" fillId="4" fontId="15" numFmtId="0" xfId="0" applyAlignment="1" applyBorder="1" applyFont="1">
      <alignment horizontal="center" shrinkToFit="0" wrapText="1"/>
    </xf>
    <xf borderId="0" fillId="0" fontId="11" numFmtId="168" xfId="0" applyAlignment="1" applyFont="1" applyNumberFormat="1">
      <alignment horizontal="right" readingOrder="0" shrinkToFit="0" vertical="bottom" wrapText="0"/>
    </xf>
    <xf borderId="0" fillId="0" fontId="12" numFmtId="0" xfId="0" applyFont="1"/>
    <xf borderId="28" fillId="0" fontId="12" numFmtId="0" xfId="0" applyAlignment="1" applyBorder="1" applyFont="1">
      <alignment shrinkToFit="0" wrapText="1"/>
    </xf>
    <xf borderId="26" fillId="0" fontId="12" numFmtId="175" xfId="0" applyAlignment="1" applyBorder="1" applyFont="1" applyNumberFormat="1">
      <alignment horizontal="right" shrinkToFit="0" wrapText="1"/>
    </xf>
    <xf borderId="26" fillId="0" fontId="12" numFmtId="4" xfId="0" applyAlignment="1" applyBorder="1" applyFont="1" applyNumberFormat="1">
      <alignment horizontal="center" shrinkToFit="0" wrapText="1"/>
    </xf>
    <xf borderId="0" fillId="0" fontId="12" numFmtId="4" xfId="0" applyAlignment="1" applyFont="1" applyNumberFormat="1">
      <alignment horizontal="right" shrinkToFit="0" wrapText="1"/>
    </xf>
    <xf borderId="26" fillId="0" fontId="12" numFmtId="176" xfId="0" applyAlignment="1" applyBorder="1" applyFont="1" applyNumberFormat="1">
      <alignment horizontal="right" shrinkToFit="0" wrapText="1"/>
    </xf>
    <xf borderId="13" fillId="0" fontId="12" numFmtId="164" xfId="0" applyAlignment="1" applyBorder="1" applyFont="1" applyNumberFormat="1">
      <alignment horizontal="center"/>
    </xf>
    <xf borderId="19" fillId="0" fontId="12" numFmtId="4" xfId="0" applyAlignment="1" applyBorder="1" applyFont="1" applyNumberFormat="1">
      <alignment horizontal="right" shrinkToFit="0" wrapText="1"/>
    </xf>
    <xf borderId="26" fillId="0" fontId="12" numFmtId="171" xfId="0" applyAlignment="1" applyBorder="1" applyFont="1" applyNumberFormat="1">
      <alignment horizontal="right" shrinkToFit="0" wrapText="1"/>
    </xf>
    <xf borderId="24" fillId="0" fontId="12" numFmtId="4" xfId="0" applyAlignment="1" applyBorder="1" applyFont="1" applyNumberFormat="1">
      <alignment horizontal="center" shrinkToFit="0" wrapText="1"/>
    </xf>
    <xf borderId="24" fillId="0" fontId="15" numFmtId="0" xfId="0" applyAlignment="1" applyBorder="1" applyFont="1">
      <alignment horizontal="center" shrinkToFit="0" wrapText="1"/>
    </xf>
    <xf borderId="13" fillId="0" fontId="15" numFmtId="4" xfId="0" applyAlignment="1" applyBorder="1" applyFont="1" applyNumberFormat="1">
      <alignment horizontal="right" shrinkToFit="0" wrapText="1"/>
    </xf>
    <xf borderId="1" fillId="2" fontId="19" numFmtId="0" xfId="0" applyBorder="1" applyFont="1"/>
    <xf borderId="0" fillId="0" fontId="19" numFmtId="0" xfId="0" applyFont="1"/>
    <xf borderId="10" fillId="2" fontId="19" numFmtId="0" xfId="0" applyBorder="1" applyFont="1"/>
    <xf borderId="0" fillId="0" fontId="19" numFmtId="0" xfId="0" applyFont="1"/>
    <xf borderId="13" fillId="2" fontId="20" numFmtId="0" xfId="0" applyAlignment="1" applyBorder="1" applyFont="1">
      <alignment horizontal="center" readingOrder="0"/>
    </xf>
    <xf borderId="29" fillId="2" fontId="20" numFmtId="0" xfId="0" applyAlignment="1" applyBorder="1" applyFont="1">
      <alignment shrinkToFit="0" wrapText="1"/>
    </xf>
    <xf borderId="35" fillId="2" fontId="20" numFmtId="0" xfId="0" applyAlignment="1" applyBorder="1" applyFont="1">
      <alignment horizontal="center"/>
    </xf>
    <xf borderId="10" fillId="2" fontId="20" numFmtId="0" xfId="0" applyAlignment="1" applyBorder="1" applyFont="1">
      <alignment horizontal="right"/>
    </xf>
    <xf borderId="10" fillId="2" fontId="20" numFmtId="0" xfId="0" applyAlignment="1" applyBorder="1" applyFont="1">
      <alignment horizontal="center"/>
    </xf>
    <xf borderId="11" fillId="2" fontId="19" numFmtId="0" xfId="0" applyBorder="1" applyFont="1"/>
    <xf borderId="10" fillId="2" fontId="19" numFmtId="0" xfId="0" applyAlignment="1" applyBorder="1" applyFont="1">
      <alignment shrinkToFit="0" wrapText="1"/>
    </xf>
    <xf borderId="10" fillId="0" fontId="11" numFmtId="4" xfId="0" applyAlignment="1" applyBorder="1" applyFont="1" applyNumberFormat="1">
      <alignment horizontal="right" readingOrder="0" shrinkToFit="0" vertical="bottom" wrapText="0"/>
    </xf>
    <xf borderId="10" fillId="2" fontId="19" numFmtId="4" xfId="0" applyAlignment="1" applyBorder="1" applyFont="1" applyNumberFormat="1">
      <alignment horizontal="right"/>
    </xf>
    <xf borderId="36" fillId="2" fontId="19" numFmtId="0" xfId="0" applyBorder="1" applyFont="1"/>
    <xf borderId="10" fillId="2" fontId="19" numFmtId="0" xfId="0" applyAlignment="1" applyBorder="1" applyFont="1">
      <alignment readingOrder="0"/>
    </xf>
    <xf borderId="10" fillId="2" fontId="0" numFmtId="173" xfId="0" applyAlignment="1" applyBorder="1" applyFont="1" applyNumberFormat="1">
      <alignment horizontal="right"/>
    </xf>
    <xf borderId="10" fillId="2" fontId="19" numFmtId="4" xfId="0" applyAlignment="1" applyBorder="1" applyFont="1" applyNumberFormat="1">
      <alignment horizontal="center"/>
    </xf>
    <xf borderId="10" fillId="2" fontId="19" numFmtId="0" xfId="0" applyAlignment="1" applyBorder="1" applyFont="1">
      <alignment readingOrder="0" shrinkToFit="0" wrapText="1"/>
    </xf>
    <xf borderId="10" fillId="2" fontId="0" numFmtId="168" xfId="0" applyAlignment="1" applyBorder="1" applyFont="1" applyNumberFormat="1">
      <alignment horizontal="right"/>
    </xf>
    <xf borderId="10" fillId="2" fontId="19" numFmtId="164" xfId="0" applyAlignment="1" applyBorder="1" applyFont="1" applyNumberFormat="1">
      <alignment horizontal="center"/>
    </xf>
    <xf borderId="10" fillId="2" fontId="20" numFmtId="0" xfId="0" applyAlignment="1" applyBorder="1" applyFont="1">
      <alignment shrinkToFit="0" wrapText="1"/>
    </xf>
    <xf borderId="10" fillId="2" fontId="20" numFmtId="4" xfId="0" applyAlignment="1" applyBorder="1" applyFont="1" applyNumberFormat="1">
      <alignment horizontal="right"/>
    </xf>
    <xf borderId="37" fillId="0" fontId="19" numFmtId="171" xfId="0" applyAlignment="1" applyBorder="1" applyFont="1" applyNumberFormat="1">
      <alignment horizontal="right" shrinkToFit="0" wrapText="1"/>
    </xf>
    <xf borderId="10" fillId="0" fontId="19" numFmtId="164" xfId="0" applyAlignment="1" applyBorder="1" applyFont="1" applyNumberFormat="1">
      <alignment horizontal="center"/>
    </xf>
    <xf borderId="10" fillId="0" fontId="19" numFmtId="0" xfId="0" applyBorder="1" applyFont="1"/>
    <xf borderId="10" fillId="0" fontId="19" numFmtId="4" xfId="0" applyAlignment="1" applyBorder="1" applyFont="1" applyNumberFormat="1">
      <alignment horizontal="right"/>
    </xf>
    <xf borderId="10" fillId="2" fontId="20" numFmtId="0" xfId="0" applyBorder="1" applyFont="1"/>
    <xf borderId="10" fillId="0" fontId="11" numFmtId="4" xfId="0" applyAlignment="1" applyBorder="1" applyFont="1" applyNumberFormat="1">
      <alignment readingOrder="0" shrinkToFit="0" vertical="bottom" wrapText="0"/>
    </xf>
    <xf borderId="10" fillId="0" fontId="11" numFmtId="167" xfId="0" applyAlignment="1" applyBorder="1" applyFont="1" applyNumberFormat="1">
      <alignment horizontal="right" readingOrder="0" shrinkToFit="0" vertical="bottom" wrapText="0"/>
    </xf>
    <xf borderId="10" fillId="0" fontId="19" numFmtId="0" xfId="0" applyAlignment="1" applyBorder="1" applyFont="1">
      <alignment horizontal="right"/>
    </xf>
    <xf borderId="29" fillId="2" fontId="20" numFmtId="0" xfId="0" applyBorder="1" applyFont="1"/>
    <xf borderId="10" fillId="0" fontId="11" numFmtId="0" xfId="0" applyAlignment="1" applyBorder="1" applyFont="1">
      <alignment readingOrder="0" shrinkToFit="0" vertical="bottom" wrapText="0"/>
    </xf>
    <xf borderId="10" fillId="2" fontId="0" numFmtId="0" xfId="0" applyBorder="1" applyFont="1"/>
    <xf borderId="34" fillId="2" fontId="20" numFmtId="164" xfId="0" applyAlignment="1" applyBorder="1" applyFont="1" applyNumberFormat="1">
      <alignment horizontal="right"/>
    </xf>
    <xf borderId="10" fillId="0" fontId="21" numFmtId="164" xfId="0" applyBorder="1" applyFont="1" applyNumberFormat="1"/>
    <xf borderId="30" fillId="2" fontId="20" numFmtId="0" xfId="0" applyBorder="1" applyFont="1"/>
    <xf borderId="10" fillId="2" fontId="20" numFmtId="4" xfId="0" applyBorder="1" applyFont="1" applyNumberFormat="1"/>
    <xf borderId="10" fillId="2" fontId="20" numFmtId="164" xfId="0" applyBorder="1" applyFont="1" applyNumberFormat="1"/>
    <xf borderId="10" fillId="2" fontId="22" numFmtId="0" xfId="0" applyBorder="1" applyFont="1"/>
    <xf borderId="10" fillId="2" fontId="22" numFmtId="4" xfId="0" applyBorder="1" applyFont="1" applyNumberFormat="1"/>
    <xf borderId="29" fillId="2" fontId="19" numFmtId="4" xfId="0" applyAlignment="1" applyBorder="1" applyFont="1" applyNumberFormat="1">
      <alignment horizontal="right"/>
    </xf>
    <xf borderId="10" fillId="2" fontId="20" numFmtId="0" xfId="0" applyAlignment="1" applyBorder="1" applyFont="1">
      <alignment readingOrder="0"/>
    </xf>
    <xf borderId="0" fillId="2" fontId="19" numFmtId="0" xfId="0" applyFont="1"/>
    <xf borderId="10" fillId="2" fontId="23" numFmtId="0" xfId="0" applyAlignment="1" applyBorder="1" applyFont="1">
      <alignment horizontal="left"/>
    </xf>
    <xf borderId="10" fillId="2" fontId="23" numFmtId="0" xfId="0" applyAlignment="1" applyBorder="1" applyFont="1">
      <alignment horizontal="right"/>
    </xf>
    <xf borderId="10" fillId="2" fontId="23" numFmtId="0" xfId="0" applyAlignment="1" applyBorder="1" applyFont="1">
      <alignment horizontal="center"/>
    </xf>
    <xf borderId="10" fillId="2" fontId="24" numFmtId="0" xfId="0" applyBorder="1" applyFont="1"/>
    <xf borderId="10" fillId="2" fontId="24" numFmtId="168" xfId="0" applyAlignment="1" applyBorder="1" applyFont="1" applyNumberFormat="1">
      <alignment horizontal="right"/>
    </xf>
    <xf borderId="10" fillId="2" fontId="24" numFmtId="164" xfId="0" applyAlignment="1" applyBorder="1" applyFont="1" applyNumberFormat="1">
      <alignment horizontal="right"/>
    </xf>
    <xf borderId="10" fillId="2" fontId="19" numFmtId="4" xfId="0" applyBorder="1" applyFont="1" applyNumberFormat="1"/>
    <xf borderId="33" fillId="2" fontId="24" numFmtId="0" xfId="0" applyBorder="1" applyFont="1"/>
    <xf borderId="33" fillId="2" fontId="24" numFmtId="0" xfId="0" applyAlignment="1" applyBorder="1" applyFont="1">
      <alignment horizontal="right"/>
    </xf>
    <xf borderId="33" fillId="2" fontId="24" numFmtId="164" xfId="0" applyAlignment="1" applyBorder="1" applyFont="1" applyNumberFormat="1">
      <alignment horizontal="right"/>
    </xf>
    <xf borderId="33" fillId="2" fontId="0" numFmtId="4" xfId="0" applyBorder="1" applyFont="1" applyNumberFormat="1"/>
    <xf borderId="10" fillId="2" fontId="23" numFmtId="0" xfId="0" applyBorder="1" applyFont="1"/>
    <xf borderId="13" fillId="0" fontId="20" numFmtId="0" xfId="0" applyAlignment="1" applyBorder="1" applyFont="1">
      <alignment horizontal="center"/>
    </xf>
    <xf borderId="38" fillId="0" fontId="20" numFmtId="0" xfId="0" applyAlignment="1" applyBorder="1" applyFont="1">
      <alignment horizontal="center"/>
    </xf>
    <xf borderId="10" fillId="0" fontId="20" numFmtId="0" xfId="0" applyAlignment="1" applyBorder="1" applyFont="1">
      <alignment horizontal="center"/>
    </xf>
    <xf borderId="10" fillId="0" fontId="3" numFmtId="167" xfId="0" applyAlignment="1" applyBorder="1" applyFont="1" applyNumberFormat="1">
      <alignment vertical="bottom"/>
    </xf>
    <xf borderId="10" fillId="2" fontId="3" numFmtId="4" xfId="0" applyAlignment="1" applyBorder="1" applyFont="1" applyNumberFormat="1">
      <alignment horizontal="right" readingOrder="0" vertical="bottom"/>
    </xf>
    <xf borderId="10" fillId="2" fontId="25" numFmtId="4" xfId="0" applyAlignment="1" applyBorder="1" applyFont="1" applyNumberFormat="1">
      <alignment vertical="bottom"/>
    </xf>
    <xf borderId="38" fillId="2" fontId="0" numFmtId="0" xfId="0" applyAlignment="1" applyBorder="1" applyFont="1">
      <alignment shrinkToFit="0" wrapText="1"/>
    </xf>
    <xf borderId="10" fillId="0" fontId="3" numFmtId="4" xfId="0" applyAlignment="1" applyBorder="1" applyFont="1" applyNumberFormat="1">
      <alignment vertical="bottom"/>
    </xf>
    <xf borderId="28" fillId="2" fontId="3" numFmtId="4" xfId="0" applyAlignment="1" applyBorder="1" applyFont="1" applyNumberFormat="1">
      <alignment horizontal="right" readingOrder="0" vertical="bottom"/>
    </xf>
    <xf borderId="10" fillId="0" fontId="3" numFmtId="177" xfId="0" applyAlignment="1" applyBorder="1" applyFont="1" applyNumberFormat="1">
      <alignment vertical="bottom"/>
    </xf>
    <xf borderId="10" fillId="0" fontId="3" numFmtId="168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38" fillId="2" fontId="19" numFmtId="0" xfId="0" applyBorder="1" applyFont="1"/>
    <xf borderId="10" fillId="2" fontId="26" numFmtId="0" xfId="0" applyAlignment="1" applyBorder="1" applyFont="1">
      <alignment vertical="top"/>
    </xf>
    <xf borderId="10" fillId="2" fontId="25" numFmtId="0" xfId="0" applyAlignment="1" applyBorder="1" applyFont="1">
      <alignment vertical="bottom"/>
    </xf>
    <xf borderId="10" fillId="2" fontId="25" numFmtId="0" xfId="0" applyAlignment="1" applyBorder="1" applyFont="1">
      <alignment vertical="bottom"/>
    </xf>
    <xf borderId="38" fillId="0" fontId="19" numFmtId="0" xfId="0" applyBorder="1" applyFont="1"/>
    <xf borderId="10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0" fillId="2" fontId="25" numFmtId="0" xfId="0" applyAlignment="1" applyBorder="1" applyFont="1">
      <alignment vertical="bottom"/>
    </xf>
    <xf borderId="10" fillId="0" fontId="20" numFmtId="4" xfId="0" applyBorder="1" applyFont="1" applyNumberFormat="1"/>
    <xf borderId="13" fillId="4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0" fillId="0" fontId="1" numFmtId="0" xfId="0" applyBorder="1" applyFont="1"/>
    <xf borderId="10" fillId="0" fontId="1" numFmtId="173" xfId="0" applyBorder="1" applyFont="1" applyNumberFormat="1"/>
    <xf borderId="10" fillId="0" fontId="1" numFmtId="4" xfId="0" applyAlignment="1" applyBorder="1" applyFont="1" applyNumberFormat="1">
      <alignment horizontal="right"/>
    </xf>
    <xf borderId="26" fillId="0" fontId="1" numFmtId="4" xfId="0" applyAlignment="1" applyBorder="1" applyFont="1" applyNumberFormat="1">
      <alignment horizontal="right" shrinkToFit="0" wrapText="1"/>
    </xf>
    <xf borderId="10" fillId="0" fontId="1" numFmtId="4" xfId="0" applyAlignment="1" applyBorder="1" applyFont="1" applyNumberFormat="1">
      <alignment horizontal="center"/>
    </xf>
    <xf borderId="0" fillId="0" fontId="11" numFmtId="168" xfId="0" applyAlignment="1" applyFont="1" applyNumberFormat="1">
      <alignment shrinkToFit="0" vertical="bottom" wrapText="0"/>
    </xf>
    <xf borderId="10" fillId="0" fontId="1" numFmtId="168" xfId="0" applyAlignment="1" applyBorder="1" applyFont="1" applyNumberFormat="1">
      <alignment horizontal="right"/>
    </xf>
    <xf borderId="26" fillId="0" fontId="1" numFmtId="171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horizontal="center"/>
    </xf>
    <xf borderId="24" fillId="0" fontId="1" numFmtId="4" xfId="0" applyAlignment="1" applyBorder="1" applyFont="1" applyNumberFormat="1">
      <alignment horizontal="center" shrinkToFit="0" wrapText="1"/>
    </xf>
    <xf borderId="0" fillId="0" fontId="11" numFmtId="178" xfId="0" applyAlignment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horizontal="left"/>
    </xf>
    <xf borderId="13" fillId="0" fontId="5" numFmtId="0" xfId="0" applyAlignment="1" applyBorder="1" applyFont="1">
      <alignment horizontal="center"/>
    </xf>
    <xf borderId="10" fillId="0" fontId="5" numFmtId="173" xfId="0" applyAlignment="1" applyBorder="1" applyFont="1" applyNumberFormat="1">
      <alignment horizontal="center"/>
    </xf>
    <xf borderId="10" fillId="0" fontId="5" numFmtId="168" xfId="0" applyAlignment="1" applyBorder="1" applyFont="1" applyNumberFormat="1">
      <alignment horizontal="right"/>
    </xf>
    <xf borderId="10" fillId="0" fontId="5" numFmtId="171" xfId="0" applyBorder="1" applyFont="1" applyNumberFormat="1"/>
    <xf borderId="10" fillId="0" fontId="5" numFmtId="173" xfId="0" applyBorder="1" applyFont="1" applyNumberFormat="1"/>
    <xf borderId="1" fillId="2" fontId="1" numFmtId="168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68" xfId="0" applyFont="1" applyNumberFormat="1"/>
    <xf borderId="13" fillId="4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/>
    </xf>
    <xf borderId="28" fillId="0" fontId="1" numFmtId="0" xfId="0" applyBorder="1" applyFont="1"/>
    <xf borderId="26" fillId="0" fontId="1" numFmtId="168" xfId="0" applyAlignment="1" applyBorder="1" applyFont="1" applyNumberFormat="1">
      <alignment horizontal="right"/>
    </xf>
    <xf borderId="10" fillId="0" fontId="2" numFmtId="168" xfId="0" applyAlignment="1" applyBorder="1" applyFont="1" applyNumberFormat="1">
      <alignment horizontal="right" readingOrder="0"/>
    </xf>
    <xf borderId="26" fillId="0" fontId="1" numFmtId="0" xfId="0" applyBorder="1" applyFont="1"/>
    <xf borderId="0" fillId="0" fontId="4" numFmtId="168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vertical="center"/>
    </xf>
    <xf borderId="10" fillId="0" fontId="19" numFmtId="168" xfId="0" applyAlignment="1" applyBorder="1" applyFont="1" applyNumberFormat="1">
      <alignment horizontal="right" readingOrder="0"/>
    </xf>
    <xf borderId="26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vertical="center"/>
    </xf>
    <xf borderId="10" fillId="0" fontId="2" numFmtId="168" xfId="0" applyAlignment="1" applyBorder="1" applyFont="1" applyNumberFormat="1">
      <alignment horizontal="right"/>
    </xf>
    <xf borderId="26" fillId="0" fontId="1" numFmtId="0" xfId="0" applyAlignment="1" applyBorder="1" applyFont="1">
      <alignment vertical="center"/>
    </xf>
    <xf borderId="26" fillId="0" fontId="1" numFmtId="0" xfId="0" applyAlignment="1" applyBorder="1" applyFont="1">
      <alignment readingOrder="0" shrinkToFit="0" vertical="center" wrapText="1"/>
    </xf>
    <xf borderId="0" fillId="0" fontId="4" numFmtId="4" xfId="0" applyAlignment="1" applyFont="1" applyNumberFormat="1">
      <alignment horizontal="right" readingOrder="0" shrinkToFit="0" vertical="bottom" wrapText="0"/>
    </xf>
    <xf borderId="10" fillId="0" fontId="1" numFmtId="168" xfId="0" applyAlignment="1" applyBorder="1" applyFont="1" applyNumberFormat="1">
      <alignment horizontal="right" readingOrder="0"/>
    </xf>
    <xf borderId="10" fillId="0" fontId="1" numFmtId="168" xfId="0" applyBorder="1" applyFont="1" applyNumberFormat="1"/>
    <xf borderId="26" fillId="0" fontId="1" numFmtId="174" xfId="0" applyAlignment="1" applyBorder="1" applyFont="1" applyNumberFormat="1">
      <alignment readingOrder="0"/>
    </xf>
    <xf borderId="31" fillId="2" fontId="5" numFmtId="168" xfId="0" applyAlignment="1" applyBorder="1" applyFont="1" applyNumberFormat="1">
      <alignment horizontal="right"/>
    </xf>
    <xf borderId="39" fillId="2" fontId="5" numFmtId="168" xfId="0" applyAlignment="1" applyBorder="1" applyFont="1" applyNumberFormat="1">
      <alignment horizontal="right"/>
    </xf>
    <xf borderId="29" fillId="0" fontId="1" numFmtId="0" xfId="0" applyBorder="1" applyFont="1"/>
    <xf borderId="23" fillId="0" fontId="1" numFmtId="0" xfId="0" applyBorder="1" applyFont="1"/>
    <xf borderId="23" fillId="0" fontId="2" numFmtId="164" xfId="0" applyAlignment="1" applyBorder="1" applyFont="1" applyNumberFormat="1">
      <alignment horizontal="center"/>
    </xf>
    <xf borderId="0" fillId="0" fontId="1" numFmtId="173" xfId="0" applyAlignment="1" applyFont="1" applyNumberFormat="1">
      <alignment horizontal="right" shrinkToFit="0" wrapText="1"/>
    </xf>
    <xf borderId="0" fillId="0" fontId="2" numFmtId="168" xfId="0" applyAlignment="1" applyFont="1" applyNumberFormat="1">
      <alignment horizontal="right"/>
    </xf>
    <xf borderId="10" fillId="0" fontId="2" numFmtId="168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73" xfId="0" applyAlignment="1" applyBorder="1" applyFont="1" applyNumberFormat="1">
      <alignment horizontal="left"/>
    </xf>
    <xf borderId="10" fillId="0" fontId="5" numFmtId="0" xfId="0" applyBorder="1" applyFont="1"/>
    <xf borderId="10" fillId="0" fontId="5" numFmtId="168" xfId="0" applyBorder="1" applyFont="1" applyNumberFormat="1"/>
    <xf borderId="10" fillId="0" fontId="9" numFmtId="168" xfId="0" applyAlignment="1" applyBorder="1" applyFont="1" applyNumberFormat="1">
      <alignment horizontal="center"/>
    </xf>
    <xf borderId="10" fillId="0" fontId="2" numFmtId="173" xfId="0" applyBorder="1" applyFont="1" applyNumberFormat="1"/>
    <xf borderId="23" fillId="0" fontId="2" numFmtId="168" xfId="0" applyAlignment="1" applyBorder="1" applyFont="1" applyNumberFormat="1">
      <alignment horizontal="right"/>
    </xf>
    <xf borderId="0" fillId="0" fontId="1" numFmtId="168" xfId="0" applyAlignment="1" applyFont="1" applyNumberFormat="1">
      <alignment horizontal="right"/>
    </xf>
    <xf borderId="40" fillId="0" fontId="16" numFmtId="0" xfId="0" applyBorder="1" applyFont="1"/>
    <xf borderId="10" fillId="0" fontId="1" numFmtId="166" xfId="0" applyAlignment="1" applyBorder="1" applyFont="1" applyNumberFormat="1">
      <alignment horizontal="right" shrinkToFit="0" vertical="top" wrapText="1"/>
    </xf>
    <xf borderId="10" fillId="0" fontId="2" numFmtId="166" xfId="0" applyAlignment="1" applyBorder="1" applyFont="1" applyNumberFormat="1">
      <alignment horizontal="right"/>
    </xf>
    <xf borderId="10" fillId="0" fontId="1" numFmtId="166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2" fontId="1" numFmtId="164" xfId="0" applyAlignment="1" applyBorder="1" applyFont="1" applyNumberFormat="1">
      <alignment shrinkToFit="0" wrapText="1"/>
    </xf>
    <xf borderId="10" fillId="0" fontId="2" numFmtId="166" xfId="0" applyAlignment="1" applyBorder="1" applyFont="1" applyNumberFormat="1">
      <alignment horizontal="right" readingOrder="0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24" fillId="0" fontId="1" numFmtId="0" xfId="0" applyBorder="1" applyFont="1"/>
    <xf borderId="10" fillId="0" fontId="1" numFmtId="179" xfId="0" applyAlignment="1" applyBorder="1" applyFont="1" applyNumberFormat="1">
      <alignment readingOrder="0"/>
    </xf>
    <xf borderId="10" fillId="2" fontId="27" numFmtId="173" xfId="0" applyAlignment="1" applyBorder="1" applyFont="1" applyNumberFormat="1">
      <alignment readingOrder="0"/>
    </xf>
    <xf borderId="13" fillId="0" fontId="20" numFmtId="0" xfId="0" applyAlignment="1" applyBorder="1" applyFont="1">
      <alignment horizontal="center" readingOrder="0"/>
    </xf>
    <xf borderId="10" fillId="0" fontId="20" numFmtId="0" xfId="0" applyAlignment="1" applyBorder="1" applyFont="1">
      <alignment horizontal="center" readingOrder="0"/>
    </xf>
    <xf borderId="10" fillId="0" fontId="19" numFmtId="180" xfId="0" applyAlignment="1" applyBorder="1" applyFont="1" applyNumberFormat="1">
      <alignment horizontal="right" readingOrder="0" vertical="bottom"/>
    </xf>
    <xf borderId="10" fillId="0" fontId="19" numFmtId="0" xfId="0" applyAlignment="1" applyBorder="1" applyFont="1">
      <alignment readingOrder="0" vertical="bottom"/>
    </xf>
    <xf borderId="10" fillId="0" fontId="19" numFmtId="0" xfId="0" applyAlignment="1" applyBorder="1" applyFont="1">
      <alignment vertical="bottom"/>
    </xf>
    <xf borderId="10" fillId="0" fontId="19" numFmtId="181" xfId="0" applyAlignment="1" applyBorder="1" applyFont="1" applyNumberFormat="1">
      <alignment horizontal="right" vertical="bottom"/>
    </xf>
    <xf borderId="10" fillId="0" fontId="19" numFmtId="168" xfId="0" applyBorder="1" applyFont="1" applyNumberFormat="1"/>
    <xf borderId="10" fillId="0" fontId="19" numFmtId="180" xfId="0" applyAlignment="1" applyBorder="1" applyFont="1" applyNumberFormat="1">
      <alignment horizontal="right" vertical="bottom"/>
    </xf>
    <xf borderId="10" fillId="0" fontId="19" numFmtId="4" xfId="0" applyAlignment="1" applyBorder="1" applyFont="1" applyNumberFormat="1">
      <alignment horizontal="right" vertical="bottom"/>
    </xf>
    <xf borderId="10" fillId="0" fontId="19" numFmtId="181" xfId="0" applyAlignment="1" applyBorder="1" applyFont="1" applyNumberFormat="1">
      <alignment vertical="bottom"/>
    </xf>
    <xf borderId="10" fillId="0" fontId="19" numFmtId="168" xfId="0" applyAlignment="1" applyBorder="1" applyFont="1" applyNumberFormat="1">
      <alignment horizontal="right" vertical="bottom"/>
    </xf>
    <xf borderId="10" fillId="0" fontId="19" numFmtId="4" xfId="0" applyAlignment="1" applyBorder="1" applyFont="1" applyNumberFormat="1">
      <alignment vertical="bottom"/>
    </xf>
    <xf borderId="10" fillId="0" fontId="19" numFmtId="168" xfId="0" applyAlignment="1" applyBorder="1" applyFont="1" applyNumberFormat="1">
      <alignment vertical="bottom"/>
    </xf>
    <xf borderId="10" fillId="0" fontId="19" numFmtId="168" xfId="0" applyAlignment="1" applyBorder="1" applyFont="1" applyNumberFormat="1">
      <alignment horizontal="right" vertical="bottom"/>
    </xf>
    <xf borderId="10" fillId="2" fontId="19" numFmtId="168" xfId="0" applyAlignment="1" applyBorder="1" applyFont="1" applyNumberFormat="1">
      <alignment horizontal="right" vertical="bottom"/>
    </xf>
    <xf borderId="10" fillId="0" fontId="19" numFmtId="0" xfId="0" applyAlignment="1" applyBorder="1" applyFont="1">
      <alignment horizontal="right" vertical="bottom"/>
    </xf>
    <xf borderId="10" fillId="0" fontId="28" numFmtId="0" xfId="0" applyAlignment="1" applyBorder="1" applyFont="1">
      <alignment horizontal="right" vertical="bottom"/>
    </xf>
    <xf borderId="10" fillId="0" fontId="28" numFmtId="0" xfId="0" applyAlignment="1" applyBorder="1" applyFont="1">
      <alignment vertical="bottom"/>
    </xf>
    <xf borderId="10" fillId="0" fontId="28" numFmtId="4" xfId="0" applyAlignment="1" applyBorder="1" applyFont="1" applyNumberFormat="1">
      <alignment vertical="bottom"/>
    </xf>
    <xf borderId="10" fillId="0" fontId="28" numFmtId="181" xfId="0" applyAlignment="1" applyBorder="1" applyFont="1" applyNumberFormat="1">
      <alignment horizontal="right" vertical="bottom"/>
    </xf>
    <xf borderId="10" fillId="0" fontId="28" numFmtId="168" xfId="0" applyAlignment="1" applyBorder="1" applyFont="1" applyNumberFormat="1">
      <alignment vertical="bottom"/>
    </xf>
    <xf borderId="10" fillId="0" fontId="28" numFmtId="180" xfId="0" applyAlignment="1" applyBorder="1" applyFont="1" applyNumberFormat="1">
      <alignment horizontal="right" vertical="bottom"/>
    </xf>
    <xf borderId="10" fillId="0" fontId="28" numFmtId="168" xfId="0" applyAlignment="1" applyBorder="1" applyFont="1" applyNumberFormat="1">
      <alignment horizontal="right" vertical="bottom"/>
    </xf>
    <xf borderId="10" fillId="0" fontId="19" numFmtId="0" xfId="0" applyAlignment="1" applyBorder="1" applyFont="1">
      <alignment horizontal="right" readingOrder="0"/>
    </xf>
    <xf borderId="10" fillId="0" fontId="19" numFmtId="0" xfId="0" applyAlignment="1" applyBorder="1" applyFont="1">
      <alignment readingOrder="0"/>
    </xf>
    <xf borderId="10" fillId="0" fontId="19" numFmtId="0" xfId="0" applyBorder="1" applyFont="1"/>
    <xf borderId="10" fillId="0" fontId="19" numFmtId="181" xfId="0" applyAlignment="1" applyBorder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59186852.06</v>
      </c>
      <c r="E2" s="3">
        <f>SUM(G2:AC2)</f>
        <v>59186852.06</v>
      </c>
      <c r="F2" s="6"/>
      <c r="G2" s="6">
        <f t="shared" ref="G2:AC2" si="1">G38</f>
        <v>1500000</v>
      </c>
      <c r="H2" s="6">
        <f t="shared" si="1"/>
        <v>16039878.76</v>
      </c>
      <c r="I2" s="6">
        <f t="shared" si="1"/>
        <v>12148.63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1373750</v>
      </c>
      <c r="R2" s="6">
        <f t="shared" si="1"/>
        <v>3062831.806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36341100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857142.86</v>
      </c>
      <c r="AB2" s="6">
        <f t="shared" si="1"/>
        <v>0</v>
      </c>
      <c r="AC2" s="6">
        <f t="shared" si="1"/>
        <v>0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1" t="s">
        <v>5</v>
      </c>
      <c r="H3" s="11" t="s">
        <v>6</v>
      </c>
      <c r="I3" s="12" t="s">
        <v>7</v>
      </c>
      <c r="J3" s="13" t="s">
        <v>8</v>
      </c>
      <c r="K3" s="11" t="s">
        <v>9</v>
      </c>
      <c r="L3" s="14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4" t="s">
        <v>18</v>
      </c>
      <c r="U3" s="14" t="s">
        <v>19</v>
      </c>
      <c r="V3" s="12" t="s">
        <v>20</v>
      </c>
      <c r="W3" s="15" t="s">
        <v>21</v>
      </c>
      <c r="X3" s="16" t="s">
        <v>22</v>
      </c>
      <c r="Y3" s="12" t="s">
        <v>23</v>
      </c>
      <c r="Z3" s="12" t="s">
        <v>24</v>
      </c>
      <c r="AA3" s="14" t="s">
        <v>25</v>
      </c>
      <c r="AB3" s="11" t="s">
        <v>26</v>
      </c>
      <c r="AC3" s="14" t="s">
        <v>27</v>
      </c>
    </row>
    <row r="4" ht="15.75" customHeight="1">
      <c r="A4" s="17" t="s">
        <v>28</v>
      </c>
      <c r="B4" s="18"/>
      <c r="C4" s="19" t="s">
        <v>29</v>
      </c>
      <c r="D4" s="20">
        <v>0.0</v>
      </c>
      <c r="E4" s="21">
        <f t="shared" ref="E4:E24" si="2">SUM(G4:AC4)</f>
        <v>0</v>
      </c>
      <c r="F4" s="22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ht="15.75" customHeight="1">
      <c r="A5" s="24" t="s">
        <v>30</v>
      </c>
      <c r="B5" s="18">
        <f>G2</f>
        <v>1500000</v>
      </c>
      <c r="C5" s="25" t="s">
        <v>31</v>
      </c>
      <c r="D5" s="20">
        <v>0.0</v>
      </c>
      <c r="E5" s="21">
        <f t="shared" si="2"/>
        <v>0</v>
      </c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ht="15.75" customHeight="1">
      <c r="A6" s="26" t="s">
        <v>32</v>
      </c>
      <c r="B6" s="27">
        <f>H2</f>
        <v>16039878.76</v>
      </c>
      <c r="C6" s="19" t="s">
        <v>33</v>
      </c>
      <c r="D6" s="20">
        <v>0.0</v>
      </c>
      <c r="E6" s="21">
        <f t="shared" si="2"/>
        <v>0</v>
      </c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ht="15.75" customHeight="1">
      <c r="A7" s="28" t="str">
        <f>R3</f>
        <v>Software Tools</v>
      </c>
      <c r="B7" s="29">
        <f>R2</f>
        <v>3062831.806</v>
      </c>
      <c r="C7" s="25" t="s">
        <v>34</v>
      </c>
      <c r="D7" s="20">
        <v>0.0</v>
      </c>
      <c r="E7" s="21">
        <f t="shared" si="2"/>
        <v>0</v>
      </c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ht="15.75" customHeight="1">
      <c r="A8" s="30" t="s">
        <v>21</v>
      </c>
      <c r="B8" s="31">
        <f>W2</f>
        <v>36341100</v>
      </c>
      <c r="C8" s="25" t="s">
        <v>35</v>
      </c>
      <c r="D8" s="20">
        <v>0.0</v>
      </c>
      <c r="E8" s="21">
        <f t="shared" si="2"/>
        <v>0</v>
      </c>
      <c r="F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ht="15.75" customHeight="1">
      <c r="A9" s="32" t="s">
        <v>25</v>
      </c>
      <c r="B9" s="29">
        <f>AA2</f>
        <v>857142.86</v>
      </c>
      <c r="C9" s="19" t="s">
        <v>36</v>
      </c>
      <c r="D9" s="20">
        <v>0.0</v>
      </c>
      <c r="E9" s="21">
        <f t="shared" si="2"/>
        <v>0</v>
      </c>
      <c r="F9" s="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ht="15.75" customHeight="1">
      <c r="A10" s="32" t="s">
        <v>37</v>
      </c>
      <c r="B10" s="33">
        <f>Q2</f>
        <v>1373750</v>
      </c>
      <c r="C10" s="34" t="s">
        <v>38</v>
      </c>
      <c r="D10" s="20">
        <v>150.0</v>
      </c>
      <c r="E10" s="21">
        <f t="shared" si="2"/>
        <v>150</v>
      </c>
      <c r="F10" s="22"/>
      <c r="G10" s="23"/>
      <c r="H10" s="23"/>
      <c r="I10" s="35">
        <v>150.0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5.75" customHeight="1">
      <c r="A11" s="36" t="s">
        <v>39</v>
      </c>
      <c r="B11" s="31">
        <f>I2</f>
        <v>12148.63</v>
      </c>
      <c r="C11" s="19" t="s">
        <v>40</v>
      </c>
      <c r="D11" s="20">
        <v>0.0</v>
      </c>
      <c r="E11" s="21">
        <f t="shared" si="2"/>
        <v>0</v>
      </c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ht="15.75" customHeight="1">
      <c r="C12" s="25" t="s">
        <v>41</v>
      </c>
      <c r="D12" s="20">
        <v>0.0</v>
      </c>
      <c r="E12" s="21">
        <f t="shared" si="2"/>
        <v>0</v>
      </c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ht="15.75" customHeight="1">
      <c r="C13" s="19" t="s">
        <v>42</v>
      </c>
      <c r="D13" s="20">
        <v>0.0</v>
      </c>
      <c r="E13" s="21">
        <f t="shared" si="2"/>
        <v>0</v>
      </c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ht="15.75" customHeight="1">
      <c r="C14" s="25" t="s">
        <v>43</v>
      </c>
      <c r="D14" s="20">
        <v>0.0</v>
      </c>
      <c r="E14" s="21">
        <f t="shared" si="2"/>
        <v>0</v>
      </c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ht="15.75" customHeight="1">
      <c r="C15" s="37" t="s">
        <v>44</v>
      </c>
      <c r="D15" s="20">
        <v>0.0</v>
      </c>
      <c r="E15" s="21">
        <f t="shared" si="2"/>
        <v>0</v>
      </c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ht="15.75" customHeight="1">
      <c r="C16" s="37" t="s">
        <v>45</v>
      </c>
      <c r="D16" s="20">
        <v>0.0</v>
      </c>
      <c r="E16" s="21">
        <f t="shared" si="2"/>
        <v>0</v>
      </c>
      <c r="F16" s="22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ht="15.75" customHeight="1">
      <c r="C17" s="38" t="s">
        <v>46</v>
      </c>
      <c r="D17" s="20">
        <v>0.0</v>
      </c>
      <c r="E17" s="21">
        <f t="shared" si="2"/>
        <v>0</v>
      </c>
      <c r="F17" s="22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ht="15.75" customHeight="1">
      <c r="A18" s="39"/>
      <c r="B18" s="40"/>
      <c r="C18" s="37" t="s">
        <v>47</v>
      </c>
      <c r="D18" s="41">
        <v>9137.5</v>
      </c>
      <c r="E18" s="21">
        <f t="shared" si="2"/>
        <v>9137.5</v>
      </c>
      <c r="F18" s="42"/>
      <c r="G18" s="23"/>
      <c r="H18" s="23"/>
      <c r="I18" s="43">
        <v>9137.5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ht="15.75" customHeight="1">
      <c r="A19" s="44" t="s">
        <v>4</v>
      </c>
      <c r="B19" s="45">
        <f>SUM(B5:B18)</f>
        <v>59186852.06</v>
      </c>
      <c r="C19" s="37" t="s">
        <v>48</v>
      </c>
      <c r="D19" s="46">
        <v>219212.28</v>
      </c>
      <c r="E19" s="21">
        <f t="shared" si="2"/>
        <v>219212.28</v>
      </c>
      <c r="F19" s="22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47">
        <v>219212.28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ht="15.75" customHeight="1">
      <c r="A20" s="28" t="s">
        <v>30</v>
      </c>
      <c r="B20" s="31">
        <f>B5</f>
        <v>1500000</v>
      </c>
      <c r="C20" s="37" t="s">
        <v>49</v>
      </c>
      <c r="D20" s="48">
        <v>5.474098275E7</v>
      </c>
      <c r="E20" s="21">
        <f t="shared" si="2"/>
        <v>54740982.75</v>
      </c>
      <c r="F20" s="22"/>
      <c r="G20" s="35">
        <v>1500000.0</v>
      </c>
      <c r="H20" s="49">
        <v>1.6039878759999998E7</v>
      </c>
      <c r="I20" s="50">
        <v>2861.13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50">
        <v>3.63411E7</v>
      </c>
      <c r="X20" s="23"/>
      <c r="Y20" s="23"/>
      <c r="Z20" s="23"/>
      <c r="AA20" s="50">
        <v>857142.86</v>
      </c>
      <c r="AB20" s="23"/>
      <c r="AC20" s="23"/>
    </row>
    <row r="21" ht="15.75" customHeight="1">
      <c r="A21" s="39"/>
      <c r="B21" s="51">
        <f>SUM(B19-B20)</f>
        <v>57686852.06</v>
      </c>
      <c r="C21" s="37" t="s">
        <v>50</v>
      </c>
      <c r="D21" s="20">
        <v>0.0</v>
      </c>
      <c r="E21" s="21">
        <f t="shared" si="2"/>
        <v>0</v>
      </c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15.75" customHeight="1">
      <c r="A22" s="39"/>
      <c r="B22" s="52"/>
      <c r="C22" s="37" t="s">
        <v>51</v>
      </c>
      <c r="D22" s="53">
        <v>1373750.0</v>
      </c>
      <c r="E22" s="21">
        <f t="shared" si="2"/>
        <v>1373750</v>
      </c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53">
        <v>1373750.0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A23" s="39"/>
      <c r="B23" s="36"/>
      <c r="C23" s="54" t="s">
        <v>52</v>
      </c>
      <c r="D23" s="20">
        <v>0.0</v>
      </c>
      <c r="E23" s="21">
        <f t="shared" si="2"/>
        <v>0</v>
      </c>
      <c r="F23" s="22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5.75" customHeight="1">
      <c r="A24" s="39"/>
      <c r="B24" s="39"/>
      <c r="C24" s="19" t="s">
        <v>53</v>
      </c>
      <c r="D24" s="20">
        <v>0.0</v>
      </c>
      <c r="E24" s="21">
        <f t="shared" si="2"/>
        <v>0</v>
      </c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24"/>
      <c r="B25" s="55"/>
      <c r="C25" s="56"/>
      <c r="D25" s="20">
        <v>0.0</v>
      </c>
      <c r="E25" s="57"/>
      <c r="F25" s="2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58"/>
      <c r="B26" s="55"/>
      <c r="C26" s="19" t="s">
        <v>54</v>
      </c>
      <c r="D26" s="20">
        <v>0.0</v>
      </c>
      <c r="E26" s="21">
        <f t="shared" ref="E26:E35" si="3">SUM(G26:AB26)</f>
        <v>0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A27" s="59"/>
      <c r="B27" s="55"/>
      <c r="C27" s="19" t="s">
        <v>55</v>
      </c>
      <c r="D27" s="20">
        <v>0.0</v>
      </c>
      <c r="E27" s="21">
        <f t="shared" si="3"/>
        <v>0</v>
      </c>
      <c r="F27" s="2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5.75" customHeight="1">
      <c r="A28" s="58"/>
      <c r="B28" s="55"/>
      <c r="C28" s="25" t="s">
        <v>56</v>
      </c>
      <c r="D28" s="20">
        <v>0.0</v>
      </c>
      <c r="E28" s="21">
        <f t="shared" si="3"/>
        <v>0</v>
      </c>
      <c r="F28" s="2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ht="15.75" customHeight="1">
      <c r="A29" s="58"/>
      <c r="B29" s="55"/>
      <c r="C29" s="25" t="s">
        <v>57</v>
      </c>
      <c r="D29" s="20">
        <v>0.0</v>
      </c>
      <c r="E29" s="21">
        <f t="shared" si="3"/>
        <v>0</v>
      </c>
      <c r="F29" s="2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A30" s="58"/>
      <c r="B30" s="55"/>
      <c r="C30" s="19" t="s">
        <v>47</v>
      </c>
      <c r="D30" s="20">
        <v>0.0</v>
      </c>
      <c r="E30" s="21">
        <f t="shared" si="3"/>
        <v>0</v>
      </c>
      <c r="F30" s="4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58"/>
      <c r="B31" s="55"/>
      <c r="C31" s="19" t="s">
        <v>58</v>
      </c>
      <c r="D31" s="20">
        <f>2116.56*C36
</f>
        <v>2843619.526</v>
      </c>
      <c r="E31" s="21">
        <f t="shared" si="3"/>
        <v>2843619.526</v>
      </c>
      <c r="F31" s="22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>
        <f>2116.56*C36
</f>
        <v>2843619.526</v>
      </c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58"/>
      <c r="B32" s="60"/>
      <c r="C32" s="19" t="s">
        <v>36</v>
      </c>
      <c r="D32" s="20">
        <v>0.0</v>
      </c>
      <c r="E32" s="21">
        <f t="shared" si="3"/>
        <v>0</v>
      </c>
      <c r="F32" s="22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ht="15.75" customHeight="1">
      <c r="A33" s="24"/>
      <c r="B33" s="60"/>
      <c r="C33" s="19" t="s">
        <v>59</v>
      </c>
      <c r="D33" s="20">
        <v>0.0</v>
      </c>
      <c r="E33" s="21">
        <f t="shared" si="3"/>
        <v>0</v>
      </c>
      <c r="F33" s="22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24"/>
      <c r="B34" s="55"/>
      <c r="C34" s="19" t="s">
        <v>60</v>
      </c>
      <c r="D34" s="20">
        <v>0.0</v>
      </c>
      <c r="E34" s="21">
        <f t="shared" si="3"/>
        <v>0</v>
      </c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5.75" customHeight="1">
      <c r="A35" s="24"/>
      <c r="B35" s="55"/>
      <c r="C35" s="25" t="s">
        <v>61</v>
      </c>
      <c r="D35" s="20">
        <v>0.0</v>
      </c>
      <c r="E35" s="21">
        <f t="shared" si="3"/>
        <v>0</v>
      </c>
      <c r="F35" s="22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4"/>
      <c r="B36" s="55"/>
      <c r="C36" s="61">
        <f>Income!C36</f>
        <v>1343.51</v>
      </c>
      <c r="D36" s="62"/>
      <c r="E36" s="57"/>
      <c r="F36" s="22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A37" s="63"/>
      <c r="B37" s="64"/>
      <c r="C37" s="65"/>
      <c r="D37" s="21">
        <f t="shared" ref="D37:E37" si="4">SUM(D4:D35)</f>
        <v>59186852.06</v>
      </c>
      <c r="E37" s="21">
        <f t="shared" si="4"/>
        <v>59186852.06</v>
      </c>
      <c r="F37" s="2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1"/>
      <c r="B38" s="1"/>
      <c r="C38" s="3"/>
      <c r="D38" s="66"/>
      <c r="E38" s="1"/>
      <c r="F38" s="6"/>
      <c r="G38" s="67">
        <f t="shared" ref="G38:AC38" si="5">SUM(G4:G37)</f>
        <v>1500000</v>
      </c>
      <c r="H38" s="67">
        <f t="shared" si="5"/>
        <v>16039878.76</v>
      </c>
      <c r="I38" s="67">
        <f t="shared" si="5"/>
        <v>12148.63</v>
      </c>
      <c r="J38" s="67">
        <f t="shared" si="5"/>
        <v>0</v>
      </c>
      <c r="K38" s="67">
        <f t="shared" si="5"/>
        <v>0</v>
      </c>
      <c r="L38" s="67">
        <f t="shared" si="5"/>
        <v>0</v>
      </c>
      <c r="M38" s="67">
        <f t="shared" si="5"/>
        <v>0</v>
      </c>
      <c r="N38" s="67">
        <f t="shared" si="5"/>
        <v>0</v>
      </c>
      <c r="O38" s="67">
        <f t="shared" si="5"/>
        <v>0</v>
      </c>
      <c r="P38" s="67">
        <f t="shared" si="5"/>
        <v>0</v>
      </c>
      <c r="Q38" s="67">
        <f t="shared" si="5"/>
        <v>1373750</v>
      </c>
      <c r="R38" s="67">
        <f t="shared" si="5"/>
        <v>3062831.806</v>
      </c>
      <c r="S38" s="67">
        <f t="shared" si="5"/>
        <v>0</v>
      </c>
      <c r="T38" s="67">
        <f t="shared" si="5"/>
        <v>0</v>
      </c>
      <c r="U38" s="67">
        <f t="shared" si="5"/>
        <v>0</v>
      </c>
      <c r="V38" s="67">
        <f t="shared" si="5"/>
        <v>0</v>
      </c>
      <c r="W38" s="67">
        <f t="shared" si="5"/>
        <v>36341100</v>
      </c>
      <c r="X38" s="67">
        <f t="shared" si="5"/>
        <v>0</v>
      </c>
      <c r="Y38" s="67">
        <f t="shared" si="5"/>
        <v>0</v>
      </c>
      <c r="Z38" s="67">
        <f t="shared" si="5"/>
        <v>0</v>
      </c>
      <c r="AA38" s="67">
        <f t="shared" si="5"/>
        <v>857142.86</v>
      </c>
      <c r="AB38" s="67">
        <f t="shared" si="5"/>
        <v>0</v>
      </c>
      <c r="AC38" s="67">
        <f t="shared" si="5"/>
        <v>0</v>
      </c>
    </row>
    <row r="39" ht="15.75" customHeight="1">
      <c r="A39" s="1"/>
      <c r="B39" s="3"/>
      <c r="C39" s="68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6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5 D36:E36">
      <formula1>AND(ISNUMBER(D25),(NOT(OR(NOT(ISERROR(DATEVALUE(D25))), AND(ISNUMBER(D25), LEFT(CELL("format", D25))="D")))))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</cols>
  <sheetData>
    <row r="1" ht="15.75" customHeight="1">
      <c r="A1" s="70"/>
      <c r="B1" s="70"/>
      <c r="C1" s="4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</row>
    <row r="2" ht="15.75" customHeight="1">
      <c r="A2" s="70"/>
      <c r="B2" s="70"/>
      <c r="C2" s="70"/>
      <c r="D2" s="72">
        <f>SUM(D4:D35)</f>
        <v>33821507.01</v>
      </c>
      <c r="E2" s="4">
        <f>SUM(F2:AF2)</f>
        <v>33821507.01</v>
      </c>
      <c r="F2" s="72">
        <f t="shared" ref="F2:Y2" si="1">F36</f>
        <v>1500000</v>
      </c>
      <c r="G2" s="72">
        <f t="shared" si="1"/>
        <v>3175000</v>
      </c>
      <c r="H2" s="72">
        <f t="shared" si="1"/>
        <v>0</v>
      </c>
      <c r="I2" s="72">
        <f t="shared" si="1"/>
        <v>0</v>
      </c>
      <c r="J2" s="72">
        <f t="shared" si="1"/>
        <v>0</v>
      </c>
      <c r="K2" s="72">
        <f t="shared" si="1"/>
        <v>0</v>
      </c>
      <c r="L2" s="72">
        <f t="shared" si="1"/>
        <v>0</v>
      </c>
      <c r="M2" s="72">
        <f t="shared" si="1"/>
        <v>29146507.01</v>
      </c>
      <c r="N2" s="72">
        <f t="shared" si="1"/>
        <v>0</v>
      </c>
      <c r="O2" s="72">
        <f t="shared" si="1"/>
        <v>0</v>
      </c>
      <c r="P2" s="72">
        <f t="shared" si="1"/>
        <v>0</v>
      </c>
      <c r="Q2" s="72">
        <f t="shared" si="1"/>
        <v>0</v>
      </c>
      <c r="R2" s="72">
        <f t="shared" si="1"/>
        <v>0</v>
      </c>
      <c r="S2" s="72">
        <f t="shared" si="1"/>
        <v>0</v>
      </c>
      <c r="T2" s="72">
        <f t="shared" si="1"/>
        <v>0</v>
      </c>
      <c r="U2" s="72">
        <f t="shared" si="1"/>
        <v>0</v>
      </c>
      <c r="V2" s="72">
        <f t="shared" si="1"/>
        <v>0</v>
      </c>
      <c r="W2" s="72">
        <f t="shared" si="1"/>
        <v>0</v>
      </c>
      <c r="X2" s="70" t="str">
        <f t="shared" si="1"/>
        <v/>
      </c>
      <c r="Y2" s="70" t="str">
        <f t="shared" si="1"/>
        <v/>
      </c>
      <c r="Z2" s="70"/>
      <c r="AA2" s="70"/>
      <c r="AB2" s="70"/>
      <c r="AC2" s="70"/>
      <c r="AD2" s="70"/>
      <c r="AE2" s="70"/>
      <c r="AF2" s="70"/>
      <c r="AG2" s="70"/>
    </row>
    <row r="3" ht="15.75" customHeight="1">
      <c r="A3" s="70"/>
      <c r="B3" s="70"/>
      <c r="C3" s="70"/>
      <c r="D3" s="73"/>
      <c r="E3" s="70" t="s">
        <v>4</v>
      </c>
      <c r="F3" s="70" t="s">
        <v>30</v>
      </c>
      <c r="G3" s="70" t="s">
        <v>62</v>
      </c>
      <c r="H3" s="70" t="s">
        <v>63</v>
      </c>
      <c r="I3" s="70" t="s">
        <v>64</v>
      </c>
      <c r="J3" s="70" t="s">
        <v>65</v>
      </c>
      <c r="K3" s="70" t="s">
        <v>66</v>
      </c>
      <c r="L3" s="70" t="s">
        <v>67</v>
      </c>
      <c r="M3" s="70" t="s">
        <v>68</v>
      </c>
      <c r="N3" s="70" t="s">
        <v>69</v>
      </c>
      <c r="O3" s="70" t="s">
        <v>70</v>
      </c>
      <c r="P3" s="70" t="s">
        <v>71</v>
      </c>
      <c r="Q3" s="70" t="s">
        <v>65</v>
      </c>
      <c r="R3" s="74" t="s">
        <v>72</v>
      </c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</row>
    <row r="4" ht="15.75" customHeight="1">
      <c r="A4" s="75" t="s">
        <v>73</v>
      </c>
      <c r="B4" s="76"/>
      <c r="C4" s="77" t="s">
        <v>29</v>
      </c>
      <c r="D4" s="78">
        <v>0.0</v>
      </c>
      <c r="E4" s="79">
        <f t="shared" ref="E4:E29" si="2">SUM(F4:W4)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ht="15.75" customHeight="1">
      <c r="A5" s="70" t="s">
        <v>30</v>
      </c>
      <c r="B5" s="76">
        <f>F2</f>
        <v>1500000</v>
      </c>
      <c r="C5" s="80" t="s">
        <v>31</v>
      </c>
      <c r="D5" s="78">
        <v>0.0</v>
      </c>
      <c r="E5" s="79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70"/>
      <c r="Y5" s="70"/>
      <c r="Z5" s="70"/>
      <c r="AA5" s="70"/>
      <c r="AB5" s="70"/>
      <c r="AC5" s="70"/>
      <c r="AD5" s="70"/>
      <c r="AE5" s="70"/>
      <c r="AF5" s="70"/>
      <c r="AG5" s="70"/>
    </row>
    <row r="6" ht="15.75" customHeight="1">
      <c r="A6" s="70" t="s">
        <v>74</v>
      </c>
      <c r="B6" s="72">
        <f>M2</f>
        <v>29146507.01</v>
      </c>
      <c r="C6" s="77" t="s">
        <v>33</v>
      </c>
      <c r="D6" s="78">
        <v>0.0</v>
      </c>
      <c r="E6" s="79">
        <f t="shared" si="2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70"/>
      <c r="Y6" s="70"/>
      <c r="Z6" s="70"/>
      <c r="AA6" s="70"/>
      <c r="AB6" s="70"/>
      <c r="AC6" s="70"/>
      <c r="AD6" s="70"/>
      <c r="AE6" s="70"/>
      <c r="AF6" s="70"/>
      <c r="AG6" s="70"/>
    </row>
    <row r="7" ht="15.75" customHeight="1">
      <c r="A7" s="70" t="s">
        <v>62</v>
      </c>
      <c r="B7" s="81">
        <f>G2</f>
        <v>3175000</v>
      </c>
      <c r="C7" s="80" t="s">
        <v>34</v>
      </c>
      <c r="D7" s="78">
        <v>0.0</v>
      </c>
      <c r="E7" s="79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70"/>
      <c r="Y7" s="70"/>
      <c r="Z7" s="70"/>
      <c r="AA7" s="70"/>
      <c r="AB7" s="70"/>
      <c r="AC7" s="70"/>
      <c r="AD7" s="70"/>
      <c r="AE7" s="70"/>
      <c r="AF7" s="70"/>
      <c r="AG7" s="70"/>
    </row>
    <row r="8" ht="15.75" customHeight="1">
      <c r="A8" s="74" t="s">
        <v>69</v>
      </c>
      <c r="B8" s="81">
        <f>N2</f>
        <v>0</v>
      </c>
      <c r="C8" s="80" t="s">
        <v>35</v>
      </c>
      <c r="D8" s="78">
        <v>0.0</v>
      </c>
      <c r="E8" s="79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70"/>
      <c r="Y8" s="70"/>
      <c r="Z8" s="70"/>
      <c r="AA8" s="70"/>
      <c r="AB8" s="70"/>
      <c r="AC8" s="70"/>
      <c r="AD8" s="70"/>
      <c r="AE8" s="70"/>
      <c r="AF8" s="70"/>
      <c r="AG8" s="70"/>
    </row>
    <row r="9" ht="15.75" customHeight="1">
      <c r="C9" s="77" t="s">
        <v>36</v>
      </c>
      <c r="D9" s="78">
        <v>0.0</v>
      </c>
      <c r="E9" s="79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70"/>
      <c r="Y9" s="70"/>
      <c r="Z9" s="70"/>
      <c r="AA9" s="70"/>
      <c r="AB9" s="70"/>
      <c r="AC9" s="70"/>
      <c r="AD9" s="70"/>
      <c r="AE9" s="70"/>
      <c r="AF9" s="70"/>
      <c r="AG9" s="70"/>
    </row>
    <row r="10" ht="15.75" customHeight="1">
      <c r="A10" s="70" t="s">
        <v>66</v>
      </c>
      <c r="B10" s="33">
        <f>K2</f>
        <v>0</v>
      </c>
      <c r="C10" s="77" t="s">
        <v>75</v>
      </c>
      <c r="D10" s="78">
        <v>0.0</v>
      </c>
      <c r="E10" s="79">
        <f t="shared" si="2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70"/>
      <c r="Y10" s="70"/>
      <c r="Z10" s="70"/>
      <c r="AA10" s="70"/>
      <c r="AB10" s="70"/>
      <c r="AC10" s="70"/>
      <c r="AD10" s="70"/>
      <c r="AE10" s="70"/>
      <c r="AF10" s="70"/>
      <c r="AG10" s="70"/>
    </row>
    <row r="11" ht="15.75" customHeight="1">
      <c r="A11" s="70" t="s">
        <v>68</v>
      </c>
      <c r="B11" s="33">
        <f>R2</f>
        <v>0</v>
      </c>
      <c r="C11" s="77" t="s">
        <v>76</v>
      </c>
      <c r="D11" s="78">
        <v>0.0</v>
      </c>
      <c r="E11" s="79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70"/>
      <c r="Y11" s="70"/>
      <c r="Z11" s="70"/>
      <c r="AA11" s="70"/>
      <c r="AB11" s="70"/>
      <c r="AC11" s="70"/>
      <c r="AD11" s="70"/>
      <c r="AE11" s="70"/>
      <c r="AF11" s="70"/>
      <c r="AG11" s="70"/>
    </row>
    <row r="12" ht="15.75" customHeight="1">
      <c r="A12" s="82" t="s">
        <v>4</v>
      </c>
      <c r="B12" s="83">
        <f>SUM(B5:B11)</f>
        <v>33821507.01</v>
      </c>
      <c r="C12" s="80" t="s">
        <v>41</v>
      </c>
      <c r="D12" s="78">
        <v>0.0</v>
      </c>
      <c r="E12" s="79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70"/>
      <c r="Y12" s="70"/>
      <c r="Z12" s="70"/>
      <c r="AA12" s="70"/>
      <c r="AB12" s="70"/>
      <c r="AC12" s="70"/>
      <c r="AD12" s="70"/>
      <c r="AE12" s="70"/>
      <c r="AF12" s="70"/>
      <c r="AG12" s="70"/>
    </row>
    <row r="13" ht="15.75" customHeight="1">
      <c r="A13" s="84"/>
      <c r="B13" s="85">
        <f>B5</f>
        <v>1500000</v>
      </c>
      <c r="C13" s="77" t="s">
        <v>42</v>
      </c>
      <c r="D13" s="78">
        <v>0.0</v>
      </c>
      <c r="E13" s="79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70"/>
      <c r="Y13" s="70"/>
      <c r="Z13" s="70"/>
      <c r="AA13" s="70"/>
      <c r="AB13" s="70"/>
      <c r="AC13" s="70"/>
      <c r="AD13" s="70"/>
      <c r="AE13" s="70"/>
      <c r="AF13" s="70"/>
      <c r="AG13" s="70"/>
    </row>
    <row r="14" ht="15.75" customHeight="1">
      <c r="A14" s="75"/>
      <c r="B14" s="86">
        <f>B12-B13</f>
        <v>32321507.01</v>
      </c>
      <c r="C14" s="80" t="s">
        <v>43</v>
      </c>
      <c r="D14" s="78">
        <v>0.0</v>
      </c>
      <c r="E14" s="79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70"/>
      <c r="Y14" s="70"/>
      <c r="Z14" s="70"/>
      <c r="AA14" s="70"/>
      <c r="AB14" s="70"/>
      <c r="AC14" s="70"/>
      <c r="AD14" s="70"/>
      <c r="AE14" s="70"/>
      <c r="AF14" s="70"/>
      <c r="AG14" s="70"/>
    </row>
    <row r="15" ht="15.75" customHeight="1">
      <c r="C15" s="77" t="s">
        <v>44</v>
      </c>
      <c r="D15" s="78">
        <v>0.0</v>
      </c>
      <c r="E15" s="79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70"/>
      <c r="Y15" s="70"/>
      <c r="Z15" s="70"/>
      <c r="AA15" s="70"/>
      <c r="AB15" s="70"/>
      <c r="AC15" s="70"/>
      <c r="AD15" s="70"/>
      <c r="AE15" s="70"/>
      <c r="AF15" s="70"/>
      <c r="AG15" s="70"/>
    </row>
    <row r="16" ht="15.75" customHeight="1">
      <c r="A16" s="70"/>
      <c r="B16" s="70"/>
      <c r="C16" s="77" t="s">
        <v>45</v>
      </c>
      <c r="D16" s="78">
        <v>0.0</v>
      </c>
      <c r="E16" s="79">
        <f t="shared" si="2"/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70"/>
      <c r="Y16" s="70"/>
      <c r="Z16" s="70"/>
      <c r="AA16" s="70"/>
      <c r="AB16" s="70"/>
      <c r="AC16" s="70"/>
      <c r="AD16" s="70"/>
      <c r="AE16" s="70"/>
      <c r="AF16" s="70"/>
      <c r="AG16" s="70"/>
    </row>
    <row r="17" ht="15.75" customHeight="1">
      <c r="A17" s="70"/>
      <c r="B17" s="87"/>
      <c r="C17" s="80" t="s">
        <v>46</v>
      </c>
      <c r="D17" s="78">
        <v>0.0</v>
      </c>
      <c r="E17" s="79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70"/>
      <c r="Y17" s="70"/>
      <c r="Z17" s="70"/>
      <c r="AA17" s="70"/>
      <c r="AB17" s="70"/>
      <c r="AC17" s="70"/>
      <c r="AD17" s="70"/>
      <c r="AE17" s="70"/>
      <c r="AF17" s="70"/>
      <c r="AG17" s="70"/>
    </row>
    <row r="18" ht="15.75" customHeight="1">
      <c r="A18" s="70"/>
      <c r="B18" s="88"/>
      <c r="C18" s="77" t="s">
        <v>47</v>
      </c>
      <c r="D18" s="89">
        <v>3820000.0</v>
      </c>
      <c r="E18" s="79">
        <f t="shared" si="2"/>
        <v>3820000</v>
      </c>
      <c r="F18" s="4"/>
      <c r="G18" s="4"/>
      <c r="H18" s="4"/>
      <c r="I18" s="4"/>
      <c r="J18" s="4"/>
      <c r="K18" s="4"/>
      <c r="L18" s="4"/>
      <c r="M18" s="43">
        <v>3820000.0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70"/>
      <c r="Y18" s="70"/>
      <c r="Z18" s="70"/>
      <c r="AA18" s="70"/>
      <c r="AB18" s="70"/>
      <c r="AC18" s="70"/>
      <c r="AD18" s="70"/>
      <c r="AE18" s="70"/>
      <c r="AF18" s="70"/>
      <c r="AG18" s="70"/>
    </row>
    <row r="19" ht="15.75" customHeight="1">
      <c r="A19" s="70"/>
      <c r="B19" s="70"/>
      <c r="C19" s="77" t="s">
        <v>48</v>
      </c>
      <c r="D19" s="78">
        <v>0.0</v>
      </c>
      <c r="E19" s="79">
        <f t="shared" si="2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70"/>
      <c r="Y19" s="70"/>
      <c r="Z19" s="70"/>
      <c r="AA19" s="70"/>
      <c r="AB19" s="70"/>
      <c r="AC19" s="70"/>
      <c r="AD19" s="70"/>
      <c r="AE19" s="70"/>
      <c r="AF19" s="70"/>
      <c r="AG19" s="70"/>
    </row>
    <row r="20" ht="15.75" customHeight="1">
      <c r="A20" s="70"/>
      <c r="B20" s="70"/>
      <c r="C20" s="77" t="s">
        <v>49</v>
      </c>
      <c r="D20" s="90">
        <v>3175000.0</v>
      </c>
      <c r="E20" s="79">
        <f t="shared" si="2"/>
        <v>3175000</v>
      </c>
      <c r="F20" s="4"/>
      <c r="G20" s="50">
        <v>3175000.0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70"/>
      <c r="Y20" s="70"/>
      <c r="Z20" s="70"/>
      <c r="AA20" s="70"/>
      <c r="AB20" s="70"/>
      <c r="AC20" s="70"/>
      <c r="AD20" s="70"/>
      <c r="AE20" s="70"/>
      <c r="AF20" s="70"/>
      <c r="AG20" s="70"/>
    </row>
    <row r="21" ht="15.75" customHeight="1">
      <c r="A21" s="70"/>
      <c r="B21" s="76"/>
      <c r="C21" s="77" t="s">
        <v>50</v>
      </c>
      <c r="D21" s="78">
        <v>0.0</v>
      </c>
      <c r="E21" s="79">
        <f t="shared" si="2"/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70"/>
      <c r="Y21" s="70"/>
      <c r="Z21" s="70"/>
      <c r="AA21" s="70"/>
      <c r="AB21" s="70"/>
      <c r="AC21" s="70"/>
      <c r="AD21" s="70"/>
      <c r="AE21" s="70"/>
      <c r="AF21" s="70"/>
      <c r="AG21" s="70"/>
    </row>
    <row r="22" ht="15.75" customHeight="1">
      <c r="A22" s="70"/>
      <c r="B22" s="91"/>
      <c r="C22" s="77" t="s">
        <v>51</v>
      </c>
      <c r="D22" s="92">
        <v>1500000.0</v>
      </c>
      <c r="E22" s="79">
        <f t="shared" si="2"/>
        <v>1500000</v>
      </c>
      <c r="F22" s="93">
        <v>1500000.0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70"/>
      <c r="Y22" s="70"/>
      <c r="Z22" s="70"/>
      <c r="AA22" s="70"/>
      <c r="AB22" s="70"/>
      <c r="AC22" s="70"/>
      <c r="AD22" s="70"/>
      <c r="AE22" s="70"/>
      <c r="AF22" s="70"/>
      <c r="AG22" s="70"/>
    </row>
    <row r="23" ht="15.75" customHeight="1">
      <c r="A23" s="70"/>
      <c r="B23" s="94"/>
      <c r="C23" s="95" t="s">
        <v>52</v>
      </c>
      <c r="D23" s="78">
        <v>0.0</v>
      </c>
      <c r="E23" s="79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70"/>
      <c r="Y23" s="70"/>
      <c r="Z23" s="70"/>
      <c r="AA23" s="70"/>
      <c r="AB23" s="70"/>
      <c r="AC23" s="70"/>
      <c r="AD23" s="70"/>
      <c r="AE23" s="70"/>
      <c r="AF23" s="70"/>
      <c r="AG23" s="70"/>
    </row>
    <row r="24" ht="15.75" customHeight="1">
      <c r="A24" s="4"/>
      <c r="B24" s="76"/>
      <c r="C24" s="77" t="s">
        <v>53</v>
      </c>
      <c r="D24" s="78">
        <v>0.0</v>
      </c>
      <c r="E24" s="79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70"/>
      <c r="Y24" s="70"/>
      <c r="Z24" s="70"/>
      <c r="AA24" s="70"/>
      <c r="AB24" s="70"/>
      <c r="AC24" s="70"/>
      <c r="AD24" s="70"/>
      <c r="AE24" s="70"/>
      <c r="AF24" s="70"/>
      <c r="AG24" s="70"/>
    </row>
    <row r="25" ht="15.75" customHeight="1">
      <c r="A25" s="50"/>
      <c r="B25" s="76"/>
      <c r="C25" s="70"/>
      <c r="D25" s="78">
        <v>0.0</v>
      </c>
      <c r="E25" s="79">
        <f t="shared" si="2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70"/>
      <c r="Y25" s="70"/>
      <c r="Z25" s="70"/>
      <c r="AA25" s="70"/>
      <c r="AB25" s="70"/>
      <c r="AC25" s="70"/>
      <c r="AD25" s="70"/>
      <c r="AE25" s="70"/>
      <c r="AF25" s="70"/>
      <c r="AG25" s="70"/>
    </row>
    <row r="26" ht="15.75" customHeight="1">
      <c r="A26" s="96"/>
      <c r="B26" s="76"/>
      <c r="C26" s="77" t="s">
        <v>54</v>
      </c>
      <c r="D26" s="78">
        <v>0.0</v>
      </c>
      <c r="E26" s="79">
        <f t="shared" si="2"/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70"/>
      <c r="Y26" s="70"/>
      <c r="Z26" s="70"/>
      <c r="AA26" s="70"/>
      <c r="AB26" s="70"/>
      <c r="AC26" s="70"/>
      <c r="AD26" s="70"/>
      <c r="AE26" s="70"/>
      <c r="AF26" s="70"/>
      <c r="AG26" s="70"/>
    </row>
    <row r="27" ht="14.25" customHeight="1">
      <c r="A27" s="50"/>
      <c r="B27" s="70"/>
      <c r="C27" s="77" t="s">
        <v>55</v>
      </c>
      <c r="D27" s="78">
        <v>0.0</v>
      </c>
      <c r="E27" s="79">
        <f t="shared" si="2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70"/>
      <c r="Y27" s="70"/>
      <c r="Z27" s="70"/>
      <c r="AA27" s="70"/>
      <c r="AB27" s="70"/>
      <c r="AC27" s="70"/>
      <c r="AD27" s="70"/>
      <c r="AE27" s="70"/>
      <c r="AF27" s="70"/>
      <c r="AG27" s="70"/>
    </row>
    <row r="28" ht="15.75" customHeight="1">
      <c r="A28" s="50"/>
      <c r="B28" s="97"/>
      <c r="C28" s="80" t="s">
        <v>56</v>
      </c>
      <c r="D28" s="78">
        <v>0.0</v>
      </c>
      <c r="E28" s="79">
        <f t="shared" si="2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70"/>
      <c r="Y28" s="70"/>
      <c r="Z28" s="70"/>
      <c r="AA28" s="70"/>
      <c r="AB28" s="70"/>
      <c r="AC28" s="70"/>
      <c r="AD28" s="70"/>
      <c r="AE28" s="70"/>
      <c r="AF28" s="70"/>
      <c r="AG28" s="70"/>
    </row>
    <row r="29" ht="15.75" customHeight="1">
      <c r="A29" s="50"/>
      <c r="B29" s="76"/>
      <c r="C29" s="80" t="s">
        <v>57</v>
      </c>
      <c r="D29" s="78">
        <v>0.0</v>
      </c>
      <c r="E29" s="79">
        <f t="shared" si="2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70"/>
      <c r="Y29" s="70"/>
      <c r="Z29" s="70"/>
      <c r="AA29" s="70"/>
      <c r="AB29" s="70"/>
      <c r="AC29" s="70"/>
      <c r="AD29" s="70"/>
      <c r="AE29" s="70"/>
      <c r="AF29" s="70"/>
      <c r="AG29" s="70"/>
    </row>
    <row r="30" ht="15.75" customHeight="1">
      <c r="A30" s="70"/>
      <c r="B30" s="76"/>
      <c r="C30" s="77" t="s">
        <v>47</v>
      </c>
      <c r="D30" s="78">
        <f>13051*C36
</f>
        <v>17534149.01</v>
      </c>
      <c r="E30" s="79">
        <f>SUM(G30:W30)</f>
        <v>17534149.01</v>
      </c>
      <c r="F30" s="4"/>
      <c r="G30" s="4"/>
      <c r="H30" s="4"/>
      <c r="I30" s="4"/>
      <c r="J30" s="4"/>
      <c r="K30" s="4"/>
      <c r="L30" s="4"/>
      <c r="M30" s="4">
        <f>13051*C36
</f>
        <v>17534149.01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70"/>
      <c r="Y30" s="70"/>
      <c r="Z30" s="70"/>
      <c r="AA30" s="70"/>
      <c r="AB30" s="70"/>
      <c r="AC30" s="70"/>
      <c r="AD30" s="70"/>
      <c r="AE30" s="70"/>
      <c r="AF30" s="70"/>
      <c r="AG30" s="70"/>
    </row>
    <row r="31" ht="13.5" customHeight="1">
      <c r="A31" s="70"/>
      <c r="B31" s="76"/>
      <c r="C31" s="77" t="s">
        <v>58</v>
      </c>
      <c r="D31" s="78">
        <v>0.0</v>
      </c>
      <c r="E31" s="79">
        <f>SUM(F31:W31)</f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70"/>
      <c r="Y31" s="70"/>
      <c r="Z31" s="70"/>
      <c r="AA31" s="70"/>
      <c r="AB31" s="70"/>
      <c r="AC31" s="70"/>
      <c r="AD31" s="70"/>
      <c r="AE31" s="70"/>
      <c r="AF31" s="70"/>
      <c r="AG31" s="70"/>
    </row>
    <row r="32" ht="15.75" customHeight="1">
      <c r="A32" s="70"/>
      <c r="B32" s="76"/>
      <c r="C32" s="77" t="s">
        <v>36</v>
      </c>
      <c r="D32" s="78">
        <v>0.0</v>
      </c>
      <c r="E32" s="79">
        <f>SUM(G32:W32)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70"/>
      <c r="Y32" s="70"/>
      <c r="Z32" s="70"/>
      <c r="AA32" s="70"/>
      <c r="AB32" s="70"/>
      <c r="AC32" s="70"/>
      <c r="AD32" s="70"/>
      <c r="AE32" s="70"/>
      <c r="AF32" s="70"/>
      <c r="AG32" s="70"/>
    </row>
    <row r="33" ht="15.75" customHeight="1">
      <c r="A33" s="70"/>
      <c r="B33" s="76"/>
      <c r="C33" s="77" t="s">
        <v>59</v>
      </c>
      <c r="D33" s="78">
        <v>0.0</v>
      </c>
      <c r="E33" s="79">
        <f t="shared" ref="E33:E35" si="3">SUM(F33:W33)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70"/>
      <c r="Y33" s="70"/>
      <c r="Z33" s="70"/>
      <c r="AA33" s="70"/>
      <c r="AB33" s="70"/>
      <c r="AC33" s="70"/>
      <c r="AD33" s="70"/>
      <c r="AE33" s="70"/>
      <c r="AF33" s="70"/>
      <c r="AG33" s="70"/>
    </row>
    <row r="34" ht="15.75" customHeight="1">
      <c r="A34" s="70"/>
      <c r="B34" s="76"/>
      <c r="C34" s="77" t="s">
        <v>60</v>
      </c>
      <c r="D34" s="78">
        <v>0.0</v>
      </c>
      <c r="E34" s="79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0"/>
      <c r="Y34" s="70"/>
      <c r="Z34" s="70"/>
      <c r="AA34" s="70"/>
      <c r="AB34" s="70"/>
      <c r="AC34" s="70"/>
      <c r="AD34" s="70"/>
      <c r="AE34" s="70"/>
      <c r="AF34" s="70"/>
      <c r="AG34" s="70"/>
    </row>
    <row r="35" ht="15.75" customHeight="1">
      <c r="A35" s="70"/>
      <c r="B35" s="76"/>
      <c r="C35" s="80" t="s">
        <v>61</v>
      </c>
      <c r="D35" s="78">
        <f>5800*C36</f>
        <v>7792358</v>
      </c>
      <c r="E35" s="79">
        <f t="shared" si="3"/>
        <v>7792358</v>
      </c>
      <c r="F35" s="4"/>
      <c r="G35" s="4"/>
      <c r="H35" s="4"/>
      <c r="I35" s="4"/>
      <c r="J35" s="4"/>
      <c r="K35" s="4"/>
      <c r="L35" s="4"/>
      <c r="M35" s="4">
        <f>5800*C36</f>
        <v>7792358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70"/>
      <c r="Y35" s="70"/>
      <c r="Z35" s="70"/>
      <c r="AA35" s="70"/>
      <c r="AB35" s="70"/>
      <c r="AC35" s="70"/>
      <c r="AD35" s="70"/>
      <c r="AE35" s="70"/>
      <c r="AF35" s="70"/>
      <c r="AG35" s="70"/>
    </row>
    <row r="36" ht="15.75" customHeight="1">
      <c r="A36" s="70"/>
      <c r="B36" s="76"/>
      <c r="C36" s="98">
        <f>'Cash Report'!E31</f>
        <v>1343.51</v>
      </c>
      <c r="D36" s="99">
        <f t="shared" ref="D36:W36" si="4">SUM(D4:D35)</f>
        <v>33821507.01</v>
      </c>
      <c r="E36" s="99">
        <f t="shared" si="4"/>
        <v>33821507.01</v>
      </c>
      <c r="F36" s="99">
        <f t="shared" si="4"/>
        <v>1500000</v>
      </c>
      <c r="G36" s="99">
        <f t="shared" si="4"/>
        <v>3175000</v>
      </c>
      <c r="H36" s="99">
        <f t="shared" si="4"/>
        <v>0</v>
      </c>
      <c r="I36" s="99">
        <f t="shared" si="4"/>
        <v>0</v>
      </c>
      <c r="J36" s="99">
        <f t="shared" si="4"/>
        <v>0</v>
      </c>
      <c r="K36" s="99">
        <f t="shared" si="4"/>
        <v>0</v>
      </c>
      <c r="L36" s="99">
        <f t="shared" si="4"/>
        <v>0</v>
      </c>
      <c r="M36" s="99">
        <f t="shared" si="4"/>
        <v>29146507.01</v>
      </c>
      <c r="N36" s="99">
        <f t="shared" si="4"/>
        <v>0</v>
      </c>
      <c r="O36" s="99">
        <f t="shared" si="4"/>
        <v>0</v>
      </c>
      <c r="P36" s="99">
        <f t="shared" si="4"/>
        <v>0</v>
      </c>
      <c r="Q36" s="99">
        <f t="shared" si="4"/>
        <v>0</v>
      </c>
      <c r="R36" s="99">
        <f t="shared" si="4"/>
        <v>0</v>
      </c>
      <c r="S36" s="99">
        <f t="shared" si="4"/>
        <v>0</v>
      </c>
      <c r="T36" s="99">
        <f t="shared" si="4"/>
        <v>0</v>
      </c>
      <c r="U36" s="99">
        <f t="shared" si="4"/>
        <v>0</v>
      </c>
      <c r="V36" s="99">
        <f t="shared" si="4"/>
        <v>0</v>
      </c>
      <c r="W36" s="99">
        <f t="shared" si="4"/>
        <v>0</v>
      </c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 ht="15.75" customHeight="1">
      <c r="A37" s="70"/>
      <c r="B37" s="76"/>
      <c r="C37" s="70"/>
      <c r="D37" s="10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</row>
    <row r="38" ht="15.75" customHeight="1">
      <c r="A38" s="70"/>
      <c r="B38" s="70"/>
      <c r="C38" s="70"/>
      <c r="D38" s="73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</row>
    <row r="39" ht="15.75" customHeight="1">
      <c r="A39" s="70"/>
      <c r="B39" s="70"/>
      <c r="C39" s="70"/>
      <c r="D39" s="73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</row>
    <row r="40" ht="15.75" customHeight="1">
      <c r="A40" s="70"/>
      <c r="B40" s="70"/>
      <c r="C40" s="70"/>
      <c r="D40" s="73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</row>
    <row r="41" ht="15.75" customHeight="1">
      <c r="A41" s="70"/>
      <c r="B41" s="70"/>
      <c r="C41" s="70"/>
      <c r="D41" s="73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</row>
    <row r="42" ht="15.75" customHeight="1">
      <c r="A42" s="70"/>
      <c r="B42" s="70"/>
      <c r="C42" s="70"/>
      <c r="D42" s="73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</row>
    <row r="43" ht="15.75" customHeight="1">
      <c r="A43" s="70"/>
      <c r="B43" s="70"/>
      <c r="C43" s="70"/>
      <c r="D43" s="73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</row>
    <row r="44" ht="15.75" customHeight="1">
      <c r="A44" s="70"/>
      <c r="B44" s="70"/>
      <c r="C44" s="70"/>
      <c r="D44" s="73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</row>
    <row r="45" ht="15.75" customHeight="1">
      <c r="A45" s="70"/>
      <c r="B45" s="70"/>
      <c r="C45" s="70"/>
      <c r="D45" s="73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</row>
    <row r="46" ht="15.75" customHeight="1">
      <c r="A46" s="70"/>
      <c r="B46" s="70"/>
      <c r="C46" s="70"/>
      <c r="D46" s="73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</row>
    <row r="47" ht="15.75" customHeight="1">
      <c r="A47" s="70"/>
      <c r="B47" s="70"/>
      <c r="C47" s="70"/>
      <c r="D47" s="73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</row>
    <row r="48" ht="15.75" customHeight="1">
      <c r="A48" s="70"/>
      <c r="B48" s="70"/>
      <c r="C48" s="70"/>
      <c r="D48" s="73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</row>
    <row r="49" ht="15.75" customHeight="1">
      <c r="A49" s="70"/>
      <c r="B49" s="70"/>
      <c r="C49" s="70"/>
      <c r="D49" s="73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</row>
    <row r="50" ht="15.75" customHeight="1">
      <c r="A50" s="70"/>
      <c r="B50" s="70"/>
      <c r="C50" s="70"/>
      <c r="D50" s="73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</row>
    <row r="51" ht="15.75" customHeight="1">
      <c r="A51" s="70"/>
      <c r="B51" s="70"/>
      <c r="C51" s="70"/>
      <c r="D51" s="73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</row>
    <row r="52" ht="15.75" customHeight="1">
      <c r="A52" s="70"/>
      <c r="B52" s="70"/>
      <c r="C52" s="70"/>
      <c r="D52" s="73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</row>
    <row r="53" ht="15.75" customHeight="1">
      <c r="A53" s="70"/>
      <c r="B53" s="70"/>
      <c r="C53" s="70"/>
      <c r="D53" s="73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</row>
    <row r="54" ht="15.75" customHeight="1">
      <c r="A54" s="70"/>
      <c r="B54" s="70"/>
      <c r="C54" s="70"/>
      <c r="D54" s="73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</row>
    <row r="55" ht="15.75" customHeight="1">
      <c r="A55" s="70"/>
      <c r="B55" s="70"/>
      <c r="C55" s="70"/>
      <c r="D55" s="73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</row>
    <row r="56" ht="15.75" customHeight="1">
      <c r="A56" s="70"/>
      <c r="B56" s="70"/>
      <c r="C56" s="70"/>
      <c r="D56" s="73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</row>
    <row r="57" ht="15.75" customHeight="1">
      <c r="A57" s="70"/>
      <c r="B57" s="70"/>
      <c r="C57" s="70"/>
      <c r="D57" s="73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 ht="15.75" customHeight="1">
      <c r="A58" s="70"/>
      <c r="B58" s="70"/>
      <c r="C58" s="70"/>
      <c r="D58" s="73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</row>
    <row r="59" ht="15.75" customHeight="1">
      <c r="A59" s="70"/>
      <c r="B59" s="70"/>
      <c r="C59" s="70"/>
      <c r="D59" s="73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</row>
    <row r="60" ht="15.75" customHeight="1">
      <c r="A60" s="70"/>
      <c r="B60" s="70"/>
      <c r="C60" s="70"/>
      <c r="D60" s="73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</row>
    <row r="61" ht="15.75" customHeight="1">
      <c r="A61" s="70"/>
      <c r="B61" s="70"/>
      <c r="C61" s="70"/>
      <c r="D61" s="73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</row>
    <row r="62" ht="15.75" customHeight="1">
      <c r="A62" s="70"/>
      <c r="B62" s="70"/>
      <c r="C62" s="70"/>
      <c r="D62" s="73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ht="15.75" customHeight="1">
      <c r="A63" s="70"/>
      <c r="B63" s="70"/>
      <c r="C63" s="70"/>
      <c r="D63" s="73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</row>
    <row r="64" ht="15.75" customHeight="1">
      <c r="A64" s="70"/>
      <c r="B64" s="70"/>
      <c r="C64" s="70"/>
      <c r="D64" s="73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</row>
    <row r="65" ht="15.75" customHeight="1">
      <c r="A65" s="70"/>
      <c r="B65" s="70"/>
      <c r="C65" s="70"/>
      <c r="D65" s="73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</row>
    <row r="66" ht="15.75" customHeight="1">
      <c r="A66" s="70"/>
      <c r="B66" s="70"/>
      <c r="C66" s="70"/>
      <c r="D66" s="73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</row>
    <row r="67" ht="15.75" customHeight="1">
      <c r="A67" s="70"/>
      <c r="B67" s="70"/>
      <c r="C67" s="70"/>
      <c r="D67" s="73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</row>
    <row r="68" ht="15.75" customHeight="1">
      <c r="A68" s="70"/>
      <c r="B68" s="70"/>
      <c r="C68" s="70"/>
      <c r="D68" s="73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</row>
    <row r="69" ht="15.75" customHeight="1">
      <c r="A69" s="70"/>
      <c r="B69" s="70"/>
      <c r="C69" s="70"/>
      <c r="D69" s="73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</row>
    <row r="70" ht="15.75" customHeight="1">
      <c r="A70" s="70"/>
      <c r="B70" s="70"/>
      <c r="C70" s="70"/>
      <c r="D70" s="73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</row>
    <row r="71" ht="15.75" customHeight="1">
      <c r="A71" s="70"/>
      <c r="B71" s="70"/>
      <c r="C71" s="70"/>
      <c r="D71" s="73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</row>
    <row r="72" ht="15.75" customHeight="1">
      <c r="A72" s="70"/>
      <c r="B72" s="70"/>
      <c r="C72" s="70"/>
      <c r="D72" s="73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</row>
    <row r="73" ht="15.75" customHeight="1">
      <c r="A73" s="70"/>
      <c r="B73" s="70"/>
      <c r="C73" s="70"/>
      <c r="D73" s="73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</row>
    <row r="74" ht="15.75" customHeight="1">
      <c r="A74" s="70"/>
      <c r="B74" s="70"/>
      <c r="C74" s="70"/>
      <c r="D74" s="73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</row>
    <row r="75" ht="15.75" customHeight="1">
      <c r="A75" s="70"/>
      <c r="B75" s="70"/>
      <c r="C75" s="70"/>
      <c r="D75" s="73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</row>
    <row r="76" ht="15.75" customHeight="1">
      <c r="A76" s="70"/>
      <c r="B76" s="70"/>
      <c r="C76" s="70"/>
      <c r="D76" s="73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</row>
    <row r="77" ht="15.75" customHeight="1">
      <c r="A77" s="70"/>
      <c r="B77" s="70"/>
      <c r="C77" s="70"/>
      <c r="D77" s="73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</row>
    <row r="78" ht="15.75" customHeight="1">
      <c r="A78" s="70"/>
      <c r="B78" s="70"/>
      <c r="C78" s="70"/>
      <c r="D78" s="73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</row>
    <row r="79" ht="15.75" customHeight="1">
      <c r="A79" s="70"/>
      <c r="B79" s="70"/>
      <c r="C79" s="70"/>
      <c r="D79" s="73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</row>
    <row r="80" ht="15.75" customHeight="1">
      <c r="A80" s="70"/>
      <c r="B80" s="70"/>
      <c r="C80" s="70"/>
      <c r="D80" s="73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</row>
    <row r="81" ht="15.75" customHeight="1">
      <c r="A81" s="70"/>
      <c r="B81" s="70"/>
      <c r="C81" s="70"/>
      <c r="D81" s="73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</row>
    <row r="82" ht="15.75" customHeight="1">
      <c r="A82" s="70"/>
      <c r="B82" s="70"/>
      <c r="C82" s="70"/>
      <c r="D82" s="73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</row>
    <row r="83" ht="15.75" customHeight="1">
      <c r="A83" s="70"/>
      <c r="B83" s="70"/>
      <c r="C83" s="70"/>
      <c r="D83" s="73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</row>
    <row r="84" ht="15.75" customHeight="1">
      <c r="A84" s="70"/>
      <c r="B84" s="70"/>
      <c r="C84" s="70"/>
      <c r="D84" s="73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</row>
    <row r="85" ht="15.75" customHeight="1">
      <c r="A85" s="70"/>
      <c r="B85" s="70"/>
      <c r="C85" s="70"/>
      <c r="D85" s="73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</row>
    <row r="86" ht="15.75" customHeight="1">
      <c r="A86" s="70"/>
      <c r="B86" s="70"/>
      <c r="C86" s="70"/>
      <c r="D86" s="73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</row>
    <row r="87" ht="15.75" customHeight="1">
      <c r="A87" s="70"/>
      <c r="B87" s="70"/>
      <c r="C87" s="70"/>
      <c r="D87" s="73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</row>
    <row r="88" ht="15.75" customHeight="1">
      <c r="A88" s="70"/>
      <c r="B88" s="70"/>
      <c r="C88" s="70"/>
      <c r="D88" s="73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</row>
    <row r="89" ht="15.75" customHeight="1">
      <c r="A89" s="70"/>
      <c r="B89" s="70"/>
      <c r="C89" s="70"/>
      <c r="D89" s="73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</row>
    <row r="90" ht="15.75" customHeight="1">
      <c r="A90" s="70"/>
      <c r="B90" s="70"/>
      <c r="C90" s="70"/>
      <c r="D90" s="73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</row>
    <row r="91" ht="15.75" customHeight="1">
      <c r="A91" s="70"/>
      <c r="B91" s="70"/>
      <c r="C91" s="70"/>
      <c r="D91" s="73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</row>
    <row r="92" ht="15.75" customHeight="1">
      <c r="A92" s="70"/>
      <c r="B92" s="70"/>
      <c r="C92" s="70"/>
      <c r="D92" s="73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</row>
    <row r="93" ht="15.75" customHeight="1">
      <c r="A93" s="70"/>
      <c r="B93" s="70"/>
      <c r="C93" s="70"/>
      <c r="D93" s="73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</row>
    <row r="94" ht="15.75" customHeight="1">
      <c r="A94" s="70"/>
      <c r="B94" s="70"/>
      <c r="C94" s="70"/>
      <c r="D94" s="73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</row>
    <row r="95" ht="15.75" customHeight="1">
      <c r="A95" s="70"/>
      <c r="B95" s="70"/>
      <c r="C95" s="70"/>
      <c r="D95" s="73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</row>
    <row r="96" ht="15.75" customHeight="1">
      <c r="A96" s="70"/>
      <c r="B96" s="70"/>
      <c r="C96" s="70"/>
      <c r="D96" s="73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</row>
    <row r="97" ht="15.75" customHeight="1">
      <c r="A97" s="70"/>
      <c r="B97" s="70"/>
      <c r="C97" s="70"/>
      <c r="D97" s="73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</row>
    <row r="98" ht="15.75" customHeight="1">
      <c r="A98" s="70"/>
      <c r="B98" s="70"/>
      <c r="C98" s="70"/>
      <c r="D98" s="73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</row>
    <row r="99" ht="15.75" customHeight="1">
      <c r="A99" s="70"/>
      <c r="B99" s="70"/>
      <c r="C99" s="70"/>
      <c r="D99" s="73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</row>
    <row r="100" ht="15.75" customHeight="1">
      <c r="A100" s="70"/>
      <c r="B100" s="70"/>
      <c r="C100" s="70"/>
      <c r="D100" s="73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</row>
    <row r="101" ht="15.75" customHeight="1">
      <c r="A101" s="70"/>
      <c r="B101" s="70"/>
      <c r="C101" s="70"/>
      <c r="D101" s="73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</row>
    <row r="102" ht="15.75" customHeight="1">
      <c r="A102" s="70"/>
      <c r="B102" s="70"/>
      <c r="C102" s="70"/>
      <c r="D102" s="73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</row>
    <row r="103" ht="15.75" customHeight="1">
      <c r="A103" s="70"/>
      <c r="B103" s="70"/>
      <c r="C103" s="70"/>
      <c r="D103" s="73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</row>
    <row r="104" ht="15.75" customHeight="1">
      <c r="A104" s="70"/>
      <c r="B104" s="70"/>
      <c r="C104" s="70"/>
      <c r="D104" s="73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</row>
    <row r="105" ht="15.75" customHeight="1">
      <c r="A105" s="70"/>
      <c r="B105" s="70"/>
      <c r="C105" s="70"/>
      <c r="D105" s="73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</row>
    <row r="106" ht="15.75" customHeight="1">
      <c r="A106" s="70"/>
      <c r="B106" s="70"/>
      <c r="C106" s="70"/>
      <c r="D106" s="73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</row>
    <row r="107" ht="15.75" customHeight="1">
      <c r="A107" s="70"/>
      <c r="B107" s="70"/>
      <c r="C107" s="70"/>
      <c r="D107" s="73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</row>
    <row r="108" ht="15.75" customHeight="1">
      <c r="A108" s="70"/>
      <c r="B108" s="70"/>
      <c r="C108" s="70"/>
      <c r="D108" s="73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</row>
    <row r="109" ht="15.75" customHeight="1">
      <c r="A109" s="70"/>
      <c r="B109" s="70"/>
      <c r="C109" s="70"/>
      <c r="D109" s="73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</row>
    <row r="110" ht="15.75" customHeight="1">
      <c r="A110" s="70"/>
      <c r="B110" s="70"/>
      <c r="C110" s="70"/>
      <c r="D110" s="73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</row>
    <row r="111" ht="15.75" customHeight="1">
      <c r="A111" s="70"/>
      <c r="B111" s="70"/>
      <c r="C111" s="70"/>
      <c r="D111" s="73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</row>
    <row r="112" ht="15.75" customHeight="1">
      <c r="A112" s="70"/>
      <c r="B112" s="70"/>
      <c r="C112" s="70"/>
      <c r="D112" s="73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</row>
    <row r="113" ht="15.75" customHeight="1">
      <c r="A113" s="70"/>
      <c r="B113" s="70"/>
      <c r="C113" s="70"/>
      <c r="D113" s="73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</row>
    <row r="114" ht="15.75" customHeight="1">
      <c r="A114" s="70"/>
      <c r="B114" s="70"/>
      <c r="C114" s="70"/>
      <c r="D114" s="73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</row>
    <row r="115" ht="15.75" customHeight="1">
      <c r="A115" s="70"/>
      <c r="B115" s="70"/>
      <c r="C115" s="70"/>
      <c r="D115" s="73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</row>
    <row r="116" ht="15.75" customHeight="1">
      <c r="A116" s="70"/>
      <c r="B116" s="70"/>
      <c r="C116" s="70"/>
      <c r="D116" s="73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</row>
    <row r="117" ht="15.75" customHeight="1">
      <c r="A117" s="70"/>
      <c r="B117" s="70"/>
      <c r="C117" s="70"/>
      <c r="D117" s="73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</row>
    <row r="118" ht="15.75" customHeight="1">
      <c r="A118" s="70"/>
      <c r="B118" s="70"/>
      <c r="C118" s="70"/>
      <c r="D118" s="73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</row>
    <row r="119" ht="15.75" customHeight="1">
      <c r="A119" s="70"/>
      <c r="B119" s="70"/>
      <c r="C119" s="70"/>
      <c r="D119" s="73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</row>
    <row r="120" ht="15.75" customHeight="1">
      <c r="A120" s="70"/>
      <c r="B120" s="70"/>
      <c r="C120" s="70"/>
      <c r="D120" s="73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</row>
    <row r="121" ht="15.75" customHeight="1">
      <c r="A121" s="70"/>
      <c r="B121" s="70"/>
      <c r="C121" s="70"/>
      <c r="D121" s="73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</row>
    <row r="122" ht="15.75" customHeight="1">
      <c r="A122" s="70"/>
      <c r="B122" s="70"/>
      <c r="C122" s="70"/>
      <c r="D122" s="73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</row>
    <row r="123" ht="15.75" customHeight="1">
      <c r="A123" s="70"/>
      <c r="B123" s="70"/>
      <c r="C123" s="70"/>
      <c r="D123" s="73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</row>
    <row r="124" ht="15.75" customHeight="1">
      <c r="A124" s="70"/>
      <c r="B124" s="70"/>
      <c r="C124" s="70"/>
      <c r="D124" s="73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</row>
    <row r="125" ht="15.75" customHeight="1">
      <c r="A125" s="70"/>
      <c r="B125" s="70"/>
      <c r="C125" s="70"/>
      <c r="D125" s="73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</row>
    <row r="126" ht="15.75" customHeight="1">
      <c r="A126" s="70"/>
      <c r="B126" s="70"/>
      <c r="C126" s="70"/>
      <c r="D126" s="73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</row>
    <row r="127" ht="15.75" customHeight="1">
      <c r="A127" s="70"/>
      <c r="B127" s="70"/>
      <c r="C127" s="70"/>
      <c r="D127" s="73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</row>
    <row r="128" ht="15.75" customHeight="1">
      <c r="A128" s="70"/>
      <c r="B128" s="70"/>
      <c r="C128" s="70"/>
      <c r="D128" s="73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</row>
    <row r="129" ht="15.75" customHeight="1">
      <c r="A129" s="70"/>
      <c r="B129" s="70"/>
      <c r="C129" s="70"/>
      <c r="D129" s="73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</row>
    <row r="130" ht="15.75" customHeight="1">
      <c r="A130" s="70"/>
      <c r="B130" s="70"/>
      <c r="C130" s="70"/>
      <c r="D130" s="73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</row>
    <row r="131" ht="15.75" customHeight="1">
      <c r="A131" s="70"/>
      <c r="B131" s="70"/>
      <c r="C131" s="70"/>
      <c r="D131" s="73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</row>
    <row r="132" ht="15.75" customHeight="1">
      <c r="A132" s="70"/>
      <c r="B132" s="70"/>
      <c r="C132" s="70"/>
      <c r="D132" s="73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</row>
    <row r="133" ht="15.75" customHeight="1">
      <c r="A133" s="70"/>
      <c r="B133" s="70"/>
      <c r="C133" s="70"/>
      <c r="D133" s="73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</row>
    <row r="134" ht="15.75" customHeight="1">
      <c r="A134" s="70"/>
      <c r="B134" s="70"/>
      <c r="C134" s="70"/>
      <c r="D134" s="73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</row>
    <row r="135" ht="15.75" customHeight="1">
      <c r="A135" s="70"/>
      <c r="B135" s="70"/>
      <c r="C135" s="70"/>
      <c r="D135" s="73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</row>
    <row r="136" ht="15.75" customHeight="1">
      <c r="A136" s="70"/>
      <c r="B136" s="70"/>
      <c r="C136" s="70"/>
      <c r="D136" s="73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</row>
    <row r="137" ht="15.75" customHeight="1">
      <c r="A137" s="70"/>
      <c r="B137" s="70"/>
      <c r="C137" s="70"/>
      <c r="D137" s="73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</row>
    <row r="138" ht="15.75" customHeight="1">
      <c r="A138" s="70"/>
      <c r="B138" s="70"/>
      <c r="C138" s="70"/>
      <c r="D138" s="73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</row>
    <row r="139" ht="15.75" customHeight="1">
      <c r="A139" s="70"/>
      <c r="B139" s="70"/>
      <c r="C139" s="70"/>
      <c r="D139" s="73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</row>
    <row r="140" ht="15.75" customHeight="1">
      <c r="A140" s="70"/>
      <c r="B140" s="70"/>
      <c r="C140" s="70"/>
      <c r="D140" s="73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</row>
    <row r="141" ht="15.75" customHeight="1">
      <c r="A141" s="70"/>
      <c r="B141" s="70"/>
      <c r="C141" s="70"/>
      <c r="D141" s="73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</row>
    <row r="142" ht="15.75" customHeight="1">
      <c r="A142" s="70"/>
      <c r="B142" s="70"/>
      <c r="C142" s="70"/>
      <c r="D142" s="73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</row>
    <row r="143" ht="15.75" customHeight="1">
      <c r="A143" s="70"/>
      <c r="B143" s="70"/>
      <c r="C143" s="70"/>
      <c r="D143" s="73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</row>
    <row r="144" ht="15.75" customHeight="1">
      <c r="A144" s="70"/>
      <c r="B144" s="70"/>
      <c r="C144" s="70"/>
      <c r="D144" s="73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</row>
    <row r="145" ht="15.75" customHeight="1">
      <c r="A145" s="70"/>
      <c r="B145" s="70"/>
      <c r="C145" s="70"/>
      <c r="D145" s="73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</row>
    <row r="146" ht="15.75" customHeight="1">
      <c r="A146" s="70"/>
      <c r="B146" s="70"/>
      <c r="C146" s="70"/>
      <c r="D146" s="73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</row>
    <row r="147" ht="15.75" customHeight="1">
      <c r="A147" s="70"/>
      <c r="B147" s="70"/>
      <c r="C147" s="70"/>
      <c r="D147" s="73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</row>
    <row r="148" ht="15.75" customHeight="1">
      <c r="A148" s="70"/>
      <c r="B148" s="70"/>
      <c r="C148" s="70"/>
      <c r="D148" s="73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</row>
    <row r="149" ht="15.75" customHeight="1">
      <c r="A149" s="70"/>
      <c r="B149" s="70"/>
      <c r="C149" s="70"/>
      <c r="D149" s="73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</row>
    <row r="150" ht="15.75" customHeight="1">
      <c r="A150" s="70"/>
      <c r="B150" s="70"/>
      <c r="C150" s="70"/>
      <c r="D150" s="73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</row>
    <row r="151" ht="15.75" customHeight="1">
      <c r="A151" s="70"/>
      <c r="B151" s="70"/>
      <c r="C151" s="70"/>
      <c r="D151" s="73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</row>
    <row r="152" ht="15.75" customHeight="1">
      <c r="A152" s="70"/>
      <c r="B152" s="70"/>
      <c r="C152" s="70"/>
      <c r="D152" s="73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</row>
    <row r="153" ht="15.75" customHeight="1">
      <c r="A153" s="70"/>
      <c r="B153" s="70"/>
      <c r="C153" s="70"/>
      <c r="D153" s="73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</row>
    <row r="154" ht="15.75" customHeight="1">
      <c r="A154" s="70"/>
      <c r="B154" s="70"/>
      <c r="C154" s="70"/>
      <c r="D154" s="73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</row>
    <row r="155" ht="15.75" customHeight="1">
      <c r="A155" s="70"/>
      <c r="B155" s="70"/>
      <c r="C155" s="70"/>
      <c r="D155" s="73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</row>
    <row r="156" ht="15.75" customHeight="1">
      <c r="A156" s="70"/>
      <c r="B156" s="70"/>
      <c r="C156" s="70"/>
      <c r="D156" s="73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</row>
    <row r="157" ht="15.75" customHeight="1">
      <c r="A157" s="70"/>
      <c r="B157" s="70"/>
      <c r="C157" s="70"/>
      <c r="D157" s="73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</row>
    <row r="158" ht="15.75" customHeight="1">
      <c r="A158" s="70"/>
      <c r="B158" s="70"/>
      <c r="C158" s="70"/>
      <c r="D158" s="73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</row>
    <row r="159" ht="15.75" customHeight="1">
      <c r="A159" s="70"/>
      <c r="B159" s="70"/>
      <c r="C159" s="70"/>
      <c r="D159" s="73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</row>
    <row r="160" ht="15.75" customHeight="1">
      <c r="A160" s="70"/>
      <c r="B160" s="70"/>
      <c r="C160" s="70"/>
      <c r="D160" s="73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</row>
    <row r="161" ht="15.75" customHeight="1">
      <c r="A161" s="70"/>
      <c r="B161" s="70"/>
      <c r="C161" s="70"/>
      <c r="D161" s="73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</row>
    <row r="162" ht="15.75" customHeight="1">
      <c r="A162" s="70"/>
      <c r="B162" s="70"/>
      <c r="C162" s="70"/>
      <c r="D162" s="73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</row>
    <row r="163" ht="15.75" customHeight="1">
      <c r="A163" s="70"/>
      <c r="B163" s="70"/>
      <c r="C163" s="70"/>
      <c r="D163" s="73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</row>
    <row r="164" ht="15.75" customHeight="1">
      <c r="A164" s="70"/>
      <c r="B164" s="70"/>
      <c r="C164" s="70"/>
      <c r="D164" s="73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</row>
    <row r="165" ht="15.75" customHeight="1">
      <c r="A165" s="70"/>
      <c r="B165" s="70"/>
      <c r="C165" s="70"/>
      <c r="D165" s="73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</row>
    <row r="166" ht="15.75" customHeight="1">
      <c r="A166" s="70"/>
      <c r="B166" s="70"/>
      <c r="C166" s="70"/>
      <c r="D166" s="73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</row>
    <row r="167" ht="15.75" customHeight="1">
      <c r="A167" s="70"/>
      <c r="B167" s="70"/>
      <c r="C167" s="70"/>
      <c r="D167" s="73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</row>
    <row r="168" ht="15.75" customHeight="1">
      <c r="A168" s="70"/>
      <c r="B168" s="70"/>
      <c r="C168" s="70"/>
      <c r="D168" s="73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</row>
    <row r="169" ht="15.75" customHeight="1">
      <c r="A169" s="70"/>
      <c r="B169" s="70"/>
      <c r="C169" s="70"/>
      <c r="D169" s="73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</row>
    <row r="170" ht="15.75" customHeight="1">
      <c r="A170" s="70"/>
      <c r="B170" s="70"/>
      <c r="C170" s="70"/>
      <c r="D170" s="73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</row>
    <row r="171" ht="15.75" customHeight="1">
      <c r="A171" s="70"/>
      <c r="B171" s="70"/>
      <c r="C171" s="70"/>
      <c r="D171" s="73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</row>
    <row r="172" ht="15.75" customHeight="1">
      <c r="A172" s="70"/>
      <c r="B172" s="70"/>
      <c r="C172" s="70"/>
      <c r="D172" s="73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</row>
    <row r="173" ht="15.75" customHeight="1">
      <c r="A173" s="70"/>
      <c r="B173" s="70"/>
      <c r="C173" s="70"/>
      <c r="D173" s="73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</row>
    <row r="174" ht="15.75" customHeight="1">
      <c r="A174" s="70"/>
      <c r="B174" s="70"/>
      <c r="C174" s="70"/>
      <c r="D174" s="73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</row>
    <row r="175" ht="15.75" customHeight="1">
      <c r="A175" s="70"/>
      <c r="B175" s="70"/>
      <c r="C175" s="70"/>
      <c r="D175" s="73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</row>
    <row r="176" ht="15.75" customHeight="1">
      <c r="A176" s="70"/>
      <c r="B176" s="70"/>
      <c r="C176" s="70"/>
      <c r="D176" s="73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</row>
    <row r="177" ht="15.75" customHeight="1">
      <c r="A177" s="70"/>
      <c r="B177" s="70"/>
      <c r="C177" s="70"/>
      <c r="D177" s="73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</row>
    <row r="178" ht="15.75" customHeight="1">
      <c r="A178" s="70"/>
      <c r="B178" s="70"/>
      <c r="C178" s="70"/>
      <c r="D178" s="73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</row>
    <row r="179" ht="15.75" customHeight="1">
      <c r="A179" s="70"/>
      <c r="B179" s="70"/>
      <c r="C179" s="70"/>
      <c r="D179" s="73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</row>
    <row r="180" ht="15.75" customHeight="1">
      <c r="A180" s="70"/>
      <c r="B180" s="70"/>
      <c r="C180" s="70"/>
      <c r="D180" s="73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</row>
    <row r="181" ht="15.75" customHeight="1">
      <c r="A181" s="70"/>
      <c r="B181" s="70"/>
      <c r="C181" s="70"/>
      <c r="D181" s="73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</row>
    <row r="182" ht="15.75" customHeight="1">
      <c r="A182" s="70"/>
      <c r="B182" s="70"/>
      <c r="C182" s="70"/>
      <c r="D182" s="73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</row>
    <row r="183" ht="15.75" customHeight="1">
      <c r="A183" s="70"/>
      <c r="B183" s="70"/>
      <c r="C183" s="70"/>
      <c r="D183" s="73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</row>
    <row r="184" ht="15.75" customHeight="1">
      <c r="A184" s="70"/>
      <c r="B184" s="70"/>
      <c r="C184" s="70"/>
      <c r="D184" s="73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</row>
    <row r="185" ht="15.75" customHeight="1">
      <c r="A185" s="70"/>
      <c r="B185" s="70"/>
      <c r="C185" s="70"/>
      <c r="D185" s="73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</row>
    <row r="186" ht="15.75" customHeight="1">
      <c r="A186" s="70"/>
      <c r="B186" s="70"/>
      <c r="C186" s="70"/>
      <c r="D186" s="73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</row>
    <row r="187" ht="15.75" customHeight="1">
      <c r="A187" s="70"/>
      <c r="B187" s="70"/>
      <c r="C187" s="70"/>
      <c r="D187" s="73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</row>
    <row r="188" ht="15.75" customHeight="1">
      <c r="A188" s="70"/>
      <c r="B188" s="70"/>
      <c r="C188" s="70"/>
      <c r="D188" s="73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</row>
    <row r="189" ht="15.75" customHeight="1">
      <c r="A189" s="70"/>
      <c r="B189" s="70"/>
      <c r="C189" s="70"/>
      <c r="D189" s="73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</row>
    <row r="190" ht="15.75" customHeight="1">
      <c r="A190" s="70"/>
      <c r="B190" s="70"/>
      <c r="C190" s="70"/>
      <c r="D190" s="73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</row>
    <row r="191" ht="15.75" customHeight="1">
      <c r="A191" s="70"/>
      <c r="B191" s="70"/>
      <c r="C191" s="70"/>
      <c r="D191" s="73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</row>
    <row r="192" ht="15.75" customHeight="1">
      <c r="A192" s="70"/>
      <c r="B192" s="70"/>
      <c r="C192" s="70"/>
      <c r="D192" s="73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</row>
    <row r="193" ht="15.75" customHeight="1">
      <c r="A193" s="70"/>
      <c r="B193" s="70"/>
      <c r="C193" s="70"/>
      <c r="D193" s="73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</row>
    <row r="194" ht="15.75" customHeight="1">
      <c r="A194" s="70"/>
      <c r="B194" s="70"/>
      <c r="C194" s="70"/>
      <c r="D194" s="73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</row>
    <row r="195" ht="15.75" customHeight="1">
      <c r="A195" s="70"/>
      <c r="B195" s="70"/>
      <c r="C195" s="70"/>
      <c r="D195" s="73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</row>
    <row r="196" ht="15.75" customHeight="1">
      <c r="A196" s="70"/>
      <c r="B196" s="70"/>
      <c r="C196" s="70"/>
      <c r="D196" s="73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</row>
    <row r="197" ht="15.75" customHeight="1">
      <c r="A197" s="70"/>
      <c r="B197" s="70"/>
      <c r="C197" s="70"/>
      <c r="D197" s="73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</row>
    <row r="198" ht="15.75" customHeight="1">
      <c r="A198" s="70"/>
      <c r="B198" s="70"/>
      <c r="C198" s="70"/>
      <c r="D198" s="73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</row>
    <row r="199" ht="15.75" customHeight="1">
      <c r="A199" s="70"/>
      <c r="B199" s="70"/>
      <c r="C199" s="70"/>
      <c r="D199" s="73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</row>
    <row r="200" ht="15.75" customHeight="1">
      <c r="A200" s="70"/>
      <c r="B200" s="70"/>
      <c r="C200" s="70"/>
      <c r="D200" s="73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</row>
    <row r="201" ht="15.75" customHeight="1">
      <c r="A201" s="70"/>
      <c r="B201" s="70"/>
      <c r="C201" s="70"/>
      <c r="D201" s="73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</row>
    <row r="202" ht="15.75" customHeight="1">
      <c r="A202" s="70"/>
      <c r="B202" s="70"/>
      <c r="C202" s="70"/>
      <c r="D202" s="73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</row>
    <row r="203" ht="15.75" customHeight="1">
      <c r="A203" s="70"/>
      <c r="B203" s="70"/>
      <c r="C203" s="70"/>
      <c r="D203" s="73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</row>
    <row r="204" ht="15.75" customHeight="1">
      <c r="A204" s="70"/>
      <c r="B204" s="70"/>
      <c r="C204" s="70"/>
      <c r="D204" s="73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</row>
    <row r="205" ht="15.75" customHeight="1">
      <c r="A205" s="70"/>
      <c r="B205" s="70"/>
      <c r="C205" s="70"/>
      <c r="D205" s="73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</row>
    <row r="206" ht="15.75" customHeight="1">
      <c r="A206" s="70"/>
      <c r="B206" s="70"/>
      <c r="C206" s="70"/>
      <c r="D206" s="73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</row>
    <row r="207" ht="15.75" customHeight="1">
      <c r="A207" s="70"/>
      <c r="B207" s="70"/>
      <c r="C207" s="70"/>
      <c r="D207" s="73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</row>
    <row r="208" ht="15.75" customHeight="1">
      <c r="A208" s="70"/>
      <c r="B208" s="70"/>
      <c r="C208" s="70"/>
      <c r="D208" s="73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</row>
    <row r="209" ht="15.75" customHeight="1">
      <c r="A209" s="70"/>
      <c r="B209" s="70"/>
      <c r="C209" s="70"/>
      <c r="D209" s="73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</row>
    <row r="210" ht="15.75" customHeight="1">
      <c r="A210" s="70"/>
      <c r="B210" s="70"/>
      <c r="C210" s="70"/>
      <c r="D210" s="73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</row>
    <row r="211" ht="15.75" customHeight="1">
      <c r="A211" s="70"/>
      <c r="B211" s="70"/>
      <c r="C211" s="70"/>
      <c r="D211" s="73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</row>
    <row r="212" ht="15.75" customHeight="1">
      <c r="A212" s="70"/>
      <c r="B212" s="70"/>
      <c r="C212" s="70"/>
      <c r="D212" s="73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</row>
    <row r="213" ht="15.75" customHeight="1">
      <c r="A213" s="70"/>
      <c r="B213" s="70"/>
      <c r="C213" s="70"/>
      <c r="D213" s="73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</row>
    <row r="214" ht="15.75" customHeight="1">
      <c r="A214" s="70"/>
      <c r="B214" s="70"/>
      <c r="C214" s="70"/>
      <c r="D214" s="73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</row>
    <row r="215" ht="15.75" customHeight="1">
      <c r="A215" s="70"/>
      <c r="B215" s="70"/>
      <c r="C215" s="70"/>
      <c r="D215" s="73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</row>
    <row r="216" ht="15.75" customHeight="1">
      <c r="A216" s="70"/>
      <c r="B216" s="70"/>
      <c r="C216" s="70"/>
      <c r="D216" s="73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</row>
    <row r="217" ht="15.75" customHeight="1">
      <c r="A217" s="70"/>
      <c r="B217" s="70"/>
      <c r="C217" s="70"/>
      <c r="D217" s="73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</row>
    <row r="218" ht="15.75" customHeight="1">
      <c r="A218" s="70"/>
      <c r="B218" s="70"/>
      <c r="C218" s="70"/>
      <c r="D218" s="73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</row>
    <row r="219" ht="15.75" customHeight="1">
      <c r="A219" s="70"/>
      <c r="B219" s="70"/>
      <c r="C219" s="70"/>
      <c r="D219" s="73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</row>
    <row r="220" ht="15.75" customHeight="1">
      <c r="A220" s="70"/>
      <c r="B220" s="70"/>
      <c r="C220" s="70"/>
      <c r="D220" s="73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</row>
    <row r="221" ht="15.75" customHeight="1">
      <c r="A221" s="70"/>
      <c r="B221" s="70"/>
      <c r="C221" s="70"/>
      <c r="D221" s="73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</row>
    <row r="222" ht="15.75" customHeight="1">
      <c r="A222" s="70"/>
      <c r="B222" s="70"/>
      <c r="C222" s="70"/>
      <c r="D222" s="73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</row>
    <row r="223" ht="15.75" customHeight="1">
      <c r="A223" s="70"/>
      <c r="B223" s="70"/>
      <c r="C223" s="70"/>
      <c r="D223" s="73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</row>
    <row r="224" ht="15.75" customHeight="1">
      <c r="A224" s="70"/>
      <c r="B224" s="70"/>
      <c r="C224" s="70"/>
      <c r="D224" s="73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</row>
    <row r="225" ht="15.75" customHeight="1">
      <c r="A225" s="70"/>
      <c r="B225" s="70"/>
      <c r="C225" s="70"/>
      <c r="D225" s="73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</row>
    <row r="226" ht="15.75" customHeight="1">
      <c r="A226" s="70"/>
      <c r="B226" s="70"/>
      <c r="C226" s="70"/>
      <c r="D226" s="73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</row>
    <row r="227" ht="15.75" customHeight="1">
      <c r="A227" s="70"/>
      <c r="B227" s="70"/>
      <c r="C227" s="70"/>
      <c r="D227" s="73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</row>
    <row r="228" ht="15.75" customHeight="1">
      <c r="A228" s="70"/>
      <c r="B228" s="70"/>
      <c r="C228" s="70"/>
      <c r="D228" s="73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</row>
    <row r="229" ht="15.75" customHeight="1">
      <c r="A229" s="70"/>
      <c r="B229" s="70"/>
      <c r="C229" s="70"/>
      <c r="D229" s="73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</row>
    <row r="230" ht="15.75" customHeight="1">
      <c r="A230" s="70"/>
      <c r="B230" s="70"/>
      <c r="C230" s="70"/>
      <c r="D230" s="73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</row>
    <row r="231" ht="15.75" customHeight="1">
      <c r="A231" s="70"/>
      <c r="B231" s="70"/>
      <c r="C231" s="70"/>
      <c r="D231" s="73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</row>
    <row r="232" ht="15.75" customHeight="1">
      <c r="A232" s="70"/>
      <c r="B232" s="70"/>
      <c r="C232" s="70"/>
      <c r="D232" s="73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</row>
    <row r="233" ht="15.75" customHeight="1">
      <c r="A233" s="70"/>
      <c r="B233" s="70"/>
      <c r="C233" s="70"/>
      <c r="D233" s="73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</row>
    <row r="234" ht="15.75" customHeight="1">
      <c r="A234" s="70"/>
      <c r="B234" s="70"/>
      <c r="C234" s="70"/>
      <c r="D234" s="73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</row>
    <row r="235" ht="15.75" customHeight="1">
      <c r="A235" s="70"/>
      <c r="B235" s="70"/>
      <c r="C235" s="70"/>
      <c r="D235" s="73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</row>
    <row r="236" ht="15.75" customHeight="1">
      <c r="A236" s="70"/>
      <c r="B236" s="70"/>
      <c r="C236" s="70"/>
      <c r="D236" s="73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4.25"/>
    <col customWidth="1" min="6" max="6" width="13.88"/>
    <col customWidth="1" min="7" max="7" width="15.88"/>
    <col customWidth="1" min="8" max="8" width="16.38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101" t="s">
        <v>77</v>
      </c>
      <c r="B1" s="101"/>
      <c r="C1" s="102"/>
      <c r="D1" s="103"/>
      <c r="E1" s="101"/>
      <c r="F1" s="104"/>
      <c r="G1" s="105"/>
      <c r="H1" s="106"/>
      <c r="I1" s="106"/>
      <c r="J1" s="107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1"/>
      <c r="B2" s="108" t="s">
        <v>78</v>
      </c>
      <c r="C2" s="109"/>
      <c r="D2" s="109"/>
      <c r="E2" s="109"/>
      <c r="F2" s="109"/>
      <c r="G2" s="109"/>
      <c r="H2" s="109"/>
      <c r="I2" s="109"/>
      <c r="J2" s="109"/>
      <c r="K2" s="110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49"/>
      <c r="B3" s="111" t="s">
        <v>79</v>
      </c>
      <c r="C3" s="109"/>
      <c r="D3" s="109"/>
      <c r="E3" s="109"/>
      <c r="F3" s="109"/>
      <c r="G3" s="109"/>
      <c r="H3" s="109"/>
      <c r="I3" s="109"/>
      <c r="J3" s="109"/>
      <c r="K3" s="11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1"/>
      <c r="B4" s="108" t="s">
        <v>80</v>
      </c>
      <c r="C4" s="109"/>
      <c r="D4" s="109"/>
      <c r="E4" s="109"/>
      <c r="F4" s="109"/>
      <c r="G4" s="109"/>
      <c r="H4" s="109"/>
      <c r="I4" s="109"/>
      <c r="J4" s="109"/>
      <c r="K4" s="110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49"/>
      <c r="B5" s="112" t="s">
        <v>81</v>
      </c>
      <c r="C5" s="113" t="s">
        <v>82</v>
      </c>
      <c r="D5" s="114" t="s">
        <v>83</v>
      </c>
      <c r="E5" s="114" t="s">
        <v>84</v>
      </c>
      <c r="F5" s="114" t="s">
        <v>85</v>
      </c>
      <c r="G5" s="114" t="s">
        <v>86</v>
      </c>
      <c r="H5" s="114" t="s">
        <v>87</v>
      </c>
      <c r="I5" s="114" t="s">
        <v>88</v>
      </c>
      <c r="J5" s="114" t="s">
        <v>89</v>
      </c>
      <c r="K5" s="114" t="s">
        <v>90</v>
      </c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01"/>
      <c r="B6" s="115">
        <v>1.0</v>
      </c>
      <c r="C6" s="116" t="s">
        <v>29</v>
      </c>
      <c r="D6" s="117">
        <v>1057208.389999993</v>
      </c>
      <c r="E6" s="118">
        <v>1.0</v>
      </c>
      <c r="F6" s="117">
        <f t="shared" ref="F6:F27" si="1">D6*E6</f>
        <v>1057208.39</v>
      </c>
      <c r="G6" s="119">
        <v>0.0</v>
      </c>
      <c r="H6" s="119">
        <v>0.0</v>
      </c>
      <c r="I6" s="120">
        <f t="shared" ref="I6:I27" si="2">G6-H6</f>
        <v>0</v>
      </c>
      <c r="J6" s="117">
        <f t="shared" ref="J6:J27" si="3">F6+I6</f>
        <v>1057208.39</v>
      </c>
      <c r="K6" s="121" t="s">
        <v>91</v>
      </c>
      <c r="L6" s="122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01"/>
      <c r="B7" s="115">
        <v>2.0</v>
      </c>
      <c r="C7" s="120" t="s">
        <v>31</v>
      </c>
      <c r="D7" s="117">
        <v>73124.13</v>
      </c>
      <c r="E7" s="118">
        <v>1.0</v>
      </c>
      <c r="F7" s="117">
        <f t="shared" si="1"/>
        <v>73124.13</v>
      </c>
      <c r="G7" s="119">
        <v>0.0</v>
      </c>
      <c r="H7" s="119">
        <v>0.0</v>
      </c>
      <c r="I7" s="120">
        <f t="shared" si="2"/>
        <v>0</v>
      </c>
      <c r="J7" s="117">
        <f t="shared" si="3"/>
        <v>73124.13</v>
      </c>
      <c r="K7" s="121" t="s">
        <v>91</v>
      </c>
      <c r="L7" s="122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22"/>
      <c r="B8" s="115">
        <v>3.0</v>
      </c>
      <c r="C8" s="123" t="s">
        <v>33</v>
      </c>
      <c r="D8" s="117">
        <v>1239057.9299999997</v>
      </c>
      <c r="E8" s="118">
        <v>1.0</v>
      </c>
      <c r="F8" s="117">
        <f t="shared" si="1"/>
        <v>1239057.93</v>
      </c>
      <c r="G8" s="119">
        <v>0.0</v>
      </c>
      <c r="H8" s="119">
        <v>0.0</v>
      </c>
      <c r="I8" s="120">
        <f t="shared" si="2"/>
        <v>0</v>
      </c>
      <c r="J8" s="117">
        <f t="shared" si="3"/>
        <v>1239057.93</v>
      </c>
      <c r="K8" s="124" t="s">
        <v>91</v>
      </c>
      <c r="L8" s="122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1"/>
      <c r="B9" s="115">
        <v>4.0</v>
      </c>
      <c r="C9" s="120" t="s">
        <v>34</v>
      </c>
      <c r="D9" s="117">
        <v>31493.46</v>
      </c>
      <c r="E9" s="118">
        <v>1.0</v>
      </c>
      <c r="F9" s="117">
        <f t="shared" si="1"/>
        <v>31493.46</v>
      </c>
      <c r="G9" s="119">
        <v>0.0</v>
      </c>
      <c r="H9" s="119">
        <v>0.0</v>
      </c>
      <c r="I9" s="120">
        <f t="shared" si="2"/>
        <v>0</v>
      </c>
      <c r="J9" s="117">
        <f t="shared" si="3"/>
        <v>31493.46</v>
      </c>
      <c r="K9" s="121" t="s">
        <v>91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22"/>
      <c r="B10" s="115">
        <v>5.0</v>
      </c>
      <c r="C10" s="120" t="s">
        <v>35</v>
      </c>
      <c r="D10" s="117">
        <v>208999.86</v>
      </c>
      <c r="E10" s="118">
        <v>1.0</v>
      </c>
      <c r="F10" s="117">
        <f t="shared" si="1"/>
        <v>208999.86</v>
      </c>
      <c r="G10" s="119">
        <v>0.0</v>
      </c>
      <c r="H10" s="119">
        <v>0.0</v>
      </c>
      <c r="I10" s="120">
        <f t="shared" si="2"/>
        <v>0</v>
      </c>
      <c r="J10" s="117">
        <f t="shared" si="3"/>
        <v>208999.86</v>
      </c>
      <c r="K10" s="121" t="s">
        <v>91</v>
      </c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1"/>
      <c r="B11" s="115">
        <v>6.0</v>
      </c>
      <c r="C11" s="116" t="s">
        <v>36</v>
      </c>
      <c r="D11" s="125">
        <v>2415181.73</v>
      </c>
      <c r="E11" s="118">
        <v>1.0</v>
      </c>
      <c r="F11" s="117">
        <f t="shared" si="1"/>
        <v>2415181.73</v>
      </c>
      <c r="G11" s="119">
        <v>0.0</v>
      </c>
      <c r="H11" s="119">
        <v>0.0</v>
      </c>
      <c r="I11" s="120">
        <f t="shared" si="2"/>
        <v>0</v>
      </c>
      <c r="J11" s="117">
        <f t="shared" si="3"/>
        <v>2415181.73</v>
      </c>
      <c r="K11" s="124" t="s">
        <v>92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49"/>
      <c r="B12" s="115">
        <v>7.0</v>
      </c>
      <c r="C12" s="116" t="s">
        <v>75</v>
      </c>
      <c r="D12" s="117">
        <v>3404394.98</v>
      </c>
      <c r="E12" s="118">
        <v>1.0</v>
      </c>
      <c r="F12" s="117">
        <f t="shared" si="1"/>
        <v>3404394.98</v>
      </c>
      <c r="G12" s="119">
        <v>0.0</v>
      </c>
      <c r="H12" s="53">
        <v>150.0</v>
      </c>
      <c r="I12" s="120">
        <f t="shared" si="2"/>
        <v>-150</v>
      </c>
      <c r="J12" s="117">
        <f t="shared" si="3"/>
        <v>3404244.98</v>
      </c>
      <c r="K12" s="124" t="s">
        <v>93</v>
      </c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1"/>
      <c r="B13" s="115">
        <v>8.0</v>
      </c>
      <c r="C13" s="116" t="s">
        <v>40</v>
      </c>
      <c r="D13" s="125">
        <v>1169752.21</v>
      </c>
      <c r="E13" s="118">
        <v>1.0</v>
      </c>
      <c r="F13" s="117">
        <f t="shared" si="1"/>
        <v>1169752.21</v>
      </c>
      <c r="G13" s="119">
        <v>0.0</v>
      </c>
      <c r="H13" s="119">
        <v>0.0</v>
      </c>
      <c r="I13" s="120">
        <f t="shared" si="2"/>
        <v>0</v>
      </c>
      <c r="J13" s="117">
        <f t="shared" si="3"/>
        <v>1169752.21</v>
      </c>
      <c r="K13" s="121" t="s">
        <v>91</v>
      </c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1"/>
      <c r="B14" s="115">
        <v>9.0</v>
      </c>
      <c r="C14" s="120" t="s">
        <v>41</v>
      </c>
      <c r="D14" s="117">
        <v>564653.8400000004</v>
      </c>
      <c r="E14" s="118">
        <v>1.0</v>
      </c>
      <c r="F14" s="117">
        <f t="shared" si="1"/>
        <v>564653.84</v>
      </c>
      <c r="G14" s="119">
        <v>0.0</v>
      </c>
      <c r="H14" s="119">
        <v>0.0</v>
      </c>
      <c r="I14" s="120">
        <f t="shared" si="2"/>
        <v>0</v>
      </c>
      <c r="J14" s="117">
        <f t="shared" si="3"/>
        <v>564653.84</v>
      </c>
      <c r="K14" s="121" t="s">
        <v>91</v>
      </c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1"/>
      <c r="B15" s="115">
        <v>10.0</v>
      </c>
      <c r="C15" s="116" t="s">
        <v>42</v>
      </c>
      <c r="D15" s="117">
        <v>745578.1000000015</v>
      </c>
      <c r="E15" s="118">
        <v>1.0</v>
      </c>
      <c r="F15" s="117">
        <f t="shared" si="1"/>
        <v>745578.1</v>
      </c>
      <c r="G15" s="119">
        <v>0.0</v>
      </c>
      <c r="H15" s="119">
        <v>0.0</v>
      </c>
      <c r="I15" s="120">
        <f t="shared" si="2"/>
        <v>0</v>
      </c>
      <c r="J15" s="117">
        <f t="shared" si="3"/>
        <v>745578.1</v>
      </c>
      <c r="K15" s="121" t="s">
        <v>91</v>
      </c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1"/>
      <c r="B16" s="115">
        <v>11.0</v>
      </c>
      <c r="C16" s="120" t="s">
        <v>43</v>
      </c>
      <c r="D16" s="117">
        <v>11745.64</v>
      </c>
      <c r="E16" s="118">
        <v>1.0</v>
      </c>
      <c r="F16" s="117">
        <f t="shared" si="1"/>
        <v>11745.64</v>
      </c>
      <c r="G16" s="119">
        <v>0.0</v>
      </c>
      <c r="H16" s="119">
        <v>0.0</v>
      </c>
      <c r="I16" s="120">
        <f t="shared" si="2"/>
        <v>0</v>
      </c>
      <c r="J16" s="117">
        <f t="shared" si="3"/>
        <v>11745.64</v>
      </c>
      <c r="K16" s="121" t="s">
        <v>91</v>
      </c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1"/>
      <c r="B17" s="115">
        <v>12.0</v>
      </c>
      <c r="C17" s="123" t="s">
        <v>44</v>
      </c>
      <c r="D17" s="126">
        <v>158755.70999999996</v>
      </c>
      <c r="E17" s="118">
        <v>1.0</v>
      </c>
      <c r="F17" s="117">
        <f t="shared" si="1"/>
        <v>158755.71</v>
      </c>
      <c r="G17" s="119">
        <v>0.0</v>
      </c>
      <c r="H17" s="119">
        <v>0.0</v>
      </c>
      <c r="I17" s="120">
        <f t="shared" si="2"/>
        <v>0</v>
      </c>
      <c r="J17" s="117">
        <f t="shared" si="3"/>
        <v>158755.71</v>
      </c>
      <c r="K17" s="124" t="s">
        <v>94</v>
      </c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15">
        <v>13.0</v>
      </c>
      <c r="C18" s="123" t="s">
        <v>45</v>
      </c>
      <c r="D18" s="126">
        <v>5126159.619999999</v>
      </c>
      <c r="E18" s="118">
        <v>1.0</v>
      </c>
      <c r="F18" s="117">
        <f t="shared" si="1"/>
        <v>5126159.62</v>
      </c>
      <c r="G18" s="119">
        <v>0.0</v>
      </c>
      <c r="H18" s="119">
        <v>0.0</v>
      </c>
      <c r="I18" s="120">
        <f t="shared" si="2"/>
        <v>0</v>
      </c>
      <c r="J18" s="117">
        <f t="shared" si="3"/>
        <v>5126159.62</v>
      </c>
      <c r="K18" s="124" t="s">
        <v>94</v>
      </c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1"/>
      <c r="B19" s="115">
        <v>14.0</v>
      </c>
      <c r="C19" s="120" t="s">
        <v>46</v>
      </c>
      <c r="D19" s="117">
        <v>5687.28</v>
      </c>
      <c r="E19" s="118">
        <v>1.0</v>
      </c>
      <c r="F19" s="117">
        <f t="shared" si="1"/>
        <v>5687.28</v>
      </c>
      <c r="G19" s="119">
        <v>0.0</v>
      </c>
      <c r="H19" s="119">
        <v>0.0</v>
      </c>
      <c r="I19" s="120">
        <f t="shared" si="2"/>
        <v>0</v>
      </c>
      <c r="J19" s="117">
        <f t="shared" si="3"/>
        <v>5687.28</v>
      </c>
      <c r="K19" s="121" t="s">
        <v>91</v>
      </c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30.75" customHeight="1">
      <c r="A20" s="101"/>
      <c r="B20" s="115">
        <v>15.0</v>
      </c>
      <c r="C20" s="123" t="s">
        <v>47</v>
      </c>
      <c r="D20" s="127">
        <v>1.7215976870000005E7</v>
      </c>
      <c r="E20" s="118">
        <v>1.0</v>
      </c>
      <c r="F20" s="117">
        <f t="shared" si="1"/>
        <v>17215976.87</v>
      </c>
      <c r="G20" s="53">
        <v>3820000.0</v>
      </c>
      <c r="H20" s="128">
        <v>9137.5</v>
      </c>
      <c r="I20" s="120">
        <f t="shared" si="2"/>
        <v>3810862.5</v>
      </c>
      <c r="J20" s="117">
        <f t="shared" si="3"/>
        <v>21026839.37</v>
      </c>
      <c r="K20" s="124" t="s">
        <v>95</v>
      </c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21.75" customHeight="1">
      <c r="A21" s="49"/>
      <c r="B21" s="115">
        <v>16.0</v>
      </c>
      <c r="C21" s="123" t="s">
        <v>48</v>
      </c>
      <c r="D21" s="127">
        <v>3354397.16</v>
      </c>
      <c r="E21" s="118">
        <v>1.0</v>
      </c>
      <c r="F21" s="117">
        <f t="shared" si="1"/>
        <v>3354397.16</v>
      </c>
      <c r="G21" s="119">
        <v>0.0</v>
      </c>
      <c r="H21" s="129">
        <v>219212.28</v>
      </c>
      <c r="I21" s="120">
        <f t="shared" si="2"/>
        <v>-219212.28</v>
      </c>
      <c r="J21" s="117">
        <f t="shared" si="3"/>
        <v>3135184.88</v>
      </c>
      <c r="K21" s="130" t="s">
        <v>96</v>
      </c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34.5" customHeight="1">
      <c r="A22" s="122" t="s">
        <v>97</v>
      </c>
      <c r="B22" s="115">
        <v>17.0</v>
      </c>
      <c r="C22" s="116" t="s">
        <v>49</v>
      </c>
      <c r="D22" s="127">
        <v>7.547370155E7</v>
      </c>
      <c r="E22" s="118">
        <v>1.0</v>
      </c>
      <c r="F22" s="117">
        <f t="shared" si="1"/>
        <v>75473701.55</v>
      </c>
      <c r="G22" s="131">
        <v>3175000.0</v>
      </c>
      <c r="H22" s="131">
        <v>5.474098275E7</v>
      </c>
      <c r="I22" s="120">
        <f t="shared" si="2"/>
        <v>-51565982.75</v>
      </c>
      <c r="J22" s="117">
        <f t="shared" si="3"/>
        <v>23907718.8</v>
      </c>
      <c r="K22" s="124" t="s">
        <v>98</v>
      </c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21.0" customHeight="1">
      <c r="A23" s="122"/>
      <c r="B23" s="115">
        <v>18.0</v>
      </c>
      <c r="C23" s="116" t="s">
        <v>50</v>
      </c>
      <c r="D23" s="132">
        <v>262736.66</v>
      </c>
      <c r="E23" s="118">
        <v>1.0</v>
      </c>
      <c r="F23" s="117">
        <f t="shared" si="1"/>
        <v>262736.66</v>
      </c>
      <c r="G23" s="119">
        <v>0.0</v>
      </c>
      <c r="H23" s="119">
        <v>0.0</v>
      </c>
      <c r="I23" s="120">
        <f t="shared" si="2"/>
        <v>0</v>
      </c>
      <c r="J23" s="117">
        <f t="shared" si="3"/>
        <v>262736.66</v>
      </c>
      <c r="K23" s="130" t="s">
        <v>99</v>
      </c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25.5" customHeight="1">
      <c r="A24" s="101"/>
      <c r="B24" s="115">
        <v>19.0</v>
      </c>
      <c r="C24" s="120" t="s">
        <v>100</v>
      </c>
      <c r="D24" s="117">
        <v>101797.4</v>
      </c>
      <c r="E24" s="118">
        <v>1.0</v>
      </c>
      <c r="F24" s="117">
        <f t="shared" si="1"/>
        <v>101797.4</v>
      </c>
      <c r="G24" s="119">
        <v>0.0</v>
      </c>
      <c r="H24" s="119">
        <v>0.0</v>
      </c>
      <c r="I24" s="120">
        <f t="shared" si="2"/>
        <v>0</v>
      </c>
      <c r="J24" s="117">
        <f t="shared" si="3"/>
        <v>101797.4</v>
      </c>
      <c r="K24" s="121" t="s">
        <v>91</v>
      </c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22.5" customHeight="1">
      <c r="A25" s="122"/>
      <c r="B25" s="115">
        <v>20.0</v>
      </c>
      <c r="C25" s="116" t="s">
        <v>101</v>
      </c>
      <c r="D25" s="133">
        <v>1603511.85</v>
      </c>
      <c r="E25" s="118">
        <v>1.0</v>
      </c>
      <c r="F25" s="117">
        <f t="shared" si="1"/>
        <v>1603511.85</v>
      </c>
      <c r="G25" s="53">
        <v>1500000.0</v>
      </c>
      <c r="H25" s="53">
        <v>1373750.0</v>
      </c>
      <c r="I25" s="120">
        <f t="shared" si="2"/>
        <v>126250</v>
      </c>
      <c r="J25" s="117">
        <f t="shared" si="3"/>
        <v>1729761.85</v>
      </c>
      <c r="K25" s="124" t="s">
        <v>102</v>
      </c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22.5" customHeight="1">
      <c r="A26" s="101"/>
      <c r="B26" s="115">
        <v>21.0</v>
      </c>
      <c r="C26" s="120" t="s">
        <v>52</v>
      </c>
      <c r="D26" s="117">
        <v>990050.45</v>
      </c>
      <c r="E26" s="118">
        <v>1.0</v>
      </c>
      <c r="F26" s="117">
        <f t="shared" si="1"/>
        <v>990050.45</v>
      </c>
      <c r="G26" s="119">
        <v>0.0</v>
      </c>
      <c r="H26" s="119">
        <v>0.0</v>
      </c>
      <c r="I26" s="120">
        <f t="shared" si="2"/>
        <v>0</v>
      </c>
      <c r="J26" s="117">
        <f t="shared" si="3"/>
        <v>990050.45</v>
      </c>
      <c r="K26" s="121" t="s">
        <v>91</v>
      </c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25.5" customHeight="1">
      <c r="A27" s="101"/>
      <c r="B27" s="115">
        <v>22.0</v>
      </c>
      <c r="C27" s="134" t="s">
        <v>103</v>
      </c>
      <c r="D27" s="117">
        <v>0.0</v>
      </c>
      <c r="E27" s="118">
        <v>1.0</v>
      </c>
      <c r="F27" s="117">
        <f t="shared" si="1"/>
        <v>0</v>
      </c>
      <c r="G27" s="119">
        <v>0.0</v>
      </c>
      <c r="H27" s="119">
        <v>0.0</v>
      </c>
      <c r="I27" s="120">
        <f t="shared" si="2"/>
        <v>0</v>
      </c>
      <c r="J27" s="117">
        <f t="shared" si="3"/>
        <v>0</v>
      </c>
      <c r="K27" s="121" t="s">
        <v>91</v>
      </c>
      <c r="L27" s="101"/>
      <c r="M27" s="49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21.0" customHeight="1">
      <c r="A28" s="122"/>
      <c r="B28" s="135"/>
      <c r="C28" s="136" t="s">
        <v>104</v>
      </c>
      <c r="D28" s="137">
        <f>SUM(D6:D27)</f>
        <v>115213964.8</v>
      </c>
      <c r="E28" s="138"/>
      <c r="F28" s="139">
        <f t="shared" ref="F28:J28" si="4">SUM(F6:F27)</f>
        <v>115213964.8</v>
      </c>
      <c r="G28" s="139">
        <f t="shared" si="4"/>
        <v>8495000</v>
      </c>
      <c r="H28" s="139">
        <f t="shared" si="4"/>
        <v>56343232.53</v>
      </c>
      <c r="I28" s="139">
        <f t="shared" si="4"/>
        <v>-47848232.53</v>
      </c>
      <c r="J28" s="139">
        <f t="shared" si="4"/>
        <v>67365732.29</v>
      </c>
      <c r="K28" s="121" t="s">
        <v>91</v>
      </c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5.75" customHeight="1">
      <c r="A29" s="101"/>
      <c r="B29" s="140"/>
      <c r="C29" s="141"/>
      <c r="D29" s="142"/>
      <c r="E29" s="118"/>
      <c r="F29" s="143"/>
      <c r="G29" s="144"/>
      <c r="H29" s="144"/>
      <c r="I29" s="144"/>
      <c r="J29" s="145"/>
      <c r="K29" s="121"/>
      <c r="L29" s="101"/>
      <c r="M29" s="146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21.0" customHeight="1">
      <c r="A30" s="101"/>
      <c r="B30" s="115">
        <v>23.0</v>
      </c>
      <c r="C30" s="120" t="s">
        <v>56</v>
      </c>
      <c r="D30" s="147">
        <v>2525.0</v>
      </c>
      <c r="E30" s="148">
        <v>1810.4</v>
      </c>
      <c r="F30" s="144">
        <f t="shared" ref="F30:F38" si="5">D30*E30</f>
        <v>4571260</v>
      </c>
      <c r="G30" s="144">
        <v>0.0</v>
      </c>
      <c r="H30" s="144">
        <v>0.0</v>
      </c>
      <c r="I30" s="144">
        <f t="shared" ref="I30:I38" si="6">G30-H30</f>
        <v>0</v>
      </c>
      <c r="J30" s="117">
        <f t="shared" ref="J30:J38" si="7">F30+I30</f>
        <v>4571260</v>
      </c>
      <c r="K30" s="124" t="s">
        <v>91</v>
      </c>
      <c r="L30" s="49"/>
      <c r="M30" s="122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21.0" customHeight="1">
      <c r="A31" s="101"/>
      <c r="B31" s="115">
        <v>24.0</v>
      </c>
      <c r="C31" s="149" t="s">
        <v>105</v>
      </c>
      <c r="D31" s="150">
        <v>5855.860000000001</v>
      </c>
      <c r="E31" s="148">
        <v>1343.51</v>
      </c>
      <c r="F31" s="144">
        <f t="shared" si="5"/>
        <v>7867406.469</v>
      </c>
      <c r="G31" s="144">
        <v>0.0</v>
      </c>
      <c r="H31" s="144">
        <v>0.0</v>
      </c>
      <c r="I31" s="144">
        <f t="shared" si="6"/>
        <v>0</v>
      </c>
      <c r="J31" s="117">
        <f t="shared" si="7"/>
        <v>7867406.469</v>
      </c>
      <c r="K31" s="124" t="s">
        <v>92</v>
      </c>
      <c r="L31" s="49"/>
      <c r="M31" s="122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21.0" customHeight="1">
      <c r="A32" s="101"/>
      <c r="B32" s="115">
        <v>25.0</v>
      </c>
      <c r="C32" s="151" t="s">
        <v>55</v>
      </c>
      <c r="D32" s="152">
        <v>5945.999999999999</v>
      </c>
      <c r="E32" s="148">
        <f t="shared" ref="E32:E39" si="8">$E$31</f>
        <v>1343.51</v>
      </c>
      <c r="F32" s="144">
        <f t="shared" si="5"/>
        <v>7988510.46</v>
      </c>
      <c r="G32" s="144">
        <v>0.0</v>
      </c>
      <c r="H32" s="144">
        <v>0.0</v>
      </c>
      <c r="I32" s="144">
        <f t="shared" si="6"/>
        <v>0</v>
      </c>
      <c r="J32" s="117">
        <f t="shared" si="7"/>
        <v>7988510.46</v>
      </c>
      <c r="K32" s="124" t="s">
        <v>106</v>
      </c>
      <c r="L32" s="49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23.25" customHeight="1">
      <c r="A33" s="101"/>
      <c r="B33" s="115">
        <v>26.0</v>
      </c>
      <c r="C33" s="120" t="s">
        <v>57</v>
      </c>
      <c r="D33" s="153">
        <v>0.0</v>
      </c>
      <c r="E33" s="148">
        <f t="shared" si="8"/>
        <v>1343.51</v>
      </c>
      <c r="F33" s="144">
        <f t="shared" si="5"/>
        <v>0</v>
      </c>
      <c r="G33" s="144">
        <v>0.0</v>
      </c>
      <c r="H33" s="144">
        <v>0.0</v>
      </c>
      <c r="I33" s="144">
        <f t="shared" si="6"/>
        <v>0</v>
      </c>
      <c r="J33" s="117">
        <f t="shared" si="7"/>
        <v>0</v>
      </c>
      <c r="K33" s="121" t="s">
        <v>106</v>
      </c>
      <c r="L33" s="49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24.0" customHeight="1">
      <c r="A34" s="101"/>
      <c r="B34" s="115">
        <v>27.0</v>
      </c>
      <c r="C34" s="123" t="s">
        <v>107</v>
      </c>
      <c r="D34" s="154">
        <v>111121.15999999997</v>
      </c>
      <c r="E34" s="148">
        <f t="shared" si="8"/>
        <v>1343.51</v>
      </c>
      <c r="F34" s="144">
        <f t="shared" si="5"/>
        <v>149292389.7</v>
      </c>
      <c r="G34" s="144">
        <f>13051*E34
</f>
        <v>17534149.01</v>
      </c>
      <c r="H34" s="144">
        <v>0.0</v>
      </c>
      <c r="I34" s="144">
        <f t="shared" si="6"/>
        <v>17534149.01</v>
      </c>
      <c r="J34" s="117">
        <f t="shared" si="7"/>
        <v>166826538.7</v>
      </c>
      <c r="K34" s="124" t="s">
        <v>108</v>
      </c>
      <c r="L34" s="49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21.0" customHeight="1">
      <c r="A35" s="101"/>
      <c r="B35" s="115">
        <v>28.0</v>
      </c>
      <c r="C35" s="123" t="s">
        <v>109</v>
      </c>
      <c r="D35" s="154">
        <v>12237.100000000002</v>
      </c>
      <c r="E35" s="148">
        <f t="shared" si="8"/>
        <v>1343.51</v>
      </c>
      <c r="F35" s="144">
        <f t="shared" si="5"/>
        <v>16440666.22</v>
      </c>
      <c r="G35" s="144">
        <v>0.0</v>
      </c>
      <c r="H35" s="144">
        <f>2116.56*E35
</f>
        <v>2843619.526</v>
      </c>
      <c r="I35" s="144">
        <f t="shared" si="6"/>
        <v>-2843619.526</v>
      </c>
      <c r="J35" s="117">
        <f t="shared" si="7"/>
        <v>13597046.7</v>
      </c>
      <c r="K35" s="124" t="s">
        <v>110</v>
      </c>
      <c r="L35" s="49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21.75" customHeight="1">
      <c r="A36" s="101"/>
      <c r="B36" s="115">
        <v>29.0</v>
      </c>
      <c r="C36" s="116" t="s">
        <v>36</v>
      </c>
      <c r="D36" s="154">
        <v>47346.37999999999</v>
      </c>
      <c r="E36" s="148">
        <f t="shared" si="8"/>
        <v>1343.51</v>
      </c>
      <c r="F36" s="144">
        <f t="shared" si="5"/>
        <v>63610334.99</v>
      </c>
      <c r="G36" s="144">
        <v>0.0</v>
      </c>
      <c r="H36" s="144">
        <v>0.0</v>
      </c>
      <c r="I36" s="144">
        <f t="shared" si="6"/>
        <v>0</v>
      </c>
      <c r="J36" s="117">
        <f t="shared" si="7"/>
        <v>63610334.99</v>
      </c>
      <c r="K36" s="124" t="s">
        <v>92</v>
      </c>
      <c r="L36" s="49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21.0" customHeight="1">
      <c r="A37" s="101"/>
      <c r="B37" s="115">
        <v>30.0</v>
      </c>
      <c r="C37" s="116" t="s">
        <v>60</v>
      </c>
      <c r="D37" s="154">
        <v>13405.910000000002</v>
      </c>
      <c r="E37" s="148">
        <f t="shared" si="8"/>
        <v>1343.51</v>
      </c>
      <c r="F37" s="144">
        <f t="shared" si="5"/>
        <v>18010974.14</v>
      </c>
      <c r="G37" s="144">
        <v>0.0</v>
      </c>
      <c r="H37" s="144">
        <v>0.0</v>
      </c>
      <c r="I37" s="144">
        <f t="shared" si="6"/>
        <v>0</v>
      </c>
      <c r="J37" s="117">
        <f t="shared" si="7"/>
        <v>18010974.14</v>
      </c>
      <c r="K37" s="124" t="s">
        <v>106</v>
      </c>
      <c r="L37" s="49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22.5" customHeight="1">
      <c r="A38" s="101"/>
      <c r="B38" s="115">
        <v>31.0</v>
      </c>
      <c r="C38" s="155" t="s">
        <v>61</v>
      </c>
      <c r="D38" s="154">
        <v>59462.26</v>
      </c>
      <c r="E38" s="148">
        <f t="shared" si="8"/>
        <v>1343.51</v>
      </c>
      <c r="F38" s="144">
        <f t="shared" si="5"/>
        <v>79888140.93</v>
      </c>
      <c r="G38" s="144">
        <f>5800*E38</f>
        <v>7792358</v>
      </c>
      <c r="H38" s="144">
        <v>0.0</v>
      </c>
      <c r="I38" s="144">
        <f t="shared" si="6"/>
        <v>7792358</v>
      </c>
      <c r="J38" s="117">
        <f t="shared" si="7"/>
        <v>87680498.93</v>
      </c>
      <c r="K38" s="124" t="s">
        <v>111</v>
      </c>
      <c r="L38" s="49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5.75" customHeight="1">
      <c r="A39" s="101"/>
      <c r="B39" s="156" t="s">
        <v>112</v>
      </c>
      <c r="C39" s="110"/>
      <c r="D39" s="157">
        <f>SUM(D31:D38)</f>
        <v>255374.67</v>
      </c>
      <c r="E39" s="148">
        <f t="shared" si="8"/>
        <v>1343.51</v>
      </c>
      <c r="F39" s="139">
        <f t="shared" ref="F39:J39" si="9">SUM(F31:F38)</f>
        <v>343098422.9</v>
      </c>
      <c r="G39" s="158">
        <f t="shared" si="9"/>
        <v>25326507.01</v>
      </c>
      <c r="H39" s="158">
        <f t="shared" si="9"/>
        <v>2843619.526</v>
      </c>
      <c r="I39" s="139">
        <f t="shared" si="9"/>
        <v>22482887.48</v>
      </c>
      <c r="J39" s="159">
        <f t="shared" si="9"/>
        <v>365581310.4</v>
      </c>
      <c r="K39" s="160"/>
      <c r="L39" s="49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5.75" customHeight="1">
      <c r="A40" s="101"/>
      <c r="B40" s="161"/>
      <c r="C40" s="161"/>
      <c r="D40" s="106"/>
      <c r="E40" s="162"/>
      <c r="F40" s="162"/>
      <c r="G40" s="162"/>
      <c r="H40" s="163"/>
      <c r="I40" s="163"/>
      <c r="J40" s="106"/>
      <c r="K40" s="164"/>
      <c r="L40" s="49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5.75" customHeight="1">
      <c r="A41" s="101"/>
      <c r="B41" s="161"/>
      <c r="C41" s="161"/>
      <c r="D41" s="165"/>
      <c r="E41" s="49"/>
      <c r="F41" s="166"/>
      <c r="G41" s="161"/>
      <c r="H41" s="161"/>
      <c r="I41" s="161"/>
      <c r="J41" s="162"/>
      <c r="K41" s="164"/>
      <c r="L41" s="49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5.75" customHeight="1">
      <c r="A42" s="101"/>
      <c r="B42" s="161"/>
      <c r="C42" s="161"/>
      <c r="D42" s="101"/>
      <c r="E42" s="161"/>
      <c r="F42" s="161"/>
      <c r="G42" s="161"/>
      <c r="H42" s="101"/>
      <c r="I42" s="101"/>
      <c r="J42" s="101"/>
      <c r="K42" s="164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5.75" customHeight="1">
      <c r="A43" s="101"/>
      <c r="B43" s="167" t="s">
        <v>113</v>
      </c>
      <c r="C43" s="109"/>
      <c r="D43" s="109"/>
      <c r="E43" s="109"/>
      <c r="F43" s="109"/>
      <c r="G43" s="109"/>
      <c r="H43" s="109"/>
      <c r="I43" s="109"/>
      <c r="J43" s="110"/>
      <c r="K43" s="168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21.0" customHeight="1">
      <c r="A44" s="101"/>
      <c r="B44" s="169"/>
      <c r="C44" s="170" t="s">
        <v>114</v>
      </c>
      <c r="D44" s="171" t="s">
        <v>115</v>
      </c>
      <c r="E44" s="171" t="s">
        <v>84</v>
      </c>
      <c r="F44" s="171" t="s">
        <v>85</v>
      </c>
      <c r="G44" s="171" t="s">
        <v>86</v>
      </c>
      <c r="H44" s="171" t="s">
        <v>87</v>
      </c>
      <c r="I44" s="171" t="s">
        <v>88</v>
      </c>
      <c r="J44" s="171" t="s">
        <v>89</v>
      </c>
      <c r="K44" s="172" t="s">
        <v>116</v>
      </c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5.75" customHeight="1">
      <c r="A45" s="101"/>
      <c r="B45" s="173">
        <v>29.0</v>
      </c>
      <c r="C45" s="174" t="s">
        <v>117</v>
      </c>
      <c r="D45" s="175">
        <v>7565289.319884516</v>
      </c>
      <c r="E45" s="176">
        <v>1.0</v>
      </c>
      <c r="F45" s="177">
        <f t="shared" ref="F45:F49" si="10">D45*E45</f>
        <v>7565289.32</v>
      </c>
      <c r="G45" s="177">
        <v>0.0</v>
      </c>
      <c r="H45" s="178">
        <v>0.0</v>
      </c>
      <c r="I45" s="177">
        <f t="shared" ref="I45:I49" si="11">G45-H45</f>
        <v>0</v>
      </c>
      <c r="J45" s="177">
        <f t="shared" ref="J45:J49" si="12">F45+G45-H45</f>
        <v>7565289.32</v>
      </c>
      <c r="K45" s="179"/>
      <c r="L45" s="180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5.75" customHeight="1">
      <c r="A46" s="101"/>
      <c r="B46" s="173">
        <f>B45+1</f>
        <v>30</v>
      </c>
      <c r="C46" s="174" t="s">
        <v>118</v>
      </c>
      <c r="D46" s="175">
        <v>9255303.43</v>
      </c>
      <c r="E46" s="176">
        <v>1.0</v>
      </c>
      <c r="F46" s="177">
        <f t="shared" si="10"/>
        <v>9255303.43</v>
      </c>
      <c r="G46" s="177">
        <v>0.0</v>
      </c>
      <c r="H46" s="178">
        <v>0.0</v>
      </c>
      <c r="I46" s="177">
        <f t="shared" si="11"/>
        <v>0</v>
      </c>
      <c r="J46" s="177">
        <f t="shared" si="12"/>
        <v>9255303.43</v>
      </c>
      <c r="K46" s="179"/>
      <c r="L46" s="180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5.75" customHeight="1">
      <c r="A47" s="101"/>
      <c r="B47" s="173">
        <v>32.0</v>
      </c>
      <c r="C47" s="174" t="s">
        <v>119</v>
      </c>
      <c r="D47" s="181">
        <v>7786750.58</v>
      </c>
      <c r="E47" s="176">
        <v>1.0</v>
      </c>
      <c r="F47" s="177">
        <f t="shared" si="10"/>
        <v>7786750.58</v>
      </c>
      <c r="G47" s="177">
        <v>0.0</v>
      </c>
      <c r="H47" s="178">
        <v>0.0</v>
      </c>
      <c r="I47" s="177">
        <f t="shared" si="11"/>
        <v>0</v>
      </c>
      <c r="J47" s="177">
        <f t="shared" si="12"/>
        <v>7786750.58</v>
      </c>
      <c r="K47" s="179"/>
      <c r="L47" s="180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5.75" customHeight="1">
      <c r="A48" s="101"/>
      <c r="B48" s="173">
        <v>33.0</v>
      </c>
      <c r="C48" s="174" t="s">
        <v>118</v>
      </c>
      <c r="D48" s="175">
        <v>7.111516523E7</v>
      </c>
      <c r="E48" s="176">
        <v>1.0</v>
      </c>
      <c r="F48" s="177">
        <f t="shared" si="10"/>
        <v>71115165.23</v>
      </c>
      <c r="G48" s="177">
        <v>0.0</v>
      </c>
      <c r="H48" s="178">
        <v>0.0</v>
      </c>
      <c r="I48" s="177">
        <f t="shared" si="11"/>
        <v>0</v>
      </c>
      <c r="J48" s="177">
        <f t="shared" si="12"/>
        <v>71115165.23</v>
      </c>
      <c r="K48" s="182" t="s">
        <v>120</v>
      </c>
      <c r="L48" s="180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5.75" customHeight="1">
      <c r="A49" s="101"/>
      <c r="B49" s="173">
        <f>B48+1</f>
        <v>34</v>
      </c>
      <c r="C49" s="174" t="s">
        <v>117</v>
      </c>
      <c r="D49" s="175">
        <v>3.2416919310115486E7</v>
      </c>
      <c r="E49" s="176">
        <v>1.0</v>
      </c>
      <c r="F49" s="177">
        <f t="shared" si="10"/>
        <v>32416919.31</v>
      </c>
      <c r="G49" s="177">
        <v>0.0</v>
      </c>
      <c r="H49" s="178">
        <v>0.0</v>
      </c>
      <c r="I49" s="177">
        <f t="shared" si="11"/>
        <v>0</v>
      </c>
      <c r="J49" s="177">
        <f t="shared" si="12"/>
        <v>32416919.31</v>
      </c>
      <c r="K49" s="182" t="s">
        <v>120</v>
      </c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5.75" customHeight="1">
      <c r="A50" s="101"/>
      <c r="B50" s="183" t="s">
        <v>121</v>
      </c>
      <c r="C50" s="184"/>
      <c r="D50" s="184"/>
      <c r="E50" s="185"/>
      <c r="F50" s="186">
        <f t="shared" ref="F50:J50" si="13">SUM(F45:F49)</f>
        <v>128139427.9</v>
      </c>
      <c r="G50" s="186">
        <f t="shared" si="13"/>
        <v>0</v>
      </c>
      <c r="H50" s="186">
        <f t="shared" si="13"/>
        <v>0</v>
      </c>
      <c r="I50" s="186">
        <f t="shared" si="13"/>
        <v>0</v>
      </c>
      <c r="J50" s="186">
        <f t="shared" si="13"/>
        <v>128139427.9</v>
      </c>
      <c r="K50" s="179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5.75" customHeight="1">
      <c r="A51" s="101"/>
      <c r="B51" s="101"/>
      <c r="C51" s="101"/>
      <c r="D51" s="101"/>
      <c r="E51" s="49"/>
      <c r="F51" s="101"/>
      <c r="G51" s="101"/>
      <c r="H51" s="101"/>
      <c r="I51" s="101"/>
      <c r="J51" s="49"/>
      <c r="K51" s="49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5.75" customHeight="1">
      <c r="A52" s="101"/>
      <c r="B52" s="101"/>
      <c r="C52" s="101"/>
      <c r="D52" s="101"/>
      <c r="E52" s="187"/>
      <c r="F52" s="101"/>
      <c r="G52" s="101"/>
      <c r="H52" s="101"/>
      <c r="I52" s="49"/>
      <c r="J52" s="101"/>
      <c r="K52" s="164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5.75" customHeight="1">
      <c r="A53" s="101"/>
      <c r="B53" s="108" t="s">
        <v>122</v>
      </c>
      <c r="C53" s="109"/>
      <c r="D53" s="109"/>
      <c r="E53" s="109"/>
      <c r="F53" s="109"/>
      <c r="G53" s="109"/>
      <c r="H53" s="109"/>
      <c r="I53" s="109"/>
      <c r="J53" s="110"/>
      <c r="K53" s="168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22.5" customHeight="1">
      <c r="A54" s="101"/>
      <c r="B54" s="188"/>
      <c r="C54" s="189" t="s">
        <v>114</v>
      </c>
      <c r="D54" s="114" t="s">
        <v>123</v>
      </c>
      <c r="E54" s="190" t="s">
        <v>124</v>
      </c>
      <c r="F54" s="190" t="s">
        <v>87</v>
      </c>
      <c r="G54" s="190" t="s">
        <v>88</v>
      </c>
      <c r="H54" s="190" t="s">
        <v>89</v>
      </c>
      <c r="I54" s="191" t="s">
        <v>116</v>
      </c>
      <c r="J54" s="190" t="s">
        <v>125</v>
      </c>
      <c r="K54" s="190" t="s">
        <v>126</v>
      </c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5.75" customHeight="1">
      <c r="A55" s="101"/>
      <c r="B55" s="173"/>
      <c r="C55" s="174" t="s">
        <v>127</v>
      </c>
      <c r="D55" s="192">
        <v>689.68</v>
      </c>
      <c r="E55" s="192">
        <v>0.0</v>
      </c>
      <c r="F55" s="193">
        <v>0.0</v>
      </c>
      <c r="G55" s="193">
        <f t="shared" ref="G55:G59" si="14">E55-F55</f>
        <v>0</v>
      </c>
      <c r="H55" s="193">
        <f t="shared" ref="H55:H59" si="15">D55+G55</f>
        <v>689.68</v>
      </c>
      <c r="I55" s="194"/>
      <c r="J55" s="195" t="s">
        <v>128</v>
      </c>
      <c r="K55" s="196" t="s">
        <v>128</v>
      </c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5.75" customHeight="1">
      <c r="A56" s="101"/>
      <c r="B56" s="173"/>
      <c r="C56" s="174" t="s">
        <v>129</v>
      </c>
      <c r="D56" s="192">
        <v>700753.41</v>
      </c>
      <c r="E56" s="192">
        <v>0.0</v>
      </c>
      <c r="F56" s="193">
        <v>0.0</v>
      </c>
      <c r="G56" s="193">
        <f t="shared" si="14"/>
        <v>0</v>
      </c>
      <c r="H56" s="193">
        <f t="shared" si="15"/>
        <v>700753.41</v>
      </c>
      <c r="I56" s="194"/>
      <c r="J56" s="195" t="s">
        <v>128</v>
      </c>
      <c r="K56" s="196" t="s">
        <v>128</v>
      </c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5.75" customHeight="1">
      <c r="A57" s="101"/>
      <c r="B57" s="197"/>
      <c r="C57" s="198" t="s">
        <v>130</v>
      </c>
      <c r="D57" s="192">
        <v>40812.36</v>
      </c>
      <c r="E57" s="192">
        <v>0.0</v>
      </c>
      <c r="F57" s="193">
        <v>0.0</v>
      </c>
      <c r="G57" s="193">
        <f t="shared" si="14"/>
        <v>0</v>
      </c>
      <c r="H57" s="193">
        <f t="shared" si="15"/>
        <v>40812.36</v>
      </c>
      <c r="I57" s="194"/>
      <c r="J57" s="195" t="s">
        <v>128</v>
      </c>
      <c r="K57" s="196" t="s">
        <v>128</v>
      </c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5.75" customHeight="1">
      <c r="A58" s="101"/>
      <c r="B58" s="183"/>
      <c r="C58" s="198" t="s">
        <v>130</v>
      </c>
      <c r="D58" s="192">
        <v>113064.99</v>
      </c>
      <c r="E58" s="192">
        <v>0.0</v>
      </c>
      <c r="F58" s="193">
        <v>0.0</v>
      </c>
      <c r="G58" s="193">
        <f t="shared" si="14"/>
        <v>0</v>
      </c>
      <c r="H58" s="193">
        <f t="shared" si="15"/>
        <v>113064.99</v>
      </c>
      <c r="I58" s="194"/>
      <c r="J58" s="195" t="s">
        <v>128</v>
      </c>
      <c r="K58" s="196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5.75" customHeight="1">
      <c r="A59" s="101"/>
      <c r="B59" s="183"/>
      <c r="C59" s="199" t="s">
        <v>131</v>
      </c>
      <c r="D59" s="192">
        <v>529152.1</v>
      </c>
      <c r="E59" s="192">
        <v>0.0</v>
      </c>
      <c r="F59" s="193">
        <v>0.0</v>
      </c>
      <c r="G59" s="193">
        <f t="shared" si="14"/>
        <v>0</v>
      </c>
      <c r="H59" s="193">
        <f t="shared" si="15"/>
        <v>529152.1</v>
      </c>
      <c r="I59" s="194"/>
      <c r="J59" s="200"/>
      <c r="K59" s="201">
        <v>46063.0</v>
      </c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5.75" customHeight="1">
      <c r="A60" s="101"/>
      <c r="B60" s="183" t="s">
        <v>132</v>
      </c>
      <c r="C60" s="184"/>
      <c r="D60" s="202">
        <f t="shared" ref="D60:H60" si="16">SUM(D55:D59)</f>
        <v>1384472.54</v>
      </c>
      <c r="E60" s="202">
        <f t="shared" si="16"/>
        <v>0</v>
      </c>
      <c r="F60" s="202">
        <f t="shared" si="16"/>
        <v>0</v>
      </c>
      <c r="G60" s="202">
        <f t="shared" si="16"/>
        <v>0</v>
      </c>
      <c r="H60" s="202">
        <f t="shared" si="16"/>
        <v>1384472.54</v>
      </c>
      <c r="I60" s="203"/>
      <c r="J60" s="204">
        <f>SUM(J55:J59)</f>
        <v>0</v>
      </c>
      <c r="K60" s="197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5.75" customHeight="1">
      <c r="A61" s="101"/>
      <c r="B61" s="101"/>
      <c r="C61" s="101"/>
      <c r="D61" s="101"/>
      <c r="E61" s="101"/>
      <c r="F61" s="101"/>
      <c r="G61" s="205"/>
      <c r="H61" s="101"/>
      <c r="I61" s="101"/>
      <c r="J61" s="101"/>
      <c r="K61" s="164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9.0" customHeight="1">
      <c r="A62" s="101"/>
      <c r="B62" s="101"/>
      <c r="C62" s="206"/>
      <c r="D62" s="206"/>
      <c r="E62" s="206"/>
      <c r="F62" s="206"/>
      <c r="G62" s="101"/>
      <c r="H62" s="49"/>
      <c r="I62" s="205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20.25" customHeight="1">
      <c r="A63" s="101"/>
      <c r="B63" s="101"/>
      <c r="C63" s="114" t="s">
        <v>133</v>
      </c>
      <c r="D63" s="207" t="s">
        <v>134</v>
      </c>
      <c r="E63" s="207" t="s">
        <v>135</v>
      </c>
      <c r="F63" s="208" t="s">
        <v>136</v>
      </c>
      <c r="G63" s="209"/>
      <c r="H63" s="210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5.75" customHeight="1">
      <c r="A64" s="101"/>
      <c r="B64" s="101"/>
      <c r="C64" s="211" t="s">
        <v>137</v>
      </c>
      <c r="D64" s="212">
        <f>J28</f>
        <v>67365732.29</v>
      </c>
      <c r="E64" s="213">
        <v>1.0</v>
      </c>
      <c r="F64" s="214">
        <f t="shared" ref="F64:F66" si="17">D64*E64</f>
        <v>67365732.29</v>
      </c>
      <c r="G64" s="180"/>
      <c r="H64" s="210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5.75" customHeight="1">
      <c r="A65" s="101"/>
      <c r="B65" s="101"/>
      <c r="C65" s="211" t="s">
        <v>138</v>
      </c>
      <c r="D65" s="215">
        <f>J39/E39</f>
        <v>272109.11</v>
      </c>
      <c r="E65" s="216">
        <f>$E$31</f>
        <v>1343.51</v>
      </c>
      <c r="F65" s="217">
        <f t="shared" si="17"/>
        <v>365581310.4</v>
      </c>
      <c r="G65" s="180"/>
      <c r="H65" s="210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5.75" customHeight="1">
      <c r="A66" s="101"/>
      <c r="B66" s="101"/>
      <c r="C66" s="211" t="s">
        <v>139</v>
      </c>
      <c r="D66" s="218">
        <f>J30/E30</f>
        <v>2525</v>
      </c>
      <c r="E66" s="219">
        <f>E30</f>
        <v>1810.4</v>
      </c>
      <c r="F66" s="217">
        <f t="shared" si="17"/>
        <v>4571260</v>
      </c>
      <c r="G66" s="50"/>
      <c r="H66" s="210"/>
      <c r="I66" s="49"/>
      <c r="J66" s="49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5.75" customHeight="1">
      <c r="A67" s="101"/>
      <c r="B67" s="101"/>
      <c r="C67" s="220" t="s">
        <v>140</v>
      </c>
      <c r="D67" s="184"/>
      <c r="E67" s="184"/>
      <c r="F67" s="221">
        <f>SUM(F64:F66)</f>
        <v>437518302.7</v>
      </c>
      <c r="G67" s="50"/>
      <c r="H67" s="210"/>
      <c r="I67" s="49"/>
      <c r="J67" s="49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5.75" customHeight="1">
      <c r="A68" s="101"/>
      <c r="B68" s="101"/>
      <c r="C68" s="101"/>
      <c r="D68" s="101"/>
      <c r="E68" s="101"/>
      <c r="F68" s="210"/>
      <c r="G68" s="50"/>
      <c r="H68" s="205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5.75" customHeight="1">
      <c r="A69" s="101"/>
      <c r="B69" s="101"/>
      <c r="C69" s="101"/>
      <c r="D69" s="101"/>
      <c r="E69" s="101"/>
      <c r="F69" s="101"/>
      <c r="G69" s="49"/>
      <c r="H69" s="205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5.75" customHeight="1">
      <c r="A70" s="101"/>
      <c r="B70" s="101"/>
      <c r="C70" s="101"/>
      <c r="D70" s="101"/>
      <c r="E70" s="101"/>
      <c r="F70" s="101"/>
      <c r="G70" s="49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5.75" customHeight="1">
      <c r="A71" s="101"/>
      <c r="B71" s="101"/>
      <c r="C71" s="101"/>
      <c r="D71" s="101"/>
      <c r="E71" s="101"/>
      <c r="F71" s="101"/>
      <c r="G71" s="49"/>
      <c r="H71" s="163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5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5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5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5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5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5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5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5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5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5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5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5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5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5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5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5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5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5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5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5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5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5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5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5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5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5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5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5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5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5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5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5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5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5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5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5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5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5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5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5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5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5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5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5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5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5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5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5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5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5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5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5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5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5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5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5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5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5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5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5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5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5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5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5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5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5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5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5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5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5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5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5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5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5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5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5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5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5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5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5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5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5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5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5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5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5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5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5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5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5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5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5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5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5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5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5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5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5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5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5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5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5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5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5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5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5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5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5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5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5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5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5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5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5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5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5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5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5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5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5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5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5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5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5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5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5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5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5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5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5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5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5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5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5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5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5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5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5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5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5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5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5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5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5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5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5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5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5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5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5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15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ht="15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ht="15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ht="15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ht="15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ht="15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ht="15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ht="15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ht="15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ht="15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ht="15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ht="15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ht="15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ht="15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ht="15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ht="15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ht="15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ht="15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ht="15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ht="15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ht="15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ht="15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ht="15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ht="15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ht="15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ht="15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ht="15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ht="15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ht="15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ht="15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ht="15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ht="15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ht="15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ht="15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ht="15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ht="15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ht="15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ht="15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ht="15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ht="15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ht="15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ht="15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ht="15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ht="15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ht="15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ht="15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ht="15.75" customHeight="1">
      <c r="A268" s="210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</row>
    <row r="269" ht="15.75" customHeight="1">
      <c r="A269" s="210"/>
      <c r="B269" s="210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</row>
    <row r="270" ht="15.75" customHeight="1">
      <c r="A270" s="210"/>
      <c r="B270" s="210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</row>
    <row r="271" ht="15.75" customHeight="1">
      <c r="A271" s="210"/>
      <c r="B271" s="210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</row>
    <row r="272" ht="15.75" customHeight="1">
      <c r="A272" s="210"/>
      <c r="B272" s="210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</row>
    <row r="273" ht="15.75" customHeight="1">
      <c r="A273" s="210"/>
      <c r="B273" s="210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</row>
    <row r="274" ht="15.75" customHeight="1">
      <c r="A274" s="210"/>
      <c r="B274" s="210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</row>
    <row r="275" ht="15.75" customHeight="1">
      <c r="A275" s="210"/>
      <c r="B275" s="210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</row>
    <row r="276" ht="15.75" customHeight="1">
      <c r="A276" s="210"/>
      <c r="B276" s="210"/>
      <c r="C276" s="210"/>
      <c r="D276" s="210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</row>
    <row r="277" ht="15.75" customHeight="1">
      <c r="A277" s="210"/>
      <c r="B277" s="210"/>
      <c r="C277" s="210"/>
      <c r="D277" s="210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</row>
    <row r="278" ht="15.75" customHeight="1">
      <c r="A278" s="210"/>
      <c r="B278" s="210"/>
      <c r="C278" s="210"/>
      <c r="D278" s="210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</row>
    <row r="279" ht="15.75" customHeight="1">
      <c r="A279" s="210"/>
      <c r="B279" s="210"/>
      <c r="C279" s="210"/>
      <c r="D279" s="210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</row>
    <row r="280" ht="15.75" customHeight="1">
      <c r="A280" s="210"/>
      <c r="B280" s="210"/>
      <c r="C280" s="210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</row>
    <row r="281" ht="15.75" customHeight="1">
      <c r="A281" s="210"/>
      <c r="B281" s="210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</row>
    <row r="282" ht="15.75" customHeight="1">
      <c r="A282" s="210"/>
      <c r="B282" s="210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</row>
    <row r="283" ht="15.75" customHeight="1">
      <c r="A283" s="210"/>
      <c r="B283" s="210"/>
      <c r="C283" s="210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</row>
    <row r="284" ht="15.75" customHeight="1">
      <c r="A284" s="210"/>
      <c r="B284" s="210"/>
      <c r="C284" s="210"/>
      <c r="D284" s="210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</row>
    <row r="285" ht="15.75" customHeight="1">
      <c r="A285" s="210"/>
      <c r="B285" s="210"/>
      <c r="C285" s="210"/>
      <c r="D285" s="210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</row>
    <row r="286" ht="15.75" customHeight="1">
      <c r="A286" s="210"/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</row>
    <row r="287" ht="15.75" customHeight="1">
      <c r="A287" s="210"/>
      <c r="B287" s="210"/>
      <c r="C287" s="210"/>
      <c r="D287" s="210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</row>
    <row r="288" ht="15.75" customHeight="1">
      <c r="A288" s="210"/>
      <c r="B288" s="210"/>
      <c r="C288" s="210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</row>
    <row r="289" ht="15.75" customHeight="1">
      <c r="A289" s="210"/>
      <c r="B289" s="210"/>
      <c r="C289" s="210"/>
      <c r="D289" s="210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</row>
    <row r="290" ht="15.75" customHeight="1">
      <c r="A290" s="210"/>
      <c r="B290" s="210"/>
      <c r="C290" s="210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</row>
    <row r="291" ht="15.75" customHeight="1">
      <c r="A291" s="210"/>
      <c r="B291" s="210"/>
      <c r="C291" s="210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</row>
    <row r="292" ht="15.75" customHeight="1">
      <c r="A292" s="210"/>
      <c r="B292" s="210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</row>
    <row r="293" ht="15.75" customHeight="1">
      <c r="A293" s="210"/>
      <c r="B293" s="210"/>
      <c r="C293" s="210"/>
      <c r="D293" s="210"/>
      <c r="E293" s="21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</row>
    <row r="294" ht="15.75" customHeight="1">
      <c r="A294" s="210"/>
      <c r="B294" s="210"/>
      <c r="C294" s="210"/>
      <c r="D294" s="210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</row>
    <row r="295" ht="15.75" customHeight="1">
      <c r="A295" s="210"/>
      <c r="B295" s="210"/>
      <c r="C295" s="210"/>
      <c r="D295" s="210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</row>
    <row r="296" ht="15.75" customHeight="1">
      <c r="A296" s="210"/>
      <c r="B296" s="210"/>
      <c r="C296" s="210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</row>
    <row r="297" ht="15.75" customHeight="1">
      <c r="A297" s="210"/>
      <c r="B297" s="210"/>
      <c r="C297" s="210"/>
      <c r="D297" s="210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</row>
    <row r="298" ht="15.75" customHeight="1">
      <c r="A298" s="210"/>
      <c r="B298" s="210"/>
      <c r="C298" s="210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</row>
    <row r="299" ht="15.75" customHeight="1">
      <c r="A299" s="210"/>
      <c r="B299" s="210"/>
      <c r="C299" s="210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</row>
    <row r="300" ht="15.75" customHeight="1">
      <c r="A300" s="210"/>
      <c r="B300" s="210"/>
      <c r="C300" s="210"/>
      <c r="D300" s="210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</row>
    <row r="301" ht="15.75" customHeight="1">
      <c r="A301" s="210"/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</row>
    <row r="302" ht="15.75" customHeight="1">
      <c r="A302" s="210"/>
      <c r="B302" s="210"/>
      <c r="C302" s="210"/>
      <c r="D302" s="210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</row>
    <row r="303" ht="15.75" customHeight="1">
      <c r="A303" s="210"/>
      <c r="B303" s="210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</row>
    <row r="304" ht="15.75" customHeight="1">
      <c r="A304" s="210"/>
      <c r="B304" s="210"/>
      <c r="C304" s="210"/>
      <c r="D304" s="210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</row>
    <row r="305" ht="15.75" customHeight="1">
      <c r="A305" s="210"/>
      <c r="B305" s="210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</row>
    <row r="306" ht="15.75" customHeight="1">
      <c r="A306" s="210"/>
      <c r="B306" s="210"/>
      <c r="C306" s="210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</row>
    <row r="307" ht="15.75" customHeight="1">
      <c r="A307" s="210"/>
      <c r="B307" s="210"/>
      <c r="C307" s="210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</row>
    <row r="308" ht="15.75" customHeight="1">
      <c r="A308" s="210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</row>
    <row r="309" ht="15.75" customHeight="1">
      <c r="A309" s="210"/>
      <c r="B309" s="210"/>
      <c r="C309" s="210"/>
      <c r="D309" s="210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</row>
    <row r="310" ht="15.75" customHeight="1">
      <c r="A310" s="210"/>
      <c r="B310" s="210"/>
      <c r="C310" s="210"/>
      <c r="D310" s="210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</row>
    <row r="311" ht="15.75" customHeight="1">
      <c r="A311" s="210"/>
      <c r="B311" s="210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</row>
    <row r="312" ht="15.75" customHeight="1">
      <c r="A312" s="210"/>
      <c r="B312" s="210"/>
      <c r="C312" s="210"/>
      <c r="D312" s="210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</row>
    <row r="313" ht="15.75" customHeight="1">
      <c r="A313" s="210"/>
      <c r="B313" s="210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</row>
    <row r="314" ht="15.75" customHeight="1">
      <c r="A314" s="210"/>
      <c r="B314" s="210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</row>
    <row r="315" ht="15.75" customHeight="1">
      <c r="A315" s="210"/>
      <c r="B315" s="210"/>
      <c r="C315" s="210"/>
      <c r="D315" s="210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</row>
    <row r="316" ht="15.75" customHeight="1">
      <c r="A316" s="210"/>
      <c r="B316" s="210"/>
      <c r="C316" s="210"/>
      <c r="D316" s="210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</row>
    <row r="317" ht="15.75" customHeight="1">
      <c r="A317" s="210"/>
      <c r="B317" s="210"/>
      <c r="C317" s="210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</row>
    <row r="318" ht="15.75" customHeight="1">
      <c r="A318" s="210"/>
      <c r="B318" s="210"/>
      <c r="C318" s="210"/>
      <c r="D318" s="210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</row>
    <row r="319" ht="15.75" customHeight="1">
      <c r="A319" s="210"/>
      <c r="B319" s="210"/>
      <c r="C319" s="210"/>
      <c r="D319" s="210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</row>
    <row r="320" ht="15.75" customHeight="1">
      <c r="A320" s="210"/>
      <c r="B320" s="210"/>
      <c r="C320" s="210"/>
      <c r="D320" s="210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</row>
    <row r="321" ht="15.75" customHeight="1">
      <c r="A321" s="210"/>
      <c r="B321" s="210"/>
      <c r="C321" s="210"/>
      <c r="D321" s="210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</row>
    <row r="322" ht="15.75" customHeight="1">
      <c r="A322" s="210"/>
      <c r="B322" s="210"/>
      <c r="C322" s="210"/>
      <c r="D322" s="210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</row>
    <row r="323" ht="15.75" customHeight="1">
      <c r="A323" s="210"/>
      <c r="B323" s="210"/>
      <c r="C323" s="210"/>
      <c r="D323" s="210"/>
      <c r="E323" s="21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</row>
    <row r="324" ht="15.75" customHeight="1">
      <c r="A324" s="210"/>
      <c r="B324" s="210"/>
      <c r="C324" s="210"/>
      <c r="D324" s="210"/>
      <c r="E324" s="21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</row>
    <row r="325" ht="15.75" customHeight="1">
      <c r="A325" s="210"/>
      <c r="B325" s="210"/>
      <c r="C325" s="210"/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</row>
    <row r="326" ht="15.75" customHeight="1">
      <c r="A326" s="210"/>
      <c r="B326" s="210"/>
      <c r="C326" s="210"/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</row>
    <row r="327" ht="15.75" customHeight="1">
      <c r="A327" s="210"/>
      <c r="B327" s="210"/>
      <c r="C327" s="210"/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</row>
    <row r="328" ht="15.75" customHeight="1">
      <c r="A328" s="210"/>
      <c r="B328" s="210"/>
      <c r="C328" s="210"/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</row>
    <row r="329" ht="15.75" customHeight="1">
      <c r="A329" s="210"/>
      <c r="B329" s="210"/>
      <c r="C329" s="210"/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</row>
    <row r="330" ht="15.75" customHeight="1">
      <c r="A330" s="210"/>
      <c r="B330" s="210"/>
      <c r="C330" s="210"/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</row>
    <row r="331" ht="15.75" customHeight="1">
      <c r="A331" s="210"/>
      <c r="B331" s="210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</row>
    <row r="332" ht="15.75" customHeight="1">
      <c r="A332" s="210"/>
      <c r="B332" s="210"/>
      <c r="C332" s="210"/>
      <c r="D332" s="210"/>
      <c r="E332" s="21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</row>
    <row r="333" ht="15.75" customHeight="1">
      <c r="A333" s="210"/>
      <c r="B333" s="210"/>
      <c r="C333" s="210"/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</row>
    <row r="334" ht="15.75" customHeight="1">
      <c r="A334" s="210"/>
      <c r="B334" s="210"/>
      <c r="C334" s="210"/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</row>
    <row r="335" ht="15.75" customHeight="1">
      <c r="A335" s="210"/>
      <c r="B335" s="210"/>
      <c r="C335" s="210"/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</row>
    <row r="336" ht="15.75" customHeight="1">
      <c r="A336" s="210"/>
      <c r="B336" s="210"/>
      <c r="C336" s="210"/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</row>
    <row r="337" ht="15.75" customHeight="1">
      <c r="A337" s="210"/>
      <c r="B337" s="210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</row>
    <row r="338" ht="15.75" customHeight="1">
      <c r="A338" s="210"/>
      <c r="B338" s="210"/>
      <c r="C338" s="210"/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</row>
    <row r="339" ht="15.75" customHeight="1">
      <c r="A339" s="210"/>
      <c r="B339" s="210"/>
      <c r="C339" s="210"/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</row>
    <row r="340" ht="15.75" customHeight="1">
      <c r="A340" s="210"/>
      <c r="B340" s="210"/>
      <c r="C340" s="210"/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</row>
    <row r="341" ht="15.75" customHeight="1">
      <c r="A341" s="210"/>
      <c r="B341" s="210"/>
      <c r="C341" s="210"/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</row>
    <row r="342" ht="15.75" customHeight="1">
      <c r="A342" s="210"/>
      <c r="B342" s="210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</row>
    <row r="343" ht="15.75" customHeight="1">
      <c r="A343" s="210"/>
      <c r="B343" s="210"/>
      <c r="C343" s="210"/>
      <c r="D343" s="210"/>
      <c r="E343" s="21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</row>
    <row r="344" ht="15.75" customHeight="1">
      <c r="A344" s="210"/>
      <c r="B344" s="210"/>
      <c r="C344" s="210"/>
      <c r="D344" s="210"/>
      <c r="E344" s="21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</row>
    <row r="345" ht="15.75" customHeight="1">
      <c r="A345" s="210"/>
      <c r="B345" s="210"/>
      <c r="C345" s="210"/>
      <c r="D345" s="210"/>
      <c r="E345" s="21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</row>
    <row r="346" ht="15.75" customHeight="1">
      <c r="A346" s="210"/>
      <c r="B346" s="210"/>
      <c r="C346" s="210"/>
      <c r="D346" s="210"/>
      <c r="E346" s="21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</row>
    <row r="347" ht="15.75" customHeight="1">
      <c r="A347" s="210"/>
      <c r="B347" s="210"/>
      <c r="C347" s="210"/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</row>
    <row r="348" ht="15.75" customHeight="1">
      <c r="A348" s="210"/>
      <c r="B348" s="210"/>
      <c r="C348" s="210"/>
      <c r="D348" s="210"/>
      <c r="E348" s="21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</row>
    <row r="349" ht="15.75" customHeight="1">
      <c r="A349" s="210"/>
      <c r="B349" s="210"/>
      <c r="C349" s="210"/>
      <c r="D349" s="210"/>
      <c r="E349" s="21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</row>
    <row r="350" ht="15.75" customHeight="1">
      <c r="A350" s="210"/>
      <c r="B350" s="210"/>
      <c r="C350" s="210"/>
      <c r="D350" s="210"/>
      <c r="E350" s="21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</row>
    <row r="351" ht="15.75" customHeight="1">
      <c r="A351" s="210"/>
      <c r="B351" s="210"/>
      <c r="C351" s="210"/>
      <c r="D351" s="210"/>
      <c r="E351" s="21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</row>
    <row r="352" ht="15.75" customHeight="1">
      <c r="A352" s="210"/>
      <c r="B352" s="210"/>
      <c r="C352" s="210"/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</row>
    <row r="353" ht="15.75" customHeight="1">
      <c r="A353" s="210"/>
      <c r="B353" s="210"/>
      <c r="C353" s="210"/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</row>
    <row r="354" ht="15.75" customHeight="1">
      <c r="A354" s="210"/>
      <c r="B354" s="210"/>
      <c r="C354" s="210"/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</row>
    <row r="355" ht="15.75" customHeight="1">
      <c r="A355" s="210"/>
      <c r="B355" s="210"/>
      <c r="C355" s="210"/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</row>
    <row r="356" ht="15.75" customHeight="1">
      <c r="A356" s="210"/>
      <c r="B356" s="210"/>
      <c r="C356" s="210"/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</row>
    <row r="357" ht="15.75" customHeight="1">
      <c r="A357" s="210"/>
      <c r="B357" s="210"/>
      <c r="C357" s="210"/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</row>
    <row r="358" ht="15.75" customHeight="1">
      <c r="A358" s="210"/>
      <c r="B358" s="210"/>
      <c r="C358" s="210"/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</row>
    <row r="359" ht="15.75" customHeight="1">
      <c r="A359" s="210"/>
      <c r="B359" s="210"/>
      <c r="C359" s="210"/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</row>
    <row r="360" ht="15.75" customHeight="1">
      <c r="A360" s="210"/>
      <c r="B360" s="210"/>
      <c r="C360" s="210"/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</row>
    <row r="361" ht="15.75" customHeight="1">
      <c r="A361" s="210"/>
      <c r="B361" s="210"/>
      <c r="C361" s="210"/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</row>
    <row r="362" ht="15.75" customHeight="1">
      <c r="A362" s="210"/>
      <c r="B362" s="210"/>
      <c r="C362" s="210"/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</row>
    <row r="363" ht="15.75" customHeight="1">
      <c r="A363" s="210"/>
      <c r="B363" s="210"/>
      <c r="C363" s="210"/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</row>
    <row r="364" ht="15.75" customHeight="1">
      <c r="A364" s="210"/>
      <c r="B364" s="210"/>
      <c r="C364" s="210"/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</row>
    <row r="365" ht="15.75" customHeight="1">
      <c r="A365" s="210"/>
      <c r="B365" s="210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</row>
    <row r="366" ht="15.75" customHeight="1">
      <c r="A366" s="210"/>
      <c r="B366" s="210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</row>
    <row r="367" ht="15.75" customHeight="1">
      <c r="A367" s="210"/>
      <c r="B367" s="210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</row>
    <row r="368" ht="15.75" customHeight="1">
      <c r="A368" s="210"/>
      <c r="B368" s="210"/>
      <c r="C368" s="210"/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</row>
    <row r="369" ht="15.75" customHeight="1">
      <c r="A369" s="210"/>
      <c r="B369" s="210"/>
      <c r="C369" s="210"/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</row>
    <row r="370" ht="15.75" customHeight="1">
      <c r="A370" s="210"/>
      <c r="B370" s="210"/>
      <c r="C370" s="210"/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</row>
    <row r="371" ht="15.75" customHeight="1">
      <c r="A371" s="210"/>
      <c r="B371" s="210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</row>
    <row r="372" ht="15.75" customHeight="1">
      <c r="A372" s="210"/>
      <c r="B372" s="210"/>
      <c r="C372" s="210"/>
      <c r="D372" s="210"/>
      <c r="E372" s="21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</row>
    <row r="373" ht="15.75" customHeight="1">
      <c r="A373" s="210"/>
      <c r="B373" s="210"/>
      <c r="C373" s="210"/>
      <c r="D373" s="210"/>
      <c r="E373" s="21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</row>
    <row r="374" ht="15.75" customHeight="1">
      <c r="A374" s="210"/>
      <c r="B374" s="210"/>
      <c r="C374" s="210"/>
      <c r="D374" s="210"/>
      <c r="E374" s="21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</row>
    <row r="375" ht="15.75" customHeight="1">
      <c r="A375" s="210"/>
      <c r="B375" s="210"/>
      <c r="C375" s="210"/>
      <c r="D375" s="210"/>
      <c r="E375" s="21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</row>
    <row r="376" ht="15.75" customHeight="1">
      <c r="A376" s="210"/>
      <c r="B376" s="210"/>
      <c r="C376" s="210"/>
      <c r="D376" s="210"/>
      <c r="E376" s="21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</row>
    <row r="377" ht="15.75" customHeight="1">
      <c r="A377" s="210"/>
      <c r="B377" s="210"/>
      <c r="C377" s="210"/>
      <c r="D377" s="210"/>
      <c r="E377" s="21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</row>
    <row r="378" ht="15.75" customHeight="1">
      <c r="A378" s="210"/>
      <c r="B378" s="210"/>
      <c r="C378" s="210"/>
      <c r="D378" s="210"/>
      <c r="E378" s="21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</row>
    <row r="379" ht="15.75" customHeight="1">
      <c r="A379" s="210"/>
      <c r="B379" s="210"/>
      <c r="C379" s="210"/>
      <c r="D379" s="210"/>
      <c r="E379" s="21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</row>
    <row r="380" ht="15.75" customHeight="1">
      <c r="A380" s="210"/>
      <c r="B380" s="210"/>
      <c r="C380" s="210"/>
      <c r="D380" s="210"/>
      <c r="E380" s="21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</row>
    <row r="381" ht="15.75" customHeight="1">
      <c r="A381" s="210"/>
      <c r="B381" s="210"/>
      <c r="C381" s="210"/>
      <c r="D381" s="210"/>
      <c r="E381" s="21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</row>
    <row r="382" ht="15.75" customHeight="1">
      <c r="A382" s="210"/>
      <c r="B382" s="210"/>
      <c r="C382" s="210"/>
      <c r="D382" s="210"/>
      <c r="E382" s="21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</row>
    <row r="383" ht="15.75" customHeight="1">
      <c r="A383" s="210"/>
      <c r="B383" s="210"/>
      <c r="C383" s="210"/>
      <c r="D383" s="210"/>
      <c r="E383" s="21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</row>
    <row r="384" ht="15.75" customHeight="1">
      <c r="A384" s="210"/>
      <c r="B384" s="210"/>
      <c r="C384" s="210"/>
      <c r="D384" s="210"/>
      <c r="E384" s="21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</row>
    <row r="385" ht="15.75" customHeight="1">
      <c r="A385" s="210"/>
      <c r="B385" s="210"/>
      <c r="C385" s="210"/>
      <c r="D385" s="210"/>
      <c r="E385" s="21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</row>
    <row r="386" ht="15.75" customHeight="1">
      <c r="A386" s="210"/>
      <c r="B386" s="210"/>
      <c r="C386" s="210"/>
      <c r="D386" s="210"/>
      <c r="E386" s="21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</row>
    <row r="387" ht="15.75" customHeight="1">
      <c r="A387" s="210"/>
      <c r="B387" s="210"/>
      <c r="C387" s="210"/>
      <c r="D387" s="210"/>
      <c r="E387" s="21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</row>
    <row r="388" ht="15.75" customHeight="1">
      <c r="A388" s="210"/>
      <c r="B388" s="210"/>
      <c r="C388" s="210"/>
      <c r="D388" s="210"/>
      <c r="E388" s="21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</row>
    <row r="389" ht="15.75" customHeight="1">
      <c r="A389" s="210"/>
      <c r="B389" s="210"/>
      <c r="C389" s="210"/>
      <c r="D389" s="210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</row>
    <row r="390" ht="15.75" customHeight="1">
      <c r="A390" s="210"/>
      <c r="B390" s="210"/>
      <c r="C390" s="210"/>
      <c r="D390" s="210"/>
      <c r="E390" s="21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</row>
    <row r="391" ht="15.75" customHeight="1">
      <c r="A391" s="210"/>
      <c r="B391" s="210"/>
      <c r="C391" s="210"/>
      <c r="D391" s="210"/>
      <c r="E391" s="21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</row>
    <row r="392" ht="15.75" customHeight="1">
      <c r="A392" s="210"/>
      <c r="B392" s="210"/>
      <c r="C392" s="210"/>
      <c r="D392" s="210"/>
      <c r="E392" s="21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</row>
    <row r="393" ht="15.75" customHeight="1">
      <c r="A393" s="210"/>
      <c r="B393" s="210"/>
      <c r="C393" s="210"/>
      <c r="D393" s="210"/>
      <c r="E393" s="21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</row>
    <row r="394" ht="15.75" customHeight="1">
      <c r="A394" s="210"/>
      <c r="B394" s="210"/>
      <c r="C394" s="210"/>
      <c r="D394" s="210"/>
      <c r="E394" s="21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</row>
    <row r="395" ht="15.75" customHeight="1">
      <c r="A395" s="210"/>
      <c r="B395" s="210"/>
      <c r="C395" s="210"/>
      <c r="D395" s="210"/>
      <c r="E395" s="21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</row>
    <row r="396" ht="15.75" customHeight="1">
      <c r="A396" s="210"/>
      <c r="B396" s="210"/>
      <c r="C396" s="210"/>
      <c r="D396" s="210"/>
      <c r="E396" s="21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</row>
    <row r="397" ht="15.75" customHeight="1">
      <c r="A397" s="210"/>
      <c r="B397" s="210"/>
      <c r="C397" s="210"/>
      <c r="D397" s="210"/>
      <c r="E397" s="21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</row>
    <row r="398" ht="15.75" customHeight="1">
      <c r="A398" s="210"/>
      <c r="B398" s="210"/>
      <c r="C398" s="210"/>
      <c r="D398" s="210"/>
      <c r="E398" s="21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</row>
    <row r="399" ht="15.75" customHeight="1">
      <c r="A399" s="210"/>
      <c r="B399" s="210"/>
      <c r="C399" s="210"/>
      <c r="D399" s="210"/>
      <c r="E399" s="21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</row>
    <row r="400" ht="15.75" customHeight="1">
      <c r="A400" s="210"/>
      <c r="B400" s="210"/>
      <c r="C400" s="210"/>
      <c r="D400" s="210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</row>
    <row r="401" ht="15.75" customHeight="1">
      <c r="A401" s="210"/>
      <c r="B401" s="210"/>
      <c r="C401" s="210"/>
      <c r="D401" s="210"/>
      <c r="E401" s="21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</row>
    <row r="402" ht="15.75" customHeight="1">
      <c r="A402" s="210"/>
      <c r="B402" s="210"/>
      <c r="C402" s="210"/>
      <c r="D402" s="210"/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</row>
    <row r="403" ht="15.75" customHeight="1">
      <c r="A403" s="210"/>
      <c r="B403" s="210"/>
      <c r="C403" s="210"/>
      <c r="D403" s="210"/>
      <c r="E403" s="21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</row>
    <row r="404" ht="15.75" customHeight="1">
      <c r="A404" s="210"/>
      <c r="B404" s="210"/>
      <c r="C404" s="210"/>
      <c r="D404" s="210"/>
      <c r="E404" s="21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</row>
    <row r="405" ht="15.75" customHeight="1">
      <c r="A405" s="210"/>
      <c r="B405" s="210"/>
      <c r="C405" s="210"/>
      <c r="D405" s="210"/>
      <c r="E405" s="21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</row>
    <row r="406" ht="15.75" customHeight="1">
      <c r="A406" s="210"/>
      <c r="B406" s="210"/>
      <c r="C406" s="210"/>
      <c r="D406" s="210"/>
      <c r="E406" s="21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</row>
    <row r="407" ht="15.75" customHeight="1">
      <c r="A407" s="210"/>
      <c r="B407" s="210"/>
      <c r="C407" s="210"/>
      <c r="D407" s="210"/>
      <c r="E407" s="21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</row>
    <row r="408" ht="15.75" customHeight="1">
      <c r="A408" s="210"/>
      <c r="B408" s="210"/>
      <c r="C408" s="210"/>
      <c r="D408" s="210"/>
      <c r="E408" s="21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</row>
    <row r="409" ht="15.75" customHeight="1">
      <c r="A409" s="210"/>
      <c r="B409" s="210"/>
      <c r="C409" s="210"/>
      <c r="D409" s="210"/>
      <c r="E409" s="21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</row>
    <row r="410" ht="15.75" customHeight="1">
      <c r="A410" s="210"/>
      <c r="B410" s="210"/>
      <c r="C410" s="210"/>
      <c r="D410" s="210"/>
      <c r="E410" s="21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</row>
    <row r="411" ht="15.75" customHeight="1">
      <c r="A411" s="210"/>
      <c r="B411" s="210"/>
      <c r="C411" s="210"/>
      <c r="D411" s="210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</row>
    <row r="412" ht="15.75" customHeight="1">
      <c r="A412" s="210"/>
      <c r="B412" s="210"/>
      <c r="C412" s="210"/>
      <c r="D412" s="210"/>
      <c r="E412" s="21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</row>
    <row r="413" ht="15.75" customHeight="1">
      <c r="A413" s="210"/>
      <c r="B413" s="210"/>
      <c r="C413" s="210"/>
      <c r="D413" s="210"/>
      <c r="E413" s="21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</row>
    <row r="414" ht="15.75" customHeight="1">
      <c r="A414" s="210"/>
      <c r="B414" s="210"/>
      <c r="C414" s="210"/>
      <c r="D414" s="210"/>
      <c r="E414" s="21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</row>
    <row r="415" ht="15.75" customHeight="1">
      <c r="A415" s="210"/>
      <c r="B415" s="210"/>
      <c r="C415" s="210"/>
      <c r="D415" s="210"/>
      <c r="E415" s="21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</row>
    <row r="416" ht="15.75" customHeight="1">
      <c r="A416" s="210"/>
      <c r="B416" s="210"/>
      <c r="C416" s="210"/>
      <c r="D416" s="210"/>
      <c r="E416" s="21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</row>
    <row r="417" ht="15.75" customHeight="1">
      <c r="A417" s="210"/>
      <c r="B417" s="210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</row>
    <row r="418" ht="15.75" customHeight="1">
      <c r="A418" s="210"/>
      <c r="B418" s="210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</row>
    <row r="419" ht="15.75" customHeight="1">
      <c r="A419" s="210"/>
      <c r="B419" s="210"/>
      <c r="C419" s="210"/>
      <c r="D419" s="210"/>
      <c r="E419" s="21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</row>
    <row r="420" ht="15.75" customHeight="1">
      <c r="A420" s="210"/>
      <c r="B420" s="210"/>
      <c r="C420" s="210"/>
      <c r="D420" s="210"/>
      <c r="E420" s="21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</row>
    <row r="421" ht="15.75" customHeight="1">
      <c r="A421" s="210"/>
      <c r="B421" s="210"/>
      <c r="C421" s="210"/>
      <c r="D421" s="210"/>
      <c r="E421" s="21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</row>
    <row r="422" ht="15.75" customHeight="1">
      <c r="A422" s="210"/>
      <c r="B422" s="210"/>
      <c r="C422" s="210"/>
      <c r="D422" s="210"/>
      <c r="E422" s="21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</row>
    <row r="423" ht="15.75" customHeight="1">
      <c r="A423" s="210"/>
      <c r="B423" s="210"/>
      <c r="C423" s="210"/>
      <c r="D423" s="210"/>
      <c r="E423" s="21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</row>
    <row r="424" ht="15.75" customHeight="1">
      <c r="A424" s="210"/>
      <c r="B424" s="210"/>
      <c r="C424" s="210"/>
      <c r="D424" s="210"/>
      <c r="E424" s="21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</row>
    <row r="425" ht="15.75" customHeight="1">
      <c r="A425" s="210"/>
      <c r="B425" s="210"/>
      <c r="C425" s="210"/>
      <c r="D425" s="210"/>
      <c r="E425" s="21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</row>
    <row r="426" ht="15.75" customHeight="1">
      <c r="A426" s="210"/>
      <c r="B426" s="210"/>
      <c r="C426" s="210"/>
      <c r="D426" s="210"/>
      <c r="E426" s="21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</row>
    <row r="427" ht="15.75" customHeight="1">
      <c r="A427" s="210"/>
      <c r="B427" s="210"/>
      <c r="C427" s="210"/>
      <c r="D427" s="210"/>
      <c r="E427" s="21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</row>
    <row r="428" ht="15.75" customHeight="1">
      <c r="A428" s="210"/>
      <c r="B428" s="210"/>
      <c r="C428" s="210"/>
      <c r="D428" s="210"/>
      <c r="E428" s="21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</row>
    <row r="429" ht="15.75" customHeight="1">
      <c r="A429" s="210"/>
      <c r="B429" s="210"/>
      <c r="C429" s="210"/>
      <c r="D429" s="210"/>
      <c r="E429" s="21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</row>
    <row r="430" ht="15.75" customHeight="1">
      <c r="A430" s="210"/>
      <c r="B430" s="210"/>
      <c r="C430" s="210"/>
      <c r="D430" s="210"/>
      <c r="E430" s="21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</row>
    <row r="431" ht="15.75" customHeight="1">
      <c r="A431" s="210"/>
      <c r="B431" s="210"/>
      <c r="C431" s="210"/>
      <c r="D431" s="210"/>
      <c r="E431" s="21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</row>
    <row r="432" ht="15.75" customHeight="1">
      <c r="A432" s="210"/>
      <c r="B432" s="210"/>
      <c r="C432" s="210"/>
      <c r="D432" s="210"/>
      <c r="E432" s="210"/>
      <c r="F432" s="210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</row>
    <row r="433" ht="15.75" customHeight="1">
      <c r="A433" s="210"/>
      <c r="B433" s="210"/>
      <c r="C433" s="210"/>
      <c r="D433" s="210"/>
      <c r="E433" s="210"/>
      <c r="F433" s="210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</row>
    <row r="434" ht="15.75" customHeight="1">
      <c r="A434" s="210"/>
      <c r="B434" s="210"/>
      <c r="C434" s="210"/>
      <c r="D434" s="210"/>
      <c r="E434" s="210"/>
      <c r="F434" s="210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</row>
    <row r="435" ht="15.75" customHeight="1">
      <c r="A435" s="210"/>
      <c r="B435" s="210"/>
      <c r="C435" s="210"/>
      <c r="D435" s="210"/>
      <c r="E435" s="210"/>
      <c r="F435" s="210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</row>
    <row r="436" ht="15.75" customHeight="1">
      <c r="A436" s="210"/>
      <c r="B436" s="210"/>
      <c r="C436" s="210"/>
      <c r="D436" s="210"/>
      <c r="E436" s="210"/>
      <c r="F436" s="210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</row>
    <row r="437" ht="15.75" customHeight="1">
      <c r="A437" s="210"/>
      <c r="B437" s="210"/>
      <c r="C437" s="210"/>
      <c r="D437" s="210"/>
      <c r="E437" s="210"/>
      <c r="F437" s="210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</row>
    <row r="438" ht="15.75" customHeight="1">
      <c r="A438" s="210"/>
      <c r="B438" s="210"/>
      <c r="C438" s="210"/>
      <c r="D438" s="210"/>
      <c r="E438" s="21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</row>
    <row r="439" ht="15.75" customHeight="1">
      <c r="A439" s="210"/>
      <c r="B439" s="210"/>
      <c r="C439" s="210"/>
      <c r="D439" s="210"/>
      <c r="E439" s="210"/>
      <c r="F439" s="210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</row>
    <row r="440" ht="15.75" customHeight="1">
      <c r="A440" s="210"/>
      <c r="B440" s="210"/>
      <c r="C440" s="210"/>
      <c r="D440" s="210"/>
      <c r="E440" s="210"/>
      <c r="F440" s="210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</row>
    <row r="441" ht="15.75" customHeight="1">
      <c r="A441" s="210"/>
      <c r="B441" s="210"/>
      <c r="C441" s="210"/>
      <c r="D441" s="210"/>
      <c r="E441" s="210"/>
      <c r="F441" s="210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</row>
    <row r="442" ht="15.75" customHeight="1">
      <c r="A442" s="210"/>
      <c r="B442" s="210"/>
      <c r="C442" s="210"/>
      <c r="D442" s="210"/>
      <c r="E442" s="210"/>
      <c r="F442" s="210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</row>
    <row r="443" ht="15.75" customHeight="1">
      <c r="A443" s="210"/>
      <c r="B443" s="210"/>
      <c r="C443" s="210"/>
      <c r="D443" s="210"/>
      <c r="E443" s="210"/>
      <c r="F443" s="210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</row>
    <row r="444" ht="15.75" customHeight="1">
      <c r="A444" s="210"/>
      <c r="B444" s="210"/>
      <c r="C444" s="210"/>
      <c r="D444" s="210"/>
      <c r="E444" s="210"/>
      <c r="F444" s="210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</row>
    <row r="445" ht="15.75" customHeight="1">
      <c r="A445" s="210"/>
      <c r="B445" s="210"/>
      <c r="C445" s="210"/>
      <c r="D445" s="210"/>
      <c r="E445" s="210"/>
      <c r="F445" s="210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</row>
    <row r="446" ht="15.75" customHeight="1">
      <c r="A446" s="210"/>
      <c r="B446" s="210"/>
      <c r="C446" s="210"/>
      <c r="D446" s="210"/>
      <c r="E446" s="210"/>
      <c r="F446" s="210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</row>
    <row r="447" ht="15.75" customHeight="1">
      <c r="A447" s="210"/>
      <c r="B447" s="210"/>
      <c r="C447" s="210"/>
      <c r="D447" s="210"/>
      <c r="E447" s="210"/>
      <c r="F447" s="210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</row>
    <row r="448" ht="15.75" customHeight="1">
      <c r="A448" s="210"/>
      <c r="B448" s="210"/>
      <c r="C448" s="210"/>
      <c r="D448" s="210"/>
      <c r="E448" s="210"/>
      <c r="F448" s="210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</row>
    <row r="449" ht="15.75" customHeight="1">
      <c r="A449" s="210"/>
      <c r="B449" s="210"/>
      <c r="C449" s="210"/>
      <c r="D449" s="210"/>
      <c r="E449" s="210"/>
      <c r="F449" s="210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</row>
    <row r="450" ht="15.75" customHeight="1">
      <c r="A450" s="210"/>
      <c r="B450" s="210"/>
      <c r="C450" s="210"/>
      <c r="D450" s="210"/>
      <c r="E450" s="210"/>
      <c r="F450" s="210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</row>
    <row r="451" ht="15.75" customHeight="1">
      <c r="A451" s="210"/>
      <c r="B451" s="210"/>
      <c r="C451" s="210"/>
      <c r="D451" s="210"/>
      <c r="E451" s="210"/>
      <c r="F451" s="210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</row>
    <row r="452" ht="15.75" customHeight="1">
      <c r="A452" s="210"/>
      <c r="B452" s="210"/>
      <c r="C452" s="210"/>
      <c r="D452" s="210"/>
      <c r="E452" s="210"/>
      <c r="F452" s="210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</row>
    <row r="453" ht="15.75" customHeight="1">
      <c r="A453" s="210"/>
      <c r="B453" s="210"/>
      <c r="C453" s="210"/>
      <c r="D453" s="210"/>
      <c r="E453" s="21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</row>
    <row r="454" ht="15.75" customHeight="1">
      <c r="A454" s="210"/>
      <c r="B454" s="210"/>
      <c r="C454" s="210"/>
      <c r="D454" s="210"/>
      <c r="E454" s="210"/>
      <c r="F454" s="210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</row>
    <row r="455" ht="15.75" customHeight="1">
      <c r="A455" s="210"/>
      <c r="B455" s="210"/>
      <c r="C455" s="210"/>
      <c r="D455" s="210"/>
      <c r="E455" s="210"/>
      <c r="F455" s="210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</row>
    <row r="456" ht="15.75" customHeight="1">
      <c r="A456" s="210"/>
      <c r="B456" s="210"/>
      <c r="C456" s="210"/>
      <c r="D456" s="210"/>
      <c r="E456" s="210"/>
      <c r="F456" s="210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</row>
    <row r="457" ht="15.75" customHeight="1">
      <c r="A457" s="210"/>
      <c r="B457" s="210"/>
      <c r="C457" s="210"/>
      <c r="D457" s="210"/>
      <c r="E457" s="210"/>
      <c r="F457" s="210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</row>
    <row r="458" ht="15.75" customHeight="1">
      <c r="A458" s="210"/>
      <c r="B458" s="210"/>
      <c r="C458" s="210"/>
      <c r="D458" s="210"/>
      <c r="E458" s="210"/>
      <c r="F458" s="210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</row>
    <row r="459" ht="15.75" customHeight="1">
      <c r="A459" s="210"/>
      <c r="B459" s="210"/>
      <c r="C459" s="210"/>
      <c r="D459" s="210"/>
      <c r="E459" s="210"/>
      <c r="F459" s="210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</row>
    <row r="460" ht="15.75" customHeight="1">
      <c r="A460" s="210"/>
      <c r="B460" s="210"/>
      <c r="C460" s="210"/>
      <c r="D460" s="210"/>
      <c r="E460" s="210"/>
      <c r="F460" s="210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</row>
    <row r="461" ht="15.75" customHeight="1">
      <c r="A461" s="210"/>
      <c r="B461" s="210"/>
      <c r="C461" s="210"/>
      <c r="D461" s="210"/>
      <c r="E461" s="210"/>
      <c r="F461" s="210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</row>
    <row r="462" ht="15.75" customHeight="1">
      <c r="A462" s="210"/>
      <c r="B462" s="210"/>
      <c r="C462" s="210"/>
      <c r="D462" s="210"/>
      <c r="E462" s="210"/>
      <c r="F462" s="210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</row>
    <row r="463" ht="15.75" customHeight="1">
      <c r="A463" s="210"/>
      <c r="B463" s="210"/>
      <c r="C463" s="210"/>
      <c r="D463" s="210"/>
      <c r="E463" s="210"/>
      <c r="F463" s="210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</row>
    <row r="464" ht="15.75" customHeight="1">
      <c r="A464" s="210"/>
      <c r="B464" s="210"/>
      <c r="C464" s="210"/>
      <c r="D464" s="210"/>
      <c r="E464" s="210"/>
      <c r="F464" s="210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</row>
    <row r="465" ht="15.75" customHeight="1">
      <c r="A465" s="210"/>
      <c r="B465" s="210"/>
      <c r="C465" s="210"/>
      <c r="D465" s="210"/>
      <c r="E465" s="210"/>
      <c r="F465" s="210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</row>
    <row r="466" ht="15.75" customHeight="1">
      <c r="A466" s="210"/>
      <c r="B466" s="210"/>
      <c r="C466" s="210"/>
      <c r="D466" s="210"/>
      <c r="E466" s="210"/>
      <c r="F466" s="210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</row>
    <row r="467" ht="15.75" customHeight="1">
      <c r="A467" s="210"/>
      <c r="B467" s="210"/>
      <c r="C467" s="210"/>
      <c r="D467" s="210"/>
      <c r="E467" s="210"/>
      <c r="F467" s="210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</row>
    <row r="468" ht="15.75" customHeight="1">
      <c r="A468" s="210"/>
      <c r="B468" s="210"/>
      <c r="C468" s="210"/>
      <c r="D468" s="210"/>
      <c r="E468" s="210"/>
      <c r="F468" s="210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</row>
    <row r="469" ht="15.75" customHeight="1">
      <c r="A469" s="210"/>
      <c r="B469" s="210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</row>
    <row r="470" ht="15.75" customHeight="1">
      <c r="A470" s="210"/>
      <c r="B470" s="210"/>
      <c r="C470" s="210"/>
      <c r="D470" s="210"/>
      <c r="E470" s="210"/>
      <c r="F470" s="210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</row>
    <row r="471" ht="15.75" customHeight="1">
      <c r="A471" s="210"/>
      <c r="B471" s="210"/>
      <c r="C471" s="210"/>
      <c r="D471" s="210"/>
      <c r="E471" s="210"/>
      <c r="F471" s="210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</row>
    <row r="472" ht="15.75" customHeight="1">
      <c r="A472" s="210"/>
      <c r="B472" s="210"/>
      <c r="C472" s="210"/>
      <c r="D472" s="210"/>
      <c r="E472" s="210"/>
      <c r="F472" s="210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</row>
    <row r="473" ht="15.75" customHeight="1">
      <c r="A473" s="210"/>
      <c r="B473" s="210"/>
      <c r="C473" s="210"/>
      <c r="D473" s="210"/>
      <c r="E473" s="210"/>
      <c r="F473" s="210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</row>
    <row r="474" ht="15.75" customHeight="1">
      <c r="A474" s="210"/>
      <c r="B474" s="210"/>
      <c r="C474" s="210"/>
      <c r="D474" s="210"/>
      <c r="E474" s="210"/>
      <c r="F474" s="210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</row>
    <row r="475" ht="15.75" customHeight="1">
      <c r="A475" s="210"/>
      <c r="B475" s="210"/>
      <c r="C475" s="210"/>
      <c r="D475" s="210"/>
      <c r="E475" s="210"/>
      <c r="F475" s="210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</row>
    <row r="476" ht="15.75" customHeight="1">
      <c r="A476" s="210"/>
      <c r="B476" s="210"/>
      <c r="C476" s="210"/>
      <c r="D476" s="210"/>
      <c r="E476" s="210"/>
      <c r="F476" s="210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</row>
    <row r="477" ht="15.75" customHeight="1">
      <c r="A477" s="210"/>
      <c r="B477" s="210"/>
      <c r="C477" s="210"/>
      <c r="D477" s="210"/>
      <c r="E477" s="210"/>
      <c r="F477" s="210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</row>
    <row r="478" ht="15.75" customHeight="1">
      <c r="A478" s="210"/>
      <c r="B478" s="210"/>
      <c r="C478" s="210"/>
      <c r="D478" s="210"/>
      <c r="E478" s="210"/>
      <c r="F478" s="210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</row>
    <row r="479" ht="15.75" customHeight="1">
      <c r="A479" s="210"/>
      <c r="B479" s="210"/>
      <c r="C479" s="210"/>
      <c r="D479" s="210"/>
      <c r="E479" s="210"/>
      <c r="F479" s="210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</row>
    <row r="480" ht="15.75" customHeight="1">
      <c r="A480" s="210"/>
      <c r="B480" s="210"/>
      <c r="C480" s="210"/>
      <c r="D480" s="210"/>
      <c r="E480" s="210"/>
      <c r="F480" s="210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</row>
    <row r="481" ht="15.75" customHeight="1">
      <c r="A481" s="210"/>
      <c r="B481" s="210"/>
      <c r="C481" s="210"/>
      <c r="D481" s="210"/>
      <c r="E481" s="210"/>
      <c r="F481" s="210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</row>
    <row r="482" ht="15.75" customHeight="1">
      <c r="A482" s="210"/>
      <c r="B482" s="210"/>
      <c r="C482" s="210"/>
      <c r="D482" s="210"/>
      <c r="E482" s="210"/>
      <c r="F482" s="210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</row>
    <row r="483" ht="15.75" customHeight="1">
      <c r="A483" s="210"/>
      <c r="B483" s="210"/>
      <c r="C483" s="210"/>
      <c r="D483" s="210"/>
      <c r="E483" s="210"/>
      <c r="F483" s="210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</row>
    <row r="484" ht="15.75" customHeight="1">
      <c r="A484" s="210"/>
      <c r="B484" s="210"/>
      <c r="C484" s="210"/>
      <c r="D484" s="210"/>
      <c r="E484" s="210"/>
      <c r="F484" s="210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</row>
    <row r="485" ht="15.75" customHeight="1">
      <c r="A485" s="210"/>
      <c r="B485" s="210"/>
      <c r="C485" s="210"/>
      <c r="D485" s="210"/>
      <c r="E485" s="210"/>
      <c r="F485" s="210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</row>
    <row r="486" ht="15.75" customHeight="1">
      <c r="A486" s="210"/>
      <c r="B486" s="210"/>
      <c r="C486" s="210"/>
      <c r="D486" s="210"/>
      <c r="E486" s="210"/>
      <c r="F486" s="210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</row>
    <row r="487" ht="15.75" customHeight="1">
      <c r="A487" s="210"/>
      <c r="B487" s="210"/>
      <c r="C487" s="210"/>
      <c r="D487" s="210"/>
      <c r="E487" s="210"/>
      <c r="F487" s="210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</row>
    <row r="488" ht="15.75" customHeight="1">
      <c r="A488" s="210"/>
      <c r="B488" s="210"/>
      <c r="C488" s="210"/>
      <c r="D488" s="210"/>
      <c r="E488" s="210"/>
      <c r="F488" s="210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</row>
    <row r="489" ht="15.75" customHeight="1">
      <c r="A489" s="210"/>
      <c r="B489" s="210"/>
      <c r="C489" s="210"/>
      <c r="D489" s="210"/>
      <c r="E489" s="210"/>
      <c r="F489" s="210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</row>
    <row r="490" ht="15.75" customHeight="1">
      <c r="A490" s="210"/>
      <c r="B490" s="210"/>
      <c r="C490" s="210"/>
      <c r="D490" s="210"/>
      <c r="E490" s="210"/>
      <c r="F490" s="210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</row>
    <row r="491" ht="15.75" customHeight="1">
      <c r="A491" s="210"/>
      <c r="B491" s="210"/>
      <c r="C491" s="210"/>
      <c r="D491" s="210"/>
      <c r="E491" s="210"/>
      <c r="F491" s="210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</row>
    <row r="492" ht="15.75" customHeight="1">
      <c r="A492" s="210"/>
      <c r="B492" s="210"/>
      <c r="C492" s="210"/>
      <c r="D492" s="210"/>
      <c r="E492" s="210"/>
      <c r="F492" s="210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</row>
    <row r="493" ht="15.75" customHeight="1">
      <c r="A493" s="210"/>
      <c r="B493" s="210"/>
      <c r="C493" s="210"/>
      <c r="D493" s="210"/>
      <c r="E493" s="210"/>
      <c r="F493" s="210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</row>
    <row r="494" ht="15.75" customHeight="1">
      <c r="A494" s="210"/>
      <c r="B494" s="210"/>
      <c r="C494" s="210"/>
      <c r="D494" s="210"/>
      <c r="E494" s="210"/>
      <c r="F494" s="210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</row>
    <row r="495" ht="15.75" customHeight="1">
      <c r="A495" s="210"/>
      <c r="B495" s="210"/>
      <c r="C495" s="210"/>
      <c r="D495" s="210"/>
      <c r="E495" s="210"/>
      <c r="F495" s="210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</row>
    <row r="496" ht="15.75" customHeight="1">
      <c r="A496" s="210"/>
      <c r="B496" s="210"/>
      <c r="C496" s="210"/>
      <c r="D496" s="210"/>
      <c r="E496" s="210"/>
      <c r="F496" s="210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</row>
    <row r="497" ht="15.75" customHeight="1">
      <c r="A497" s="210"/>
      <c r="B497" s="210"/>
      <c r="C497" s="210"/>
      <c r="D497" s="210"/>
      <c r="E497" s="210"/>
      <c r="F497" s="210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</row>
    <row r="498" ht="15.75" customHeight="1">
      <c r="A498" s="210"/>
      <c r="B498" s="210"/>
      <c r="C498" s="210"/>
      <c r="D498" s="210"/>
      <c r="E498" s="210"/>
      <c r="F498" s="210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</row>
    <row r="499" ht="15.75" customHeight="1">
      <c r="A499" s="210"/>
      <c r="B499" s="210"/>
      <c r="C499" s="210"/>
      <c r="D499" s="210"/>
      <c r="E499" s="210"/>
      <c r="F499" s="210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</row>
    <row r="500" ht="15.75" customHeight="1">
      <c r="A500" s="210"/>
      <c r="B500" s="210"/>
      <c r="C500" s="210"/>
      <c r="D500" s="210"/>
      <c r="E500" s="210"/>
      <c r="F500" s="210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</row>
    <row r="501" ht="15.75" customHeight="1">
      <c r="A501" s="210"/>
      <c r="B501" s="210"/>
      <c r="C501" s="210"/>
      <c r="D501" s="210"/>
      <c r="E501" s="210"/>
      <c r="F501" s="210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</row>
    <row r="502" ht="15.75" customHeight="1">
      <c r="A502" s="210"/>
      <c r="B502" s="210"/>
      <c r="C502" s="210"/>
      <c r="D502" s="210"/>
      <c r="E502" s="210"/>
      <c r="F502" s="210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</row>
    <row r="503" ht="15.75" customHeight="1">
      <c r="A503" s="210"/>
      <c r="B503" s="210"/>
      <c r="C503" s="210"/>
      <c r="D503" s="210"/>
      <c r="E503" s="210"/>
      <c r="F503" s="210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</row>
    <row r="504" ht="15.75" customHeight="1">
      <c r="A504" s="210"/>
      <c r="B504" s="210"/>
      <c r="C504" s="210"/>
      <c r="D504" s="210"/>
      <c r="E504" s="210"/>
      <c r="F504" s="210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</row>
    <row r="505" ht="15.75" customHeight="1">
      <c r="A505" s="210"/>
      <c r="B505" s="210"/>
      <c r="C505" s="210"/>
      <c r="D505" s="210"/>
      <c r="E505" s="210"/>
      <c r="F505" s="210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</row>
    <row r="506" ht="15.75" customHeight="1">
      <c r="A506" s="210"/>
      <c r="B506" s="210"/>
      <c r="C506" s="210"/>
      <c r="D506" s="210"/>
      <c r="E506" s="210"/>
      <c r="F506" s="210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</row>
    <row r="507" ht="15.75" customHeight="1">
      <c r="A507" s="210"/>
      <c r="B507" s="210"/>
      <c r="C507" s="210"/>
      <c r="D507" s="210"/>
      <c r="E507" s="210"/>
      <c r="F507" s="210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</row>
    <row r="508" ht="15.75" customHeight="1">
      <c r="A508" s="210"/>
      <c r="B508" s="210"/>
      <c r="C508" s="210"/>
      <c r="D508" s="210"/>
      <c r="E508" s="210"/>
      <c r="F508" s="210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</row>
    <row r="509" ht="15.75" customHeight="1">
      <c r="A509" s="210"/>
      <c r="B509" s="210"/>
      <c r="C509" s="210"/>
      <c r="D509" s="210"/>
      <c r="E509" s="210"/>
      <c r="F509" s="210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</row>
    <row r="510" ht="15.75" customHeight="1">
      <c r="A510" s="210"/>
      <c r="B510" s="210"/>
      <c r="C510" s="210"/>
      <c r="D510" s="210"/>
      <c r="E510" s="210"/>
      <c r="F510" s="210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</row>
    <row r="511" ht="15.75" customHeight="1">
      <c r="A511" s="210"/>
      <c r="B511" s="210"/>
      <c r="C511" s="210"/>
      <c r="D511" s="210"/>
      <c r="E511" s="210"/>
      <c r="F511" s="210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</row>
    <row r="512" ht="15.75" customHeight="1">
      <c r="A512" s="210"/>
      <c r="B512" s="210"/>
      <c r="C512" s="210"/>
      <c r="D512" s="210"/>
      <c r="E512" s="210"/>
      <c r="F512" s="210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</row>
    <row r="513" ht="15.75" customHeight="1">
      <c r="A513" s="210"/>
      <c r="B513" s="210"/>
      <c r="C513" s="210"/>
      <c r="D513" s="210"/>
      <c r="E513" s="210"/>
      <c r="F513" s="210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</row>
    <row r="514" ht="15.75" customHeight="1">
      <c r="A514" s="210"/>
      <c r="B514" s="210"/>
      <c r="C514" s="210"/>
      <c r="D514" s="210"/>
      <c r="E514" s="210"/>
      <c r="F514" s="210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</row>
    <row r="515" ht="15.75" customHeight="1">
      <c r="A515" s="210"/>
      <c r="B515" s="210"/>
      <c r="C515" s="210"/>
      <c r="D515" s="210"/>
      <c r="E515" s="210"/>
      <c r="F515" s="210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</row>
    <row r="516" ht="15.75" customHeight="1">
      <c r="A516" s="210"/>
      <c r="B516" s="210"/>
      <c r="C516" s="210"/>
      <c r="D516" s="210"/>
      <c r="E516" s="210"/>
      <c r="F516" s="210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</row>
    <row r="517" ht="15.75" customHeight="1">
      <c r="A517" s="210"/>
      <c r="B517" s="210"/>
      <c r="C517" s="210"/>
      <c r="D517" s="210"/>
      <c r="E517" s="210"/>
      <c r="F517" s="210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</row>
    <row r="518" ht="15.75" customHeight="1">
      <c r="A518" s="210"/>
      <c r="B518" s="210"/>
      <c r="C518" s="210"/>
      <c r="D518" s="210"/>
      <c r="E518" s="210"/>
      <c r="F518" s="210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</row>
    <row r="519" ht="15.75" customHeight="1">
      <c r="A519" s="210"/>
      <c r="B519" s="210"/>
      <c r="C519" s="210"/>
      <c r="D519" s="210"/>
      <c r="E519" s="210"/>
      <c r="F519" s="210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</row>
    <row r="520" ht="15.75" customHeight="1">
      <c r="A520" s="210"/>
      <c r="B520" s="210"/>
      <c r="C520" s="210"/>
      <c r="D520" s="210"/>
      <c r="E520" s="210"/>
      <c r="F520" s="210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</row>
    <row r="521" ht="15.75" customHeight="1">
      <c r="A521" s="210"/>
      <c r="B521" s="210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</row>
    <row r="522" ht="15.75" customHeight="1">
      <c r="A522" s="210"/>
      <c r="B522" s="210"/>
      <c r="C522" s="210"/>
      <c r="D522" s="210"/>
      <c r="E522" s="210"/>
      <c r="F522" s="210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</row>
    <row r="523" ht="15.75" customHeight="1">
      <c r="A523" s="210"/>
      <c r="B523" s="210"/>
      <c r="C523" s="210"/>
      <c r="D523" s="210"/>
      <c r="E523" s="210"/>
      <c r="F523" s="210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</row>
    <row r="524" ht="15.75" customHeight="1">
      <c r="A524" s="210"/>
      <c r="B524" s="210"/>
      <c r="C524" s="210"/>
      <c r="D524" s="210"/>
      <c r="E524" s="210"/>
      <c r="F524" s="210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</row>
    <row r="525" ht="15.75" customHeight="1">
      <c r="A525" s="210"/>
      <c r="B525" s="210"/>
      <c r="C525" s="210"/>
      <c r="D525" s="210"/>
      <c r="E525" s="210"/>
      <c r="F525" s="210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</row>
    <row r="526" ht="15.75" customHeight="1">
      <c r="A526" s="210"/>
      <c r="B526" s="210"/>
      <c r="C526" s="210"/>
      <c r="D526" s="210"/>
      <c r="E526" s="210"/>
      <c r="F526" s="210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</row>
    <row r="527" ht="15.75" customHeight="1">
      <c r="A527" s="210"/>
      <c r="B527" s="210"/>
      <c r="C527" s="210"/>
      <c r="D527" s="210"/>
      <c r="E527" s="210"/>
      <c r="F527" s="210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</row>
    <row r="528" ht="15.75" customHeight="1">
      <c r="A528" s="210"/>
      <c r="B528" s="210"/>
      <c r="C528" s="210"/>
      <c r="D528" s="210"/>
      <c r="E528" s="210"/>
      <c r="F528" s="210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</row>
    <row r="529" ht="15.75" customHeight="1">
      <c r="A529" s="210"/>
      <c r="B529" s="210"/>
      <c r="C529" s="210"/>
      <c r="D529" s="210"/>
      <c r="E529" s="210"/>
      <c r="F529" s="210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</row>
    <row r="530" ht="15.75" customHeight="1">
      <c r="A530" s="210"/>
      <c r="B530" s="210"/>
      <c r="C530" s="210"/>
      <c r="D530" s="210"/>
      <c r="E530" s="210"/>
      <c r="F530" s="210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</row>
    <row r="531" ht="15.75" customHeight="1">
      <c r="A531" s="210"/>
      <c r="B531" s="210"/>
      <c r="C531" s="210"/>
      <c r="D531" s="210"/>
      <c r="E531" s="210"/>
      <c r="F531" s="210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</row>
    <row r="532" ht="15.75" customHeight="1">
      <c r="A532" s="210"/>
      <c r="B532" s="210"/>
      <c r="C532" s="210"/>
      <c r="D532" s="210"/>
      <c r="E532" s="210"/>
      <c r="F532" s="210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</row>
    <row r="533" ht="15.75" customHeight="1">
      <c r="A533" s="210"/>
      <c r="B533" s="210"/>
      <c r="C533" s="210"/>
      <c r="D533" s="210"/>
      <c r="E533" s="210"/>
      <c r="F533" s="210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</row>
    <row r="534" ht="15.75" customHeight="1">
      <c r="A534" s="210"/>
      <c r="B534" s="210"/>
      <c r="C534" s="210"/>
      <c r="D534" s="210"/>
      <c r="E534" s="210"/>
      <c r="F534" s="210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</row>
    <row r="535" ht="15.75" customHeight="1">
      <c r="A535" s="210"/>
      <c r="B535" s="210"/>
      <c r="C535" s="210"/>
      <c r="D535" s="210"/>
      <c r="E535" s="210"/>
      <c r="F535" s="210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</row>
    <row r="536" ht="15.75" customHeight="1">
      <c r="A536" s="210"/>
      <c r="B536" s="210"/>
      <c r="C536" s="210"/>
      <c r="D536" s="210"/>
      <c r="E536" s="210"/>
      <c r="F536" s="210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</row>
    <row r="537" ht="15.75" customHeight="1">
      <c r="A537" s="210"/>
      <c r="B537" s="210"/>
      <c r="C537" s="210"/>
      <c r="D537" s="210"/>
      <c r="E537" s="210"/>
      <c r="F537" s="210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</row>
    <row r="538" ht="15.75" customHeight="1">
      <c r="A538" s="210"/>
      <c r="B538" s="210"/>
      <c r="C538" s="210"/>
      <c r="D538" s="210"/>
      <c r="E538" s="210"/>
      <c r="F538" s="210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</row>
    <row r="539" ht="15.75" customHeight="1">
      <c r="A539" s="210"/>
      <c r="B539" s="210"/>
      <c r="C539" s="210"/>
      <c r="D539" s="210"/>
      <c r="E539" s="210"/>
      <c r="F539" s="210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</row>
    <row r="540" ht="15.75" customHeight="1">
      <c r="A540" s="210"/>
      <c r="B540" s="210"/>
      <c r="C540" s="210"/>
      <c r="D540" s="210"/>
      <c r="E540" s="210"/>
      <c r="F540" s="210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</row>
    <row r="541" ht="15.75" customHeight="1">
      <c r="A541" s="210"/>
      <c r="B541" s="210"/>
      <c r="C541" s="210"/>
      <c r="D541" s="210"/>
      <c r="E541" s="210"/>
      <c r="F541" s="210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</row>
    <row r="542" ht="15.75" customHeight="1">
      <c r="A542" s="210"/>
      <c r="B542" s="210"/>
      <c r="C542" s="210"/>
      <c r="D542" s="210"/>
      <c r="E542" s="210"/>
      <c r="F542" s="210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</row>
    <row r="543" ht="15.75" customHeight="1">
      <c r="A543" s="210"/>
      <c r="B543" s="210"/>
      <c r="C543" s="210"/>
      <c r="D543" s="210"/>
      <c r="E543" s="210"/>
      <c r="F543" s="210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</row>
    <row r="544" ht="15.75" customHeight="1">
      <c r="A544" s="210"/>
      <c r="B544" s="210"/>
      <c r="C544" s="210"/>
      <c r="D544" s="210"/>
      <c r="E544" s="210"/>
      <c r="F544" s="210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</row>
    <row r="545" ht="15.75" customHeight="1">
      <c r="A545" s="210"/>
      <c r="B545" s="210"/>
      <c r="C545" s="210"/>
      <c r="D545" s="210"/>
      <c r="E545" s="210"/>
      <c r="F545" s="210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</row>
    <row r="546" ht="15.75" customHeight="1">
      <c r="A546" s="210"/>
      <c r="B546" s="210"/>
      <c r="C546" s="210"/>
      <c r="D546" s="210"/>
      <c r="E546" s="210"/>
      <c r="F546" s="210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</row>
    <row r="547" ht="15.75" customHeight="1">
      <c r="A547" s="210"/>
      <c r="B547" s="210"/>
      <c r="C547" s="210"/>
      <c r="D547" s="210"/>
      <c r="E547" s="210"/>
      <c r="F547" s="210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</row>
    <row r="548" ht="15.75" customHeight="1">
      <c r="A548" s="210"/>
      <c r="B548" s="210"/>
      <c r="C548" s="210"/>
      <c r="D548" s="210"/>
      <c r="E548" s="210"/>
      <c r="F548" s="210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</row>
    <row r="549" ht="15.75" customHeight="1">
      <c r="A549" s="210"/>
      <c r="B549" s="210"/>
      <c r="C549" s="210"/>
      <c r="D549" s="210"/>
      <c r="E549" s="210"/>
      <c r="F549" s="210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</row>
    <row r="550" ht="15.75" customHeight="1">
      <c r="A550" s="210"/>
      <c r="B550" s="210"/>
      <c r="C550" s="210"/>
      <c r="D550" s="210"/>
      <c r="E550" s="210"/>
      <c r="F550" s="210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</row>
    <row r="551" ht="15.75" customHeight="1">
      <c r="A551" s="210"/>
      <c r="B551" s="210"/>
      <c r="C551" s="210"/>
      <c r="D551" s="210"/>
      <c r="E551" s="210"/>
      <c r="F551" s="210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</row>
    <row r="552" ht="15.75" customHeight="1">
      <c r="A552" s="210"/>
      <c r="B552" s="210"/>
      <c r="C552" s="210"/>
      <c r="D552" s="210"/>
      <c r="E552" s="210"/>
      <c r="F552" s="210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</row>
    <row r="553" ht="15.75" customHeight="1">
      <c r="A553" s="210"/>
      <c r="B553" s="210"/>
      <c r="C553" s="210"/>
      <c r="D553" s="210"/>
      <c r="E553" s="210"/>
      <c r="F553" s="210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</row>
    <row r="554" ht="15.75" customHeight="1">
      <c r="A554" s="210"/>
      <c r="B554" s="210"/>
      <c r="C554" s="210"/>
      <c r="D554" s="210"/>
      <c r="E554" s="210"/>
      <c r="F554" s="210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</row>
    <row r="555" ht="15.75" customHeight="1">
      <c r="A555" s="210"/>
      <c r="B555" s="210"/>
      <c r="C555" s="210"/>
      <c r="D555" s="210"/>
      <c r="E555" s="210"/>
      <c r="F555" s="210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</row>
    <row r="556" ht="15.75" customHeight="1">
      <c r="A556" s="210"/>
      <c r="B556" s="210"/>
      <c r="C556" s="210"/>
      <c r="D556" s="210"/>
      <c r="E556" s="210"/>
      <c r="F556" s="210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</row>
    <row r="557" ht="15.75" customHeight="1">
      <c r="A557" s="210"/>
      <c r="B557" s="210"/>
      <c r="C557" s="210"/>
      <c r="D557" s="210"/>
      <c r="E557" s="210"/>
      <c r="F557" s="210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</row>
    <row r="558" ht="15.75" customHeight="1">
      <c r="A558" s="210"/>
      <c r="B558" s="210"/>
      <c r="C558" s="210"/>
      <c r="D558" s="210"/>
      <c r="E558" s="210"/>
      <c r="F558" s="210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</row>
    <row r="559" ht="15.75" customHeight="1">
      <c r="A559" s="210"/>
      <c r="B559" s="210"/>
      <c r="C559" s="210"/>
      <c r="D559" s="210"/>
      <c r="E559" s="210"/>
      <c r="F559" s="210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</row>
    <row r="560" ht="15.75" customHeight="1">
      <c r="A560" s="210"/>
      <c r="B560" s="210"/>
      <c r="C560" s="210"/>
      <c r="D560" s="210"/>
      <c r="E560" s="210"/>
      <c r="F560" s="210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</row>
    <row r="561" ht="15.75" customHeight="1">
      <c r="A561" s="210"/>
      <c r="B561" s="210"/>
      <c r="C561" s="210"/>
      <c r="D561" s="210"/>
      <c r="E561" s="210"/>
      <c r="F561" s="210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</row>
    <row r="562" ht="15.75" customHeight="1">
      <c r="A562" s="210"/>
      <c r="B562" s="210"/>
      <c r="C562" s="210"/>
      <c r="D562" s="210"/>
      <c r="E562" s="210"/>
      <c r="F562" s="210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</row>
    <row r="563" ht="15.75" customHeight="1">
      <c r="A563" s="210"/>
      <c r="B563" s="210"/>
      <c r="C563" s="210"/>
      <c r="D563" s="210"/>
      <c r="E563" s="210"/>
      <c r="F563" s="210"/>
      <c r="G563" s="210"/>
      <c r="H563" s="210"/>
      <c r="I563" s="210"/>
      <c r="J563" s="210"/>
      <c r="K563" s="210"/>
      <c r="L563" s="210"/>
      <c r="M563" s="210"/>
      <c r="N563" s="210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</row>
    <row r="564" ht="15.75" customHeight="1">
      <c r="A564" s="210"/>
      <c r="B564" s="210"/>
      <c r="C564" s="210"/>
      <c r="D564" s="210"/>
      <c r="E564" s="210"/>
      <c r="F564" s="210"/>
      <c r="G564" s="210"/>
      <c r="H564" s="210"/>
      <c r="I564" s="210"/>
      <c r="J564" s="210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</row>
    <row r="565" ht="15.75" customHeight="1">
      <c r="A565" s="210"/>
      <c r="B565" s="210"/>
      <c r="C565" s="210"/>
      <c r="D565" s="210"/>
      <c r="E565" s="210"/>
      <c r="F565" s="210"/>
      <c r="G565" s="210"/>
      <c r="H565" s="210"/>
      <c r="I565" s="210"/>
      <c r="J565" s="210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</row>
    <row r="566" ht="15.75" customHeight="1">
      <c r="A566" s="210"/>
      <c r="B566" s="210"/>
      <c r="C566" s="210"/>
      <c r="D566" s="210"/>
      <c r="E566" s="210"/>
      <c r="F566" s="210"/>
      <c r="G566" s="210"/>
      <c r="H566" s="210"/>
      <c r="I566" s="210"/>
      <c r="J566" s="210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</row>
    <row r="567" ht="15.75" customHeight="1">
      <c r="A567" s="210"/>
      <c r="B567" s="210"/>
      <c r="C567" s="210"/>
      <c r="D567" s="210"/>
      <c r="E567" s="210"/>
      <c r="F567" s="210"/>
      <c r="G567" s="210"/>
      <c r="H567" s="210"/>
      <c r="I567" s="210"/>
      <c r="J567" s="210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</row>
    <row r="568" ht="15.75" customHeight="1">
      <c r="A568" s="210"/>
      <c r="B568" s="210"/>
      <c r="C568" s="210"/>
      <c r="D568" s="210"/>
      <c r="E568" s="210"/>
      <c r="F568" s="210"/>
      <c r="G568" s="210"/>
      <c r="H568" s="210"/>
      <c r="I568" s="210"/>
      <c r="J568" s="210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</row>
    <row r="569" ht="15.75" customHeight="1">
      <c r="A569" s="210"/>
      <c r="B569" s="210"/>
      <c r="C569" s="210"/>
      <c r="D569" s="210"/>
      <c r="E569" s="210"/>
      <c r="F569" s="210"/>
      <c r="G569" s="210"/>
      <c r="H569" s="210"/>
      <c r="I569" s="210"/>
      <c r="J569" s="210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</row>
    <row r="570" ht="15.75" customHeight="1">
      <c r="A570" s="210"/>
      <c r="B570" s="210"/>
      <c r="C570" s="210"/>
      <c r="D570" s="210"/>
      <c r="E570" s="210"/>
      <c r="F570" s="210"/>
      <c r="G570" s="210"/>
      <c r="H570" s="210"/>
      <c r="I570" s="210"/>
      <c r="J570" s="210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</row>
    <row r="571" ht="15.75" customHeight="1">
      <c r="A571" s="210"/>
      <c r="B571" s="210"/>
      <c r="C571" s="210"/>
      <c r="D571" s="210"/>
      <c r="E571" s="210"/>
      <c r="F571" s="210"/>
      <c r="G571" s="210"/>
      <c r="H571" s="210"/>
      <c r="I571" s="210"/>
      <c r="J571" s="210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</row>
    <row r="572" ht="15.75" customHeight="1">
      <c r="A572" s="210"/>
      <c r="B572" s="210"/>
      <c r="C572" s="210"/>
      <c r="D572" s="210"/>
      <c r="E572" s="210"/>
      <c r="F572" s="210"/>
      <c r="G572" s="210"/>
      <c r="H572" s="210"/>
      <c r="I572" s="210"/>
      <c r="J572" s="210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</row>
    <row r="573" ht="15.75" customHeight="1">
      <c r="A573" s="210"/>
      <c r="B573" s="210"/>
      <c r="C573" s="210"/>
      <c r="D573" s="210"/>
      <c r="E573" s="210"/>
      <c r="F573" s="210"/>
      <c r="G573" s="210"/>
      <c r="H573" s="210"/>
      <c r="I573" s="210"/>
      <c r="J573" s="210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</row>
    <row r="574" ht="15.75" customHeight="1">
      <c r="A574" s="210"/>
      <c r="B574" s="210"/>
      <c r="C574" s="210"/>
      <c r="D574" s="210"/>
      <c r="E574" s="210"/>
      <c r="F574" s="210"/>
      <c r="G574" s="210"/>
      <c r="H574" s="210"/>
      <c r="I574" s="210"/>
      <c r="J574" s="210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</row>
    <row r="575" ht="15.75" customHeight="1">
      <c r="A575" s="210"/>
      <c r="B575" s="210"/>
      <c r="C575" s="210"/>
      <c r="D575" s="210"/>
      <c r="E575" s="210"/>
      <c r="F575" s="210"/>
      <c r="G575" s="210"/>
      <c r="H575" s="210"/>
      <c r="I575" s="210"/>
      <c r="J575" s="210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</row>
    <row r="576" ht="15.75" customHeight="1">
      <c r="A576" s="210"/>
      <c r="B576" s="210"/>
      <c r="C576" s="210"/>
      <c r="D576" s="210"/>
      <c r="E576" s="210"/>
      <c r="F576" s="210"/>
      <c r="G576" s="210"/>
      <c r="H576" s="210"/>
      <c r="I576" s="210"/>
      <c r="J576" s="210"/>
      <c r="K576" s="210"/>
      <c r="L576" s="210"/>
      <c r="M576" s="210"/>
      <c r="N576" s="210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</row>
    <row r="577" ht="15.75" customHeight="1">
      <c r="A577" s="210"/>
      <c r="B577" s="210"/>
      <c r="C577" s="210"/>
      <c r="D577" s="210"/>
      <c r="E577" s="210"/>
      <c r="F577" s="210"/>
      <c r="G577" s="210"/>
      <c r="H577" s="210"/>
      <c r="I577" s="210"/>
      <c r="J577" s="210"/>
      <c r="K577" s="210"/>
      <c r="L577" s="210"/>
      <c r="M577" s="210"/>
      <c r="N577" s="210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</row>
    <row r="578" ht="15.75" customHeight="1">
      <c r="A578" s="210"/>
      <c r="B578" s="210"/>
      <c r="C578" s="210"/>
      <c r="D578" s="210"/>
      <c r="E578" s="210"/>
      <c r="F578" s="210"/>
      <c r="G578" s="210"/>
      <c r="H578" s="210"/>
      <c r="I578" s="210"/>
      <c r="J578" s="210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</row>
    <row r="579" ht="15.75" customHeight="1">
      <c r="A579" s="210"/>
      <c r="B579" s="210"/>
      <c r="C579" s="210"/>
      <c r="D579" s="210"/>
      <c r="E579" s="210"/>
      <c r="F579" s="210"/>
      <c r="G579" s="210"/>
      <c r="H579" s="210"/>
      <c r="I579" s="210"/>
      <c r="J579" s="210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</row>
    <row r="580" ht="15.75" customHeight="1">
      <c r="A580" s="210"/>
      <c r="B580" s="210"/>
      <c r="C580" s="210"/>
      <c r="D580" s="210"/>
      <c r="E580" s="210"/>
      <c r="F580" s="210"/>
      <c r="G580" s="210"/>
      <c r="H580" s="210"/>
      <c r="I580" s="210"/>
      <c r="J580" s="210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</row>
    <row r="581" ht="15.75" customHeight="1">
      <c r="A581" s="210"/>
      <c r="B581" s="210"/>
      <c r="C581" s="210"/>
      <c r="D581" s="210"/>
      <c r="E581" s="210"/>
      <c r="F581" s="210"/>
      <c r="G581" s="210"/>
      <c r="H581" s="210"/>
      <c r="I581" s="210"/>
      <c r="J581" s="210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</row>
    <row r="582" ht="15.75" customHeight="1">
      <c r="A582" s="210"/>
      <c r="B582" s="210"/>
      <c r="C582" s="210"/>
      <c r="D582" s="210"/>
      <c r="E582" s="210"/>
      <c r="F582" s="210"/>
      <c r="G582" s="210"/>
      <c r="H582" s="210"/>
      <c r="I582" s="210"/>
      <c r="J582" s="210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</row>
    <row r="583" ht="15.75" customHeight="1">
      <c r="A583" s="210"/>
      <c r="B583" s="210"/>
      <c r="C583" s="210"/>
      <c r="D583" s="210"/>
      <c r="E583" s="210"/>
      <c r="F583" s="210"/>
      <c r="G583" s="210"/>
      <c r="H583" s="210"/>
      <c r="I583" s="210"/>
      <c r="J583" s="210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</row>
    <row r="584" ht="15.75" customHeight="1">
      <c r="A584" s="210"/>
      <c r="B584" s="210"/>
      <c r="C584" s="210"/>
      <c r="D584" s="210"/>
      <c r="E584" s="210"/>
      <c r="F584" s="210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</row>
    <row r="585" ht="15.75" customHeight="1">
      <c r="A585" s="210"/>
      <c r="B585" s="210"/>
      <c r="C585" s="210"/>
      <c r="D585" s="210"/>
      <c r="E585" s="210"/>
      <c r="F585" s="210"/>
      <c r="G585" s="210"/>
      <c r="H585" s="210"/>
      <c r="I585" s="210"/>
      <c r="J585" s="210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</row>
    <row r="586" ht="15.75" customHeight="1">
      <c r="A586" s="210"/>
      <c r="B586" s="210"/>
      <c r="C586" s="210"/>
      <c r="D586" s="210"/>
      <c r="E586" s="210"/>
      <c r="F586" s="210"/>
      <c r="G586" s="210"/>
      <c r="H586" s="210"/>
      <c r="I586" s="210"/>
      <c r="J586" s="210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</row>
    <row r="587" ht="15.75" customHeight="1">
      <c r="A587" s="210"/>
      <c r="B587" s="210"/>
      <c r="C587" s="210"/>
      <c r="D587" s="210"/>
      <c r="E587" s="210"/>
      <c r="F587" s="210"/>
      <c r="G587" s="210"/>
      <c r="H587" s="210"/>
      <c r="I587" s="210"/>
      <c r="J587" s="210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</row>
    <row r="588" ht="15.75" customHeight="1">
      <c r="A588" s="210"/>
      <c r="B588" s="210"/>
      <c r="C588" s="210"/>
      <c r="D588" s="210"/>
      <c r="E588" s="210"/>
      <c r="F588" s="210"/>
      <c r="G588" s="210"/>
      <c r="H588" s="210"/>
      <c r="I588" s="210"/>
      <c r="J588" s="210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</row>
    <row r="589" ht="15.75" customHeight="1">
      <c r="A589" s="210"/>
      <c r="B589" s="210"/>
      <c r="C589" s="210"/>
      <c r="D589" s="210"/>
      <c r="E589" s="210"/>
      <c r="F589" s="210"/>
      <c r="G589" s="210"/>
      <c r="H589" s="210"/>
      <c r="I589" s="210"/>
      <c r="J589" s="210"/>
      <c r="K589" s="210"/>
      <c r="L589" s="210"/>
      <c r="M589" s="210"/>
      <c r="N589" s="210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</row>
    <row r="590" ht="15.75" customHeight="1">
      <c r="A590" s="210"/>
      <c r="B590" s="210"/>
      <c r="C590" s="210"/>
      <c r="D590" s="210"/>
      <c r="E590" s="210"/>
      <c r="F590" s="210"/>
      <c r="G590" s="210"/>
      <c r="H590" s="210"/>
      <c r="I590" s="210"/>
      <c r="J590" s="210"/>
      <c r="K590" s="210"/>
      <c r="L590" s="210"/>
      <c r="M590" s="210"/>
      <c r="N590" s="210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</row>
    <row r="591" ht="15.75" customHeight="1">
      <c r="A591" s="210"/>
      <c r="B591" s="210"/>
      <c r="C591" s="210"/>
      <c r="D591" s="210"/>
      <c r="E591" s="210"/>
      <c r="F591" s="210"/>
      <c r="G591" s="210"/>
      <c r="H591" s="210"/>
      <c r="I591" s="210"/>
      <c r="J591" s="210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</row>
    <row r="592" ht="15.75" customHeight="1">
      <c r="A592" s="210"/>
      <c r="B592" s="210"/>
      <c r="C592" s="210"/>
      <c r="D592" s="210"/>
      <c r="E592" s="210"/>
      <c r="F592" s="210"/>
      <c r="G592" s="210"/>
      <c r="H592" s="210"/>
      <c r="I592" s="210"/>
      <c r="J592" s="210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</row>
    <row r="593" ht="15.75" customHeight="1">
      <c r="A593" s="210"/>
      <c r="B593" s="210"/>
      <c r="C593" s="210"/>
      <c r="D593" s="210"/>
      <c r="E593" s="210"/>
      <c r="F593" s="210"/>
      <c r="G593" s="210"/>
      <c r="H593" s="210"/>
      <c r="I593" s="210"/>
      <c r="J593" s="210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</row>
    <row r="594" ht="15.75" customHeight="1">
      <c r="A594" s="210"/>
      <c r="B594" s="210"/>
      <c r="C594" s="210"/>
      <c r="D594" s="210"/>
      <c r="E594" s="210"/>
      <c r="F594" s="210"/>
      <c r="G594" s="210"/>
      <c r="H594" s="210"/>
      <c r="I594" s="210"/>
      <c r="J594" s="210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</row>
    <row r="595" ht="15.75" customHeight="1">
      <c r="A595" s="210"/>
      <c r="B595" s="210"/>
      <c r="C595" s="210"/>
      <c r="D595" s="210"/>
      <c r="E595" s="210"/>
      <c r="F595" s="210"/>
      <c r="G595" s="210"/>
      <c r="H595" s="210"/>
      <c r="I595" s="210"/>
      <c r="J595" s="210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</row>
    <row r="596" ht="15.75" customHeight="1">
      <c r="A596" s="210"/>
      <c r="B596" s="210"/>
      <c r="C596" s="210"/>
      <c r="D596" s="210"/>
      <c r="E596" s="210"/>
      <c r="F596" s="210"/>
      <c r="G596" s="210"/>
      <c r="H596" s="210"/>
      <c r="I596" s="210"/>
      <c r="J596" s="210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</row>
    <row r="597" ht="15.75" customHeight="1">
      <c r="A597" s="210"/>
      <c r="B597" s="210"/>
      <c r="C597" s="210"/>
      <c r="D597" s="210"/>
      <c r="E597" s="210"/>
      <c r="F597" s="210"/>
      <c r="G597" s="210"/>
      <c r="H597" s="210"/>
      <c r="I597" s="210"/>
      <c r="J597" s="210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</row>
    <row r="598" ht="15.75" customHeight="1">
      <c r="A598" s="210"/>
      <c r="B598" s="210"/>
      <c r="C598" s="210"/>
      <c r="D598" s="210"/>
      <c r="E598" s="210"/>
      <c r="F598" s="210"/>
      <c r="G598" s="210"/>
      <c r="H598" s="210"/>
      <c r="I598" s="210"/>
      <c r="J598" s="210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</row>
    <row r="599" ht="15.75" customHeight="1">
      <c r="A599" s="210"/>
      <c r="B599" s="210"/>
      <c r="C599" s="210"/>
      <c r="D599" s="210"/>
      <c r="E599" s="210"/>
      <c r="F599" s="210"/>
      <c r="G599" s="210"/>
      <c r="H599" s="210"/>
      <c r="I599" s="210"/>
      <c r="J599" s="210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</row>
    <row r="600" ht="15.75" customHeight="1">
      <c r="A600" s="210"/>
      <c r="B600" s="210"/>
      <c r="C600" s="210"/>
      <c r="D600" s="210"/>
      <c r="E600" s="210"/>
      <c r="F600" s="210"/>
      <c r="G600" s="210"/>
      <c r="H600" s="210"/>
      <c r="I600" s="210"/>
      <c r="J600" s="210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</row>
    <row r="601" ht="15.75" customHeight="1">
      <c r="A601" s="210"/>
      <c r="B601" s="210"/>
      <c r="C601" s="210"/>
      <c r="D601" s="210"/>
      <c r="E601" s="210"/>
      <c r="F601" s="210"/>
      <c r="G601" s="210"/>
      <c r="H601" s="210"/>
      <c r="I601" s="210"/>
      <c r="J601" s="210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</row>
    <row r="602" ht="15.75" customHeight="1">
      <c r="A602" s="210"/>
      <c r="B602" s="210"/>
      <c r="C602" s="210"/>
      <c r="D602" s="210"/>
      <c r="E602" s="210"/>
      <c r="F602" s="210"/>
      <c r="G602" s="210"/>
      <c r="H602" s="210"/>
      <c r="I602" s="210"/>
      <c r="J602" s="210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</row>
    <row r="603" ht="15.75" customHeight="1">
      <c r="A603" s="210"/>
      <c r="B603" s="210"/>
      <c r="C603" s="210"/>
      <c r="D603" s="210"/>
      <c r="E603" s="210"/>
      <c r="F603" s="210"/>
      <c r="G603" s="210"/>
      <c r="H603" s="210"/>
      <c r="I603" s="210"/>
      <c r="J603" s="210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</row>
    <row r="604" ht="15.75" customHeight="1">
      <c r="A604" s="210"/>
      <c r="B604" s="210"/>
      <c r="C604" s="210"/>
      <c r="D604" s="210"/>
      <c r="E604" s="210"/>
      <c r="F604" s="210"/>
      <c r="G604" s="210"/>
      <c r="H604" s="210"/>
      <c r="I604" s="210"/>
      <c r="J604" s="210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</row>
    <row r="605" ht="15.75" customHeight="1">
      <c r="A605" s="210"/>
      <c r="B605" s="210"/>
      <c r="C605" s="210"/>
      <c r="D605" s="210"/>
      <c r="E605" s="210"/>
      <c r="F605" s="210"/>
      <c r="G605" s="210"/>
      <c r="H605" s="210"/>
      <c r="I605" s="210"/>
      <c r="J605" s="210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</row>
    <row r="606" ht="15.75" customHeight="1">
      <c r="A606" s="210"/>
      <c r="B606" s="210"/>
      <c r="C606" s="210"/>
      <c r="D606" s="210"/>
      <c r="E606" s="210"/>
      <c r="F606" s="210"/>
      <c r="G606" s="210"/>
      <c r="H606" s="210"/>
      <c r="I606" s="210"/>
      <c r="J606" s="210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</row>
    <row r="607" ht="15.75" customHeight="1">
      <c r="A607" s="210"/>
      <c r="B607" s="210"/>
      <c r="C607" s="210"/>
      <c r="D607" s="210"/>
      <c r="E607" s="210"/>
      <c r="F607" s="210"/>
      <c r="G607" s="210"/>
      <c r="H607" s="210"/>
      <c r="I607" s="210"/>
      <c r="J607" s="210"/>
      <c r="K607" s="210"/>
      <c r="L607" s="210"/>
      <c r="M607" s="210"/>
      <c r="N607" s="210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</row>
    <row r="608" ht="15.75" customHeight="1">
      <c r="A608" s="210"/>
      <c r="B608" s="210"/>
      <c r="C608" s="210"/>
      <c r="D608" s="210"/>
      <c r="E608" s="210"/>
      <c r="F608" s="210"/>
      <c r="G608" s="210"/>
      <c r="H608" s="210"/>
      <c r="I608" s="210"/>
      <c r="J608" s="210"/>
      <c r="K608" s="210"/>
      <c r="L608" s="210"/>
      <c r="M608" s="210"/>
      <c r="N608" s="210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</row>
    <row r="609" ht="15.75" customHeight="1">
      <c r="A609" s="210"/>
      <c r="B609" s="210"/>
      <c r="C609" s="210"/>
      <c r="D609" s="210"/>
      <c r="E609" s="210"/>
      <c r="F609" s="210"/>
      <c r="G609" s="210"/>
      <c r="H609" s="210"/>
      <c r="I609" s="210"/>
      <c r="J609" s="210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</row>
    <row r="610" ht="15.75" customHeight="1">
      <c r="A610" s="210"/>
      <c r="B610" s="210"/>
      <c r="C610" s="210"/>
      <c r="D610" s="210"/>
      <c r="E610" s="210"/>
      <c r="F610" s="210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</row>
    <row r="611" ht="15.75" customHeight="1">
      <c r="A611" s="210"/>
      <c r="B611" s="210"/>
      <c r="C611" s="210"/>
      <c r="D611" s="210"/>
      <c r="E611" s="210"/>
      <c r="F611" s="210"/>
      <c r="G611" s="210"/>
      <c r="H611" s="210"/>
      <c r="I611" s="210"/>
      <c r="J611" s="210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</row>
    <row r="612" ht="15.75" customHeight="1">
      <c r="A612" s="210"/>
      <c r="B612" s="210"/>
      <c r="C612" s="210"/>
      <c r="D612" s="210"/>
      <c r="E612" s="210"/>
      <c r="F612" s="210"/>
      <c r="G612" s="210"/>
      <c r="H612" s="210"/>
      <c r="I612" s="210"/>
      <c r="J612" s="210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</row>
    <row r="613" ht="15.75" customHeight="1">
      <c r="A613" s="210"/>
      <c r="B613" s="210"/>
      <c r="C613" s="210"/>
      <c r="D613" s="210"/>
      <c r="E613" s="210"/>
      <c r="F613" s="210"/>
      <c r="G613" s="210"/>
      <c r="H613" s="210"/>
      <c r="I613" s="210"/>
      <c r="J613" s="210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</row>
    <row r="614" ht="15.75" customHeight="1">
      <c r="A614" s="210"/>
      <c r="B614" s="210"/>
      <c r="C614" s="210"/>
      <c r="D614" s="210"/>
      <c r="E614" s="210"/>
      <c r="F614" s="210"/>
      <c r="G614" s="210"/>
      <c r="H614" s="210"/>
      <c r="I614" s="210"/>
      <c r="J614" s="210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</row>
    <row r="615" ht="15.75" customHeight="1">
      <c r="A615" s="210"/>
      <c r="B615" s="210"/>
      <c r="C615" s="210"/>
      <c r="D615" s="210"/>
      <c r="E615" s="210"/>
      <c r="F615" s="210"/>
      <c r="G615" s="210"/>
      <c r="H615" s="210"/>
      <c r="I615" s="210"/>
      <c r="J615" s="210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</row>
    <row r="616" ht="15.75" customHeight="1">
      <c r="A616" s="210"/>
      <c r="B616" s="210"/>
      <c r="C616" s="210"/>
      <c r="D616" s="210"/>
      <c r="E616" s="210"/>
      <c r="F616" s="210"/>
      <c r="G616" s="210"/>
      <c r="H616" s="210"/>
      <c r="I616" s="210"/>
      <c r="J616" s="210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</row>
    <row r="617" ht="15.75" customHeight="1">
      <c r="A617" s="210"/>
      <c r="B617" s="210"/>
      <c r="C617" s="210"/>
      <c r="D617" s="210"/>
      <c r="E617" s="210"/>
      <c r="F617" s="210"/>
      <c r="G617" s="210"/>
      <c r="H617" s="210"/>
      <c r="I617" s="210"/>
      <c r="J617" s="210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</row>
    <row r="618" ht="15.75" customHeight="1">
      <c r="A618" s="210"/>
      <c r="B618" s="210"/>
      <c r="C618" s="210"/>
      <c r="D618" s="210"/>
      <c r="E618" s="210"/>
      <c r="F618" s="210"/>
      <c r="G618" s="210"/>
      <c r="H618" s="210"/>
      <c r="I618" s="210"/>
      <c r="J618" s="210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</row>
    <row r="619" ht="15.75" customHeight="1">
      <c r="A619" s="210"/>
      <c r="B619" s="210"/>
      <c r="C619" s="210"/>
      <c r="D619" s="210"/>
      <c r="E619" s="210"/>
      <c r="F619" s="210"/>
      <c r="G619" s="210"/>
      <c r="H619" s="210"/>
      <c r="I619" s="210"/>
      <c r="J619" s="210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</row>
    <row r="620" ht="15.75" customHeight="1">
      <c r="A620" s="210"/>
      <c r="B620" s="210"/>
      <c r="C620" s="210"/>
      <c r="D620" s="210"/>
      <c r="E620" s="210"/>
      <c r="F620" s="210"/>
      <c r="G620" s="210"/>
      <c r="H620" s="210"/>
      <c r="I620" s="210"/>
      <c r="J620" s="210"/>
      <c r="K620" s="210"/>
      <c r="L620" s="210"/>
      <c r="M620" s="210"/>
      <c r="N620" s="210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</row>
    <row r="621" ht="15.75" customHeight="1">
      <c r="A621" s="210"/>
      <c r="B621" s="210"/>
      <c r="C621" s="210"/>
      <c r="D621" s="210"/>
      <c r="E621" s="210"/>
      <c r="F621" s="210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</row>
    <row r="622" ht="15.75" customHeight="1">
      <c r="A622" s="210"/>
      <c r="B622" s="210"/>
      <c r="C622" s="210"/>
      <c r="D622" s="210"/>
      <c r="E622" s="210"/>
      <c r="F622" s="210"/>
      <c r="G622" s="210"/>
      <c r="H622" s="210"/>
      <c r="I622" s="210"/>
      <c r="J622" s="210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</row>
    <row r="623" ht="15.75" customHeight="1">
      <c r="A623" s="210"/>
      <c r="B623" s="210"/>
      <c r="C623" s="210"/>
      <c r="D623" s="210"/>
      <c r="E623" s="210"/>
      <c r="F623" s="210"/>
      <c r="G623" s="210"/>
      <c r="H623" s="210"/>
      <c r="I623" s="210"/>
      <c r="J623" s="210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</row>
    <row r="624" ht="15.75" customHeight="1">
      <c r="A624" s="210"/>
      <c r="B624" s="210"/>
      <c r="C624" s="210"/>
      <c r="D624" s="210"/>
      <c r="E624" s="210"/>
      <c r="F624" s="210"/>
      <c r="G624" s="210"/>
      <c r="H624" s="210"/>
      <c r="I624" s="210"/>
      <c r="J624" s="210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</row>
    <row r="625" ht="15.75" customHeight="1">
      <c r="A625" s="210"/>
      <c r="B625" s="210"/>
      <c r="C625" s="210"/>
      <c r="D625" s="210"/>
      <c r="E625" s="210"/>
      <c r="F625" s="210"/>
      <c r="G625" s="210"/>
      <c r="H625" s="210"/>
      <c r="I625" s="210"/>
      <c r="J625" s="210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</row>
    <row r="626" ht="15.75" customHeight="1">
      <c r="A626" s="210"/>
      <c r="B626" s="210"/>
      <c r="C626" s="210"/>
      <c r="D626" s="210"/>
      <c r="E626" s="210"/>
      <c r="F626" s="210"/>
      <c r="G626" s="210"/>
      <c r="H626" s="210"/>
      <c r="I626" s="210"/>
      <c r="J626" s="210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</row>
    <row r="627" ht="15.75" customHeight="1">
      <c r="A627" s="210"/>
      <c r="B627" s="210"/>
      <c r="C627" s="210"/>
      <c r="D627" s="210"/>
      <c r="E627" s="210"/>
      <c r="F627" s="210"/>
      <c r="G627" s="210"/>
      <c r="H627" s="210"/>
      <c r="I627" s="210"/>
      <c r="J627" s="210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</row>
    <row r="628" ht="15.75" customHeight="1">
      <c r="A628" s="210"/>
      <c r="B628" s="210"/>
      <c r="C628" s="210"/>
      <c r="D628" s="210"/>
      <c r="E628" s="210"/>
      <c r="F628" s="210"/>
      <c r="G628" s="210"/>
      <c r="H628" s="210"/>
      <c r="I628" s="210"/>
      <c r="J628" s="210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</row>
    <row r="629" ht="15.75" customHeight="1">
      <c r="A629" s="210"/>
      <c r="B629" s="210"/>
      <c r="C629" s="210"/>
      <c r="D629" s="210"/>
      <c r="E629" s="210"/>
      <c r="F629" s="210"/>
      <c r="G629" s="210"/>
      <c r="H629" s="210"/>
      <c r="I629" s="210"/>
      <c r="J629" s="210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</row>
    <row r="630" ht="15.75" customHeight="1">
      <c r="A630" s="210"/>
      <c r="B630" s="210"/>
      <c r="C630" s="210"/>
      <c r="D630" s="210"/>
      <c r="E630" s="210"/>
      <c r="F630" s="210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</row>
    <row r="631" ht="15.75" customHeight="1">
      <c r="A631" s="210"/>
      <c r="B631" s="210"/>
      <c r="C631" s="210"/>
      <c r="D631" s="210"/>
      <c r="E631" s="210"/>
      <c r="F631" s="210"/>
      <c r="G631" s="210"/>
      <c r="H631" s="210"/>
      <c r="I631" s="210"/>
      <c r="J631" s="210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</row>
    <row r="632" ht="15.75" customHeight="1">
      <c r="A632" s="210"/>
      <c r="B632" s="210"/>
      <c r="C632" s="210"/>
      <c r="D632" s="210"/>
      <c r="E632" s="210"/>
      <c r="F632" s="210"/>
      <c r="G632" s="210"/>
      <c r="H632" s="210"/>
      <c r="I632" s="210"/>
      <c r="J632" s="210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</row>
    <row r="633" ht="15.75" customHeight="1">
      <c r="A633" s="210"/>
      <c r="B633" s="210"/>
      <c r="C633" s="210"/>
      <c r="D633" s="210"/>
      <c r="E633" s="210"/>
      <c r="F633" s="210"/>
      <c r="G633" s="210"/>
      <c r="H633" s="210"/>
      <c r="I633" s="210"/>
      <c r="J633" s="210"/>
      <c r="K633" s="210"/>
      <c r="L633" s="210"/>
      <c r="M633" s="210"/>
      <c r="N633" s="210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</row>
    <row r="634" ht="15.75" customHeight="1">
      <c r="A634" s="210"/>
      <c r="B634" s="210"/>
      <c r="C634" s="210"/>
      <c r="D634" s="210"/>
      <c r="E634" s="210"/>
      <c r="F634" s="210"/>
      <c r="G634" s="210"/>
      <c r="H634" s="210"/>
      <c r="I634" s="210"/>
      <c r="J634" s="210"/>
      <c r="K634" s="210"/>
      <c r="L634" s="210"/>
      <c r="M634" s="210"/>
      <c r="N634" s="210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</row>
    <row r="635" ht="15.75" customHeight="1">
      <c r="A635" s="210"/>
      <c r="B635" s="210"/>
      <c r="C635" s="210"/>
      <c r="D635" s="210"/>
      <c r="E635" s="210"/>
      <c r="F635" s="210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</row>
    <row r="636" ht="15.75" customHeight="1">
      <c r="A636" s="210"/>
      <c r="B636" s="210"/>
      <c r="C636" s="210"/>
      <c r="D636" s="210"/>
      <c r="E636" s="210"/>
      <c r="F636" s="210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</row>
    <row r="637" ht="15.75" customHeight="1">
      <c r="A637" s="210"/>
      <c r="B637" s="210"/>
      <c r="C637" s="210"/>
      <c r="D637" s="210"/>
      <c r="E637" s="210"/>
      <c r="F637" s="210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</row>
    <row r="638" ht="15.75" customHeight="1">
      <c r="A638" s="210"/>
      <c r="B638" s="210"/>
      <c r="C638" s="210"/>
      <c r="D638" s="210"/>
      <c r="E638" s="210"/>
      <c r="F638" s="210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</row>
    <row r="639" ht="15.75" customHeight="1">
      <c r="A639" s="210"/>
      <c r="B639" s="210"/>
      <c r="C639" s="210"/>
      <c r="D639" s="210"/>
      <c r="E639" s="210"/>
      <c r="F639" s="210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</row>
    <row r="640" ht="15.75" customHeight="1">
      <c r="A640" s="210"/>
      <c r="B640" s="210"/>
      <c r="C640" s="210"/>
      <c r="D640" s="210"/>
      <c r="E640" s="210"/>
      <c r="F640" s="210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</row>
    <row r="641" ht="15.75" customHeight="1">
      <c r="A641" s="210"/>
      <c r="B641" s="210"/>
      <c r="C641" s="210"/>
      <c r="D641" s="210"/>
      <c r="E641" s="210"/>
      <c r="F641" s="210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</row>
    <row r="642" ht="15.75" customHeight="1">
      <c r="A642" s="210"/>
      <c r="B642" s="210"/>
      <c r="C642" s="210"/>
      <c r="D642" s="210"/>
      <c r="E642" s="210"/>
      <c r="F642" s="210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</row>
    <row r="643" ht="15.75" customHeight="1">
      <c r="A643" s="210"/>
      <c r="B643" s="210"/>
      <c r="C643" s="210"/>
      <c r="D643" s="210"/>
      <c r="E643" s="210"/>
      <c r="F643" s="210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</row>
    <row r="644" ht="15.75" customHeight="1">
      <c r="A644" s="210"/>
      <c r="B644" s="210"/>
      <c r="C644" s="210"/>
      <c r="D644" s="210"/>
      <c r="E644" s="210"/>
      <c r="F644" s="210"/>
      <c r="G644" s="210"/>
      <c r="H644" s="210"/>
      <c r="I644" s="210"/>
      <c r="J644" s="210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</row>
    <row r="645" ht="15.75" customHeight="1">
      <c r="A645" s="210"/>
      <c r="B645" s="210"/>
      <c r="C645" s="210"/>
      <c r="D645" s="210"/>
      <c r="E645" s="210"/>
      <c r="F645" s="210"/>
      <c r="G645" s="210"/>
      <c r="H645" s="210"/>
      <c r="I645" s="210"/>
      <c r="J645" s="210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</row>
    <row r="646" ht="15.75" customHeight="1">
      <c r="A646" s="210"/>
      <c r="B646" s="210"/>
      <c r="C646" s="210"/>
      <c r="D646" s="210"/>
      <c r="E646" s="210"/>
      <c r="F646" s="210"/>
      <c r="G646" s="210"/>
      <c r="H646" s="210"/>
      <c r="I646" s="210"/>
      <c r="J646" s="210"/>
      <c r="K646" s="210"/>
      <c r="L646" s="210"/>
      <c r="M646" s="210"/>
      <c r="N646" s="210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</row>
    <row r="647" ht="15.75" customHeight="1">
      <c r="A647" s="210"/>
      <c r="B647" s="210"/>
      <c r="C647" s="210"/>
      <c r="D647" s="210"/>
      <c r="E647" s="210"/>
      <c r="F647" s="210"/>
      <c r="G647" s="210"/>
      <c r="H647" s="210"/>
      <c r="I647" s="210"/>
      <c r="J647" s="210"/>
      <c r="K647" s="210"/>
      <c r="L647" s="210"/>
      <c r="M647" s="210"/>
      <c r="N647" s="210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</row>
    <row r="648" ht="15.75" customHeight="1">
      <c r="A648" s="210"/>
      <c r="B648" s="210"/>
      <c r="C648" s="210"/>
      <c r="D648" s="210"/>
      <c r="E648" s="210"/>
      <c r="F648" s="210"/>
      <c r="G648" s="210"/>
      <c r="H648" s="210"/>
      <c r="I648" s="210"/>
      <c r="J648" s="210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</row>
    <row r="649" ht="15.75" customHeight="1">
      <c r="A649" s="210"/>
      <c r="B649" s="210"/>
      <c r="C649" s="210"/>
      <c r="D649" s="210"/>
      <c r="E649" s="210"/>
      <c r="F649" s="210"/>
      <c r="G649" s="210"/>
      <c r="H649" s="210"/>
      <c r="I649" s="210"/>
      <c r="J649" s="210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</row>
    <row r="650" ht="15.75" customHeight="1">
      <c r="A650" s="210"/>
      <c r="B650" s="210"/>
      <c r="C650" s="210"/>
      <c r="D650" s="210"/>
      <c r="E650" s="210"/>
      <c r="F650" s="210"/>
      <c r="G650" s="210"/>
      <c r="H650" s="210"/>
      <c r="I650" s="210"/>
      <c r="J650" s="210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</row>
    <row r="651" ht="15.75" customHeight="1">
      <c r="A651" s="210"/>
      <c r="B651" s="210"/>
      <c r="C651" s="210"/>
      <c r="D651" s="210"/>
      <c r="E651" s="210"/>
      <c r="F651" s="210"/>
      <c r="G651" s="210"/>
      <c r="H651" s="210"/>
      <c r="I651" s="210"/>
      <c r="J651" s="210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</row>
    <row r="652" ht="15.75" customHeight="1">
      <c r="A652" s="210"/>
      <c r="B652" s="210"/>
      <c r="C652" s="210"/>
      <c r="D652" s="210"/>
      <c r="E652" s="210"/>
      <c r="F652" s="210"/>
      <c r="G652" s="210"/>
      <c r="H652" s="210"/>
      <c r="I652" s="210"/>
      <c r="J652" s="210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</row>
    <row r="653" ht="15.75" customHeight="1">
      <c r="A653" s="210"/>
      <c r="B653" s="210"/>
      <c r="C653" s="210"/>
      <c r="D653" s="210"/>
      <c r="E653" s="210"/>
      <c r="F653" s="210"/>
      <c r="G653" s="210"/>
      <c r="H653" s="210"/>
      <c r="I653" s="210"/>
      <c r="J653" s="210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</row>
    <row r="654" ht="15.75" customHeight="1">
      <c r="A654" s="210"/>
      <c r="B654" s="210"/>
      <c r="C654" s="210"/>
      <c r="D654" s="210"/>
      <c r="E654" s="210"/>
      <c r="F654" s="210"/>
      <c r="G654" s="210"/>
      <c r="H654" s="210"/>
      <c r="I654" s="210"/>
      <c r="J654" s="210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</row>
    <row r="655" ht="15.75" customHeight="1">
      <c r="A655" s="210"/>
      <c r="B655" s="210"/>
      <c r="C655" s="210"/>
      <c r="D655" s="210"/>
      <c r="E655" s="210"/>
      <c r="F655" s="210"/>
      <c r="G655" s="210"/>
      <c r="H655" s="210"/>
      <c r="I655" s="210"/>
      <c r="J655" s="210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</row>
    <row r="656" ht="15.75" customHeight="1">
      <c r="A656" s="210"/>
      <c r="B656" s="210"/>
      <c r="C656" s="210"/>
      <c r="D656" s="210"/>
      <c r="E656" s="210"/>
      <c r="F656" s="210"/>
      <c r="G656" s="210"/>
      <c r="H656" s="210"/>
      <c r="I656" s="210"/>
      <c r="J656" s="210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</row>
    <row r="657" ht="15.75" customHeight="1">
      <c r="A657" s="210"/>
      <c r="B657" s="210"/>
      <c r="C657" s="210"/>
      <c r="D657" s="210"/>
      <c r="E657" s="210"/>
      <c r="F657" s="210"/>
      <c r="G657" s="210"/>
      <c r="H657" s="210"/>
      <c r="I657" s="210"/>
      <c r="J657" s="210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</row>
    <row r="658" ht="15.75" customHeight="1">
      <c r="A658" s="210"/>
      <c r="B658" s="210"/>
      <c r="C658" s="210"/>
      <c r="D658" s="210"/>
      <c r="E658" s="210"/>
      <c r="F658" s="210"/>
      <c r="G658" s="210"/>
      <c r="H658" s="210"/>
      <c r="I658" s="210"/>
      <c r="J658" s="210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</row>
    <row r="659" ht="15.75" customHeight="1">
      <c r="A659" s="210"/>
      <c r="B659" s="210"/>
      <c r="C659" s="210"/>
      <c r="D659" s="210"/>
      <c r="E659" s="210"/>
      <c r="F659" s="210"/>
      <c r="G659" s="210"/>
      <c r="H659" s="210"/>
      <c r="I659" s="210"/>
      <c r="J659" s="210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</row>
    <row r="660" ht="15.75" customHeight="1">
      <c r="A660" s="210"/>
      <c r="B660" s="210"/>
      <c r="C660" s="210"/>
      <c r="D660" s="210"/>
      <c r="E660" s="210"/>
      <c r="F660" s="210"/>
      <c r="G660" s="210"/>
      <c r="H660" s="210"/>
      <c r="I660" s="210"/>
      <c r="J660" s="210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</row>
    <row r="661" ht="15.75" customHeight="1">
      <c r="A661" s="210"/>
      <c r="B661" s="210"/>
      <c r="C661" s="210"/>
      <c r="D661" s="210"/>
      <c r="E661" s="210"/>
      <c r="F661" s="210"/>
      <c r="G661" s="210"/>
      <c r="H661" s="210"/>
      <c r="I661" s="210"/>
      <c r="J661" s="210"/>
      <c r="K661" s="210"/>
      <c r="L661" s="210"/>
      <c r="M661" s="210"/>
      <c r="N661" s="210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</row>
    <row r="662" ht="15.75" customHeight="1">
      <c r="A662" s="210"/>
      <c r="B662" s="210"/>
      <c r="C662" s="210"/>
      <c r="D662" s="210"/>
      <c r="E662" s="210"/>
      <c r="F662" s="210"/>
      <c r="G662" s="210"/>
      <c r="H662" s="210"/>
      <c r="I662" s="210"/>
      <c r="J662" s="210"/>
      <c r="K662" s="210"/>
      <c r="L662" s="210"/>
      <c r="M662" s="210"/>
      <c r="N662" s="210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</row>
    <row r="663" ht="15.75" customHeight="1">
      <c r="A663" s="210"/>
      <c r="B663" s="210"/>
      <c r="C663" s="210"/>
      <c r="D663" s="210"/>
      <c r="E663" s="210"/>
      <c r="F663" s="210"/>
      <c r="G663" s="210"/>
      <c r="H663" s="210"/>
      <c r="I663" s="210"/>
      <c r="J663" s="210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</row>
    <row r="664" ht="15.75" customHeight="1">
      <c r="A664" s="210"/>
      <c r="B664" s="210"/>
      <c r="C664" s="210"/>
      <c r="D664" s="210"/>
      <c r="E664" s="210"/>
      <c r="F664" s="210"/>
      <c r="G664" s="210"/>
      <c r="H664" s="210"/>
      <c r="I664" s="210"/>
      <c r="J664" s="210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</row>
    <row r="665" ht="15.75" customHeight="1">
      <c r="A665" s="210"/>
      <c r="B665" s="210"/>
      <c r="C665" s="210"/>
      <c r="D665" s="210"/>
      <c r="E665" s="210"/>
      <c r="F665" s="210"/>
      <c r="G665" s="210"/>
      <c r="H665" s="210"/>
      <c r="I665" s="210"/>
      <c r="J665" s="210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</row>
    <row r="666" ht="15.75" customHeight="1">
      <c r="A666" s="210"/>
      <c r="B666" s="210"/>
      <c r="C666" s="210"/>
      <c r="D666" s="210"/>
      <c r="E666" s="210"/>
      <c r="F666" s="210"/>
      <c r="G666" s="210"/>
      <c r="H666" s="210"/>
      <c r="I666" s="210"/>
      <c r="J666" s="210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</row>
    <row r="667" ht="15.75" customHeight="1">
      <c r="A667" s="210"/>
      <c r="B667" s="210"/>
      <c r="C667" s="210"/>
      <c r="D667" s="210"/>
      <c r="E667" s="210"/>
      <c r="F667" s="210"/>
      <c r="G667" s="210"/>
      <c r="H667" s="210"/>
      <c r="I667" s="210"/>
      <c r="J667" s="210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</row>
    <row r="668" ht="15.75" customHeight="1">
      <c r="A668" s="210"/>
      <c r="B668" s="210"/>
      <c r="C668" s="210"/>
      <c r="D668" s="210"/>
      <c r="E668" s="210"/>
      <c r="F668" s="210"/>
      <c r="G668" s="210"/>
      <c r="H668" s="210"/>
      <c r="I668" s="210"/>
      <c r="J668" s="210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</row>
    <row r="669" ht="15.75" customHeight="1">
      <c r="A669" s="210"/>
      <c r="B669" s="210"/>
      <c r="C669" s="210"/>
      <c r="D669" s="210"/>
      <c r="E669" s="210"/>
      <c r="F669" s="210"/>
      <c r="G669" s="210"/>
      <c r="H669" s="210"/>
      <c r="I669" s="210"/>
      <c r="J669" s="210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</row>
    <row r="670" ht="15.75" customHeight="1">
      <c r="A670" s="210"/>
      <c r="B670" s="210"/>
      <c r="C670" s="210"/>
      <c r="D670" s="210"/>
      <c r="E670" s="210"/>
      <c r="F670" s="210"/>
      <c r="G670" s="210"/>
      <c r="H670" s="210"/>
      <c r="I670" s="210"/>
      <c r="J670" s="210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</row>
    <row r="671" ht="15.75" customHeight="1">
      <c r="A671" s="210"/>
      <c r="B671" s="210"/>
      <c r="C671" s="210"/>
      <c r="D671" s="210"/>
      <c r="E671" s="210"/>
      <c r="F671" s="210"/>
      <c r="G671" s="210"/>
      <c r="H671" s="210"/>
      <c r="I671" s="210"/>
      <c r="J671" s="210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</row>
    <row r="672" ht="15.75" customHeight="1">
      <c r="A672" s="210"/>
      <c r="B672" s="210"/>
      <c r="C672" s="210"/>
      <c r="D672" s="210"/>
      <c r="E672" s="210"/>
      <c r="F672" s="210"/>
      <c r="G672" s="210"/>
      <c r="H672" s="210"/>
      <c r="I672" s="210"/>
      <c r="J672" s="210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</row>
    <row r="673" ht="15.75" customHeight="1">
      <c r="A673" s="210"/>
      <c r="B673" s="210"/>
      <c r="C673" s="210"/>
      <c r="D673" s="210"/>
      <c r="E673" s="210"/>
      <c r="F673" s="210"/>
      <c r="G673" s="210"/>
      <c r="H673" s="210"/>
      <c r="I673" s="210"/>
      <c r="J673" s="210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</row>
    <row r="674" ht="15.75" customHeight="1">
      <c r="A674" s="210"/>
      <c r="B674" s="210"/>
      <c r="C674" s="210"/>
      <c r="D674" s="210"/>
      <c r="E674" s="210"/>
      <c r="F674" s="210"/>
      <c r="G674" s="210"/>
      <c r="H674" s="210"/>
      <c r="I674" s="210"/>
      <c r="J674" s="210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</row>
    <row r="675" ht="15.75" customHeight="1">
      <c r="A675" s="210"/>
      <c r="B675" s="210"/>
      <c r="C675" s="210"/>
      <c r="D675" s="210"/>
      <c r="E675" s="210"/>
      <c r="F675" s="210"/>
      <c r="G675" s="210"/>
      <c r="H675" s="210"/>
      <c r="I675" s="210"/>
      <c r="J675" s="210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</row>
    <row r="676" ht="15.75" customHeight="1">
      <c r="A676" s="210"/>
      <c r="B676" s="210"/>
      <c r="C676" s="210"/>
      <c r="D676" s="210"/>
      <c r="E676" s="210"/>
      <c r="F676" s="210"/>
      <c r="G676" s="210"/>
      <c r="H676" s="210"/>
      <c r="I676" s="210"/>
      <c r="J676" s="210"/>
      <c r="K676" s="210"/>
      <c r="L676" s="210"/>
      <c r="M676" s="210"/>
      <c r="N676" s="210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</row>
    <row r="677" ht="15.75" customHeight="1">
      <c r="A677" s="210"/>
      <c r="B677" s="210"/>
      <c r="C677" s="210"/>
      <c r="D677" s="210"/>
      <c r="E677" s="210"/>
      <c r="F677" s="210"/>
      <c r="G677" s="210"/>
      <c r="H677" s="210"/>
      <c r="I677" s="210"/>
      <c r="J677" s="210"/>
      <c r="K677" s="210"/>
      <c r="L677" s="210"/>
      <c r="M677" s="210"/>
      <c r="N677" s="210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</row>
    <row r="678" ht="15.75" customHeight="1">
      <c r="A678" s="210"/>
      <c r="B678" s="210"/>
      <c r="C678" s="210"/>
      <c r="D678" s="210"/>
      <c r="E678" s="210"/>
      <c r="F678" s="210"/>
      <c r="G678" s="210"/>
      <c r="H678" s="210"/>
      <c r="I678" s="210"/>
      <c r="J678" s="210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</row>
    <row r="679" ht="15.75" customHeight="1">
      <c r="A679" s="210"/>
      <c r="B679" s="210"/>
      <c r="C679" s="210"/>
      <c r="D679" s="210"/>
      <c r="E679" s="210"/>
      <c r="F679" s="210"/>
      <c r="G679" s="210"/>
      <c r="H679" s="210"/>
      <c r="I679" s="210"/>
      <c r="J679" s="210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</row>
    <row r="680" ht="15.75" customHeight="1">
      <c r="A680" s="210"/>
      <c r="B680" s="210"/>
      <c r="C680" s="210"/>
      <c r="D680" s="210"/>
      <c r="E680" s="210"/>
      <c r="F680" s="210"/>
      <c r="G680" s="210"/>
      <c r="H680" s="210"/>
      <c r="I680" s="210"/>
      <c r="J680" s="210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</row>
    <row r="681" ht="15.75" customHeight="1">
      <c r="A681" s="210"/>
      <c r="B681" s="210"/>
      <c r="C681" s="210"/>
      <c r="D681" s="210"/>
      <c r="E681" s="210"/>
      <c r="F681" s="210"/>
      <c r="G681" s="210"/>
      <c r="H681" s="210"/>
      <c r="I681" s="210"/>
      <c r="J681" s="210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</row>
    <row r="682" ht="15.75" customHeight="1">
      <c r="A682" s="210"/>
      <c r="B682" s="210"/>
      <c r="C682" s="210"/>
      <c r="D682" s="210"/>
      <c r="E682" s="210"/>
      <c r="F682" s="210"/>
      <c r="G682" s="210"/>
      <c r="H682" s="210"/>
      <c r="I682" s="210"/>
      <c r="J682" s="210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</row>
    <row r="683" ht="15.75" customHeight="1">
      <c r="A683" s="210"/>
      <c r="B683" s="210"/>
      <c r="C683" s="210"/>
      <c r="D683" s="210"/>
      <c r="E683" s="210"/>
      <c r="F683" s="210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</row>
    <row r="684" ht="15.75" customHeight="1">
      <c r="A684" s="210"/>
      <c r="B684" s="210"/>
      <c r="C684" s="210"/>
      <c r="D684" s="210"/>
      <c r="E684" s="210"/>
      <c r="F684" s="210"/>
      <c r="G684" s="210"/>
      <c r="H684" s="210"/>
      <c r="I684" s="210"/>
      <c r="J684" s="210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</row>
    <row r="685" ht="15.75" customHeight="1">
      <c r="A685" s="210"/>
      <c r="B685" s="210"/>
      <c r="C685" s="210"/>
      <c r="D685" s="210"/>
      <c r="E685" s="210"/>
      <c r="F685" s="210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</row>
    <row r="686" ht="15.75" customHeight="1">
      <c r="A686" s="210"/>
      <c r="B686" s="210"/>
      <c r="C686" s="210"/>
      <c r="D686" s="210"/>
      <c r="E686" s="210"/>
      <c r="F686" s="210"/>
      <c r="G686" s="210"/>
      <c r="H686" s="210"/>
      <c r="I686" s="210"/>
      <c r="J686" s="210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</row>
    <row r="687" ht="15.75" customHeight="1">
      <c r="A687" s="210"/>
      <c r="B687" s="210"/>
      <c r="C687" s="210"/>
      <c r="D687" s="210"/>
      <c r="E687" s="210"/>
      <c r="F687" s="210"/>
      <c r="G687" s="210"/>
      <c r="H687" s="210"/>
      <c r="I687" s="210"/>
      <c r="J687" s="210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</row>
    <row r="688" ht="15.75" customHeight="1">
      <c r="A688" s="210"/>
      <c r="B688" s="210"/>
      <c r="C688" s="210"/>
      <c r="D688" s="210"/>
      <c r="E688" s="210"/>
      <c r="F688" s="210"/>
      <c r="G688" s="210"/>
      <c r="H688" s="210"/>
      <c r="I688" s="210"/>
      <c r="J688" s="210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</row>
    <row r="689" ht="15.75" customHeight="1">
      <c r="A689" s="210"/>
      <c r="B689" s="210"/>
      <c r="C689" s="210"/>
      <c r="D689" s="210"/>
      <c r="E689" s="210"/>
      <c r="F689" s="210"/>
      <c r="G689" s="210"/>
      <c r="H689" s="210"/>
      <c r="I689" s="210"/>
      <c r="J689" s="210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</row>
    <row r="690" ht="15.75" customHeight="1">
      <c r="A690" s="210"/>
      <c r="B690" s="210"/>
      <c r="C690" s="210"/>
      <c r="D690" s="210"/>
      <c r="E690" s="210"/>
      <c r="F690" s="210"/>
      <c r="G690" s="210"/>
      <c r="H690" s="210"/>
      <c r="I690" s="210"/>
      <c r="J690" s="210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</row>
    <row r="691" ht="15.75" customHeight="1">
      <c r="A691" s="210"/>
      <c r="B691" s="210"/>
      <c r="C691" s="210"/>
      <c r="D691" s="210"/>
      <c r="E691" s="210"/>
      <c r="F691" s="210"/>
      <c r="G691" s="210"/>
      <c r="H691" s="210"/>
      <c r="I691" s="210"/>
      <c r="J691" s="210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</row>
    <row r="692" ht="15.75" customHeight="1">
      <c r="A692" s="210"/>
      <c r="B692" s="210"/>
      <c r="C692" s="210"/>
      <c r="D692" s="210"/>
      <c r="E692" s="210"/>
      <c r="F692" s="210"/>
      <c r="G692" s="210"/>
      <c r="H692" s="210"/>
      <c r="I692" s="210"/>
      <c r="J692" s="210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</row>
    <row r="693" ht="15.75" customHeight="1">
      <c r="A693" s="210"/>
      <c r="B693" s="210"/>
      <c r="C693" s="210"/>
      <c r="D693" s="210"/>
      <c r="E693" s="210"/>
      <c r="F693" s="210"/>
      <c r="G693" s="210"/>
      <c r="H693" s="210"/>
      <c r="I693" s="210"/>
      <c r="J693" s="210"/>
      <c r="K693" s="210"/>
      <c r="L693" s="210"/>
      <c r="M693" s="210"/>
      <c r="N693" s="210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</row>
    <row r="694" ht="15.75" customHeight="1">
      <c r="A694" s="210"/>
      <c r="B694" s="210"/>
      <c r="C694" s="210"/>
      <c r="D694" s="210"/>
      <c r="E694" s="210"/>
      <c r="F694" s="210"/>
      <c r="G694" s="210"/>
      <c r="H694" s="210"/>
      <c r="I694" s="210"/>
      <c r="J694" s="210"/>
      <c r="K694" s="210"/>
      <c r="L694" s="210"/>
      <c r="M694" s="210"/>
      <c r="N694" s="210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</row>
    <row r="695" ht="15.75" customHeight="1">
      <c r="A695" s="210"/>
      <c r="B695" s="210"/>
      <c r="C695" s="210"/>
      <c r="D695" s="210"/>
      <c r="E695" s="210"/>
      <c r="F695" s="210"/>
      <c r="G695" s="210"/>
      <c r="H695" s="210"/>
      <c r="I695" s="210"/>
      <c r="J695" s="210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</row>
    <row r="696" ht="15.75" customHeight="1">
      <c r="A696" s="210"/>
      <c r="B696" s="210"/>
      <c r="C696" s="210"/>
      <c r="D696" s="210"/>
      <c r="E696" s="210"/>
      <c r="F696" s="210"/>
      <c r="G696" s="210"/>
      <c r="H696" s="210"/>
      <c r="I696" s="210"/>
      <c r="J696" s="210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</row>
    <row r="697" ht="15.75" customHeight="1">
      <c r="A697" s="210"/>
      <c r="B697" s="210"/>
      <c r="C697" s="210"/>
      <c r="D697" s="210"/>
      <c r="E697" s="210"/>
      <c r="F697" s="210"/>
      <c r="G697" s="210"/>
      <c r="H697" s="210"/>
      <c r="I697" s="210"/>
      <c r="J697" s="210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</row>
    <row r="698" ht="15.75" customHeight="1">
      <c r="A698" s="210"/>
      <c r="B698" s="210"/>
      <c r="C698" s="210"/>
      <c r="D698" s="210"/>
      <c r="E698" s="210"/>
      <c r="F698" s="210"/>
      <c r="G698" s="210"/>
      <c r="H698" s="210"/>
      <c r="I698" s="210"/>
      <c r="J698" s="210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</row>
    <row r="699" ht="15.75" customHeight="1">
      <c r="A699" s="210"/>
      <c r="B699" s="210"/>
      <c r="C699" s="210"/>
      <c r="D699" s="210"/>
      <c r="E699" s="210"/>
      <c r="F699" s="210"/>
      <c r="G699" s="210"/>
      <c r="H699" s="210"/>
      <c r="I699" s="210"/>
      <c r="J699" s="210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</row>
    <row r="700" ht="15.75" customHeight="1">
      <c r="A700" s="210"/>
      <c r="B700" s="210"/>
      <c r="C700" s="210"/>
      <c r="D700" s="210"/>
      <c r="E700" s="210"/>
      <c r="F700" s="210"/>
      <c r="G700" s="210"/>
      <c r="H700" s="210"/>
      <c r="I700" s="210"/>
      <c r="J700" s="210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</row>
    <row r="701" ht="15.75" customHeight="1">
      <c r="A701" s="210"/>
      <c r="B701" s="210"/>
      <c r="C701" s="210"/>
      <c r="D701" s="210"/>
      <c r="E701" s="210"/>
      <c r="F701" s="210"/>
      <c r="G701" s="210"/>
      <c r="H701" s="210"/>
      <c r="I701" s="210"/>
      <c r="J701" s="210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</row>
    <row r="702" ht="15.75" customHeight="1">
      <c r="A702" s="210"/>
      <c r="B702" s="210"/>
      <c r="C702" s="210"/>
      <c r="D702" s="210"/>
      <c r="E702" s="210"/>
      <c r="F702" s="210"/>
      <c r="G702" s="210"/>
      <c r="H702" s="210"/>
      <c r="I702" s="210"/>
      <c r="J702" s="210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</row>
    <row r="703" ht="15.75" customHeight="1">
      <c r="A703" s="210"/>
      <c r="B703" s="210"/>
      <c r="C703" s="210"/>
      <c r="D703" s="210"/>
      <c r="E703" s="210"/>
      <c r="F703" s="210"/>
      <c r="G703" s="210"/>
      <c r="H703" s="210"/>
      <c r="I703" s="210"/>
      <c r="J703" s="210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</row>
    <row r="704" ht="15.75" customHeight="1">
      <c r="A704" s="210"/>
      <c r="B704" s="210"/>
      <c r="C704" s="210"/>
      <c r="D704" s="210"/>
      <c r="E704" s="210"/>
      <c r="F704" s="210"/>
      <c r="G704" s="210"/>
      <c r="H704" s="210"/>
      <c r="I704" s="210"/>
      <c r="J704" s="210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</row>
    <row r="705" ht="15.75" customHeight="1">
      <c r="A705" s="210"/>
      <c r="B705" s="210"/>
      <c r="C705" s="210"/>
      <c r="D705" s="210"/>
      <c r="E705" s="210"/>
      <c r="F705" s="210"/>
      <c r="G705" s="210"/>
      <c r="H705" s="210"/>
      <c r="I705" s="210"/>
      <c r="J705" s="210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</row>
    <row r="706" ht="15.75" customHeight="1">
      <c r="A706" s="210"/>
      <c r="B706" s="210"/>
      <c r="C706" s="210"/>
      <c r="D706" s="210"/>
      <c r="E706" s="210"/>
      <c r="F706" s="210"/>
      <c r="G706" s="210"/>
      <c r="H706" s="210"/>
      <c r="I706" s="210"/>
      <c r="J706" s="210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</row>
    <row r="707" ht="15.75" customHeight="1">
      <c r="A707" s="210"/>
      <c r="B707" s="210"/>
      <c r="C707" s="210"/>
      <c r="D707" s="210"/>
      <c r="E707" s="210"/>
      <c r="F707" s="210"/>
      <c r="G707" s="210"/>
      <c r="H707" s="210"/>
      <c r="I707" s="210"/>
      <c r="J707" s="210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</row>
    <row r="708" ht="15.75" customHeight="1">
      <c r="A708" s="210"/>
      <c r="B708" s="210"/>
      <c r="C708" s="210"/>
      <c r="D708" s="210"/>
      <c r="E708" s="210"/>
      <c r="F708" s="210"/>
      <c r="G708" s="210"/>
      <c r="H708" s="210"/>
      <c r="I708" s="210"/>
      <c r="J708" s="210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</row>
    <row r="709" ht="15.75" customHeight="1">
      <c r="A709" s="210"/>
      <c r="B709" s="210"/>
      <c r="C709" s="210"/>
      <c r="D709" s="210"/>
      <c r="E709" s="210"/>
      <c r="F709" s="210"/>
      <c r="G709" s="210"/>
      <c r="H709" s="210"/>
      <c r="I709" s="210"/>
      <c r="J709" s="210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</row>
    <row r="710" ht="15.75" customHeight="1">
      <c r="A710" s="210"/>
      <c r="B710" s="210"/>
      <c r="C710" s="210"/>
      <c r="D710" s="210"/>
      <c r="E710" s="210"/>
      <c r="F710" s="210"/>
      <c r="G710" s="210"/>
      <c r="H710" s="210"/>
      <c r="I710" s="210"/>
      <c r="J710" s="210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</row>
    <row r="711" ht="15.75" customHeight="1">
      <c r="A711" s="210"/>
      <c r="B711" s="210"/>
      <c r="C711" s="210"/>
      <c r="D711" s="210"/>
      <c r="E711" s="210"/>
      <c r="F711" s="210"/>
      <c r="G711" s="210"/>
      <c r="H711" s="210"/>
      <c r="I711" s="210"/>
      <c r="J711" s="210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</row>
    <row r="712" ht="15.75" customHeight="1">
      <c r="A712" s="210"/>
      <c r="B712" s="210"/>
      <c r="C712" s="210"/>
      <c r="D712" s="210"/>
      <c r="E712" s="210"/>
      <c r="F712" s="210"/>
      <c r="G712" s="210"/>
      <c r="H712" s="210"/>
      <c r="I712" s="210"/>
      <c r="J712" s="210"/>
      <c r="K712" s="210"/>
      <c r="L712" s="210"/>
      <c r="M712" s="210"/>
      <c r="N712" s="210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</row>
    <row r="713" ht="15.75" customHeight="1">
      <c r="A713" s="210"/>
      <c r="B713" s="210"/>
      <c r="C713" s="210"/>
      <c r="D713" s="210"/>
      <c r="E713" s="210"/>
      <c r="F713" s="210"/>
      <c r="G713" s="210"/>
      <c r="H713" s="210"/>
      <c r="I713" s="210"/>
      <c r="J713" s="210"/>
      <c r="K713" s="210"/>
      <c r="L713" s="210"/>
      <c r="M713" s="210"/>
      <c r="N713" s="210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</row>
    <row r="714" ht="15.75" customHeight="1">
      <c r="A714" s="210"/>
      <c r="B714" s="210"/>
      <c r="C714" s="210"/>
      <c r="D714" s="210"/>
      <c r="E714" s="210"/>
      <c r="F714" s="210"/>
      <c r="G714" s="210"/>
      <c r="H714" s="210"/>
      <c r="I714" s="210"/>
      <c r="J714" s="210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</row>
    <row r="715" ht="15.75" customHeight="1">
      <c r="A715" s="210"/>
      <c r="B715" s="210"/>
      <c r="C715" s="210"/>
      <c r="D715" s="210"/>
      <c r="E715" s="210"/>
      <c r="F715" s="210"/>
      <c r="G715" s="210"/>
      <c r="H715" s="210"/>
      <c r="I715" s="210"/>
      <c r="J715" s="210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</row>
    <row r="716" ht="15.75" customHeight="1">
      <c r="A716" s="210"/>
      <c r="B716" s="210"/>
      <c r="C716" s="210"/>
      <c r="D716" s="210"/>
      <c r="E716" s="210"/>
      <c r="F716" s="210"/>
      <c r="G716" s="210"/>
      <c r="H716" s="210"/>
      <c r="I716" s="210"/>
      <c r="J716" s="210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</row>
    <row r="717" ht="15.75" customHeight="1">
      <c r="A717" s="210"/>
      <c r="B717" s="210"/>
      <c r="C717" s="210"/>
      <c r="D717" s="210"/>
      <c r="E717" s="210"/>
      <c r="F717" s="210"/>
      <c r="G717" s="210"/>
      <c r="H717" s="210"/>
      <c r="I717" s="210"/>
      <c r="J717" s="210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</row>
    <row r="718" ht="15.75" customHeight="1">
      <c r="A718" s="210"/>
      <c r="B718" s="210"/>
      <c r="C718" s="210"/>
      <c r="D718" s="210"/>
      <c r="E718" s="210"/>
      <c r="F718" s="210"/>
      <c r="G718" s="210"/>
      <c r="H718" s="210"/>
      <c r="I718" s="210"/>
      <c r="J718" s="210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</row>
    <row r="719" ht="15.75" customHeight="1">
      <c r="A719" s="210"/>
      <c r="B719" s="210"/>
      <c r="C719" s="210"/>
      <c r="D719" s="210"/>
      <c r="E719" s="210"/>
      <c r="F719" s="210"/>
      <c r="G719" s="210"/>
      <c r="H719" s="210"/>
      <c r="I719" s="210"/>
      <c r="J719" s="210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</row>
    <row r="720" ht="15.75" customHeight="1">
      <c r="A720" s="210"/>
      <c r="B720" s="210"/>
      <c r="C720" s="210"/>
      <c r="D720" s="210"/>
      <c r="E720" s="210"/>
      <c r="F720" s="210"/>
      <c r="G720" s="210"/>
      <c r="H720" s="210"/>
      <c r="I720" s="210"/>
      <c r="J720" s="210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</row>
    <row r="721" ht="15.75" customHeight="1">
      <c r="A721" s="210"/>
      <c r="B721" s="210"/>
      <c r="C721" s="210"/>
      <c r="D721" s="210"/>
      <c r="E721" s="210"/>
      <c r="F721" s="210"/>
      <c r="G721" s="210"/>
      <c r="H721" s="210"/>
      <c r="I721" s="210"/>
      <c r="J721" s="210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</row>
    <row r="722" ht="15.75" customHeight="1">
      <c r="A722" s="210"/>
      <c r="B722" s="210"/>
      <c r="C722" s="210"/>
      <c r="D722" s="210"/>
      <c r="E722" s="210"/>
      <c r="F722" s="210"/>
      <c r="G722" s="210"/>
      <c r="H722" s="210"/>
      <c r="I722" s="210"/>
      <c r="J722" s="210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</row>
    <row r="723" ht="15.75" customHeight="1">
      <c r="A723" s="210"/>
      <c r="B723" s="210"/>
      <c r="C723" s="210"/>
      <c r="D723" s="210"/>
      <c r="E723" s="210"/>
      <c r="F723" s="210"/>
      <c r="G723" s="210"/>
      <c r="H723" s="210"/>
      <c r="I723" s="210"/>
      <c r="J723" s="210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</row>
    <row r="724" ht="15.75" customHeight="1">
      <c r="A724" s="210"/>
      <c r="B724" s="210"/>
      <c r="C724" s="210"/>
      <c r="D724" s="210"/>
      <c r="E724" s="210"/>
      <c r="F724" s="210"/>
      <c r="G724" s="210"/>
      <c r="H724" s="210"/>
      <c r="I724" s="210"/>
      <c r="J724" s="210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</row>
    <row r="725" ht="15.75" customHeight="1">
      <c r="A725" s="210"/>
      <c r="B725" s="210"/>
      <c r="C725" s="210"/>
      <c r="D725" s="210"/>
      <c r="E725" s="210"/>
      <c r="F725" s="210"/>
      <c r="G725" s="210"/>
      <c r="H725" s="210"/>
      <c r="I725" s="210"/>
      <c r="J725" s="210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</row>
    <row r="726" ht="15.75" customHeight="1">
      <c r="A726" s="210"/>
      <c r="B726" s="210"/>
      <c r="C726" s="210"/>
      <c r="D726" s="210"/>
      <c r="E726" s="210"/>
      <c r="F726" s="210"/>
      <c r="G726" s="210"/>
      <c r="H726" s="210"/>
      <c r="I726" s="210"/>
      <c r="J726" s="210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</row>
    <row r="727" ht="15.75" customHeight="1">
      <c r="A727" s="210"/>
      <c r="B727" s="210"/>
      <c r="C727" s="210"/>
      <c r="D727" s="210"/>
      <c r="E727" s="210"/>
      <c r="F727" s="210"/>
      <c r="G727" s="210"/>
      <c r="H727" s="210"/>
      <c r="I727" s="210"/>
      <c r="J727" s="210"/>
      <c r="K727" s="210"/>
      <c r="L727" s="210"/>
      <c r="M727" s="210"/>
      <c r="N727" s="210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</row>
    <row r="728" ht="15.75" customHeight="1">
      <c r="A728" s="210"/>
      <c r="B728" s="210"/>
      <c r="C728" s="210"/>
      <c r="D728" s="210"/>
      <c r="E728" s="210"/>
      <c r="F728" s="210"/>
      <c r="G728" s="210"/>
      <c r="H728" s="210"/>
      <c r="I728" s="210"/>
      <c r="J728" s="210"/>
      <c r="K728" s="210"/>
      <c r="L728" s="210"/>
      <c r="M728" s="210"/>
      <c r="N728" s="210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</row>
    <row r="729" ht="15.75" customHeight="1">
      <c r="A729" s="210"/>
      <c r="B729" s="210"/>
      <c r="C729" s="210"/>
      <c r="D729" s="210"/>
      <c r="E729" s="210"/>
      <c r="F729" s="210"/>
      <c r="G729" s="210"/>
      <c r="H729" s="210"/>
      <c r="I729" s="210"/>
      <c r="J729" s="210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</row>
    <row r="730" ht="15.75" customHeight="1">
      <c r="A730" s="210"/>
      <c r="B730" s="210"/>
      <c r="C730" s="210"/>
      <c r="D730" s="210"/>
      <c r="E730" s="210"/>
      <c r="F730" s="210"/>
      <c r="G730" s="210"/>
      <c r="H730" s="210"/>
      <c r="I730" s="210"/>
      <c r="J730" s="210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</row>
    <row r="731" ht="15.75" customHeight="1">
      <c r="A731" s="210"/>
      <c r="B731" s="210"/>
      <c r="C731" s="210"/>
      <c r="D731" s="210"/>
      <c r="E731" s="210"/>
      <c r="F731" s="210"/>
      <c r="G731" s="210"/>
      <c r="H731" s="210"/>
      <c r="I731" s="210"/>
      <c r="J731" s="210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</row>
    <row r="732" ht="15.75" customHeight="1">
      <c r="A732" s="210"/>
      <c r="B732" s="210"/>
      <c r="C732" s="210"/>
      <c r="D732" s="210"/>
      <c r="E732" s="210"/>
      <c r="F732" s="210"/>
      <c r="G732" s="210"/>
      <c r="H732" s="210"/>
      <c r="I732" s="210"/>
      <c r="J732" s="210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</row>
    <row r="733" ht="15.75" customHeight="1">
      <c r="A733" s="210"/>
      <c r="B733" s="210"/>
      <c r="C733" s="210"/>
      <c r="D733" s="210"/>
      <c r="E733" s="210"/>
      <c r="F733" s="210"/>
      <c r="G733" s="210"/>
      <c r="H733" s="210"/>
      <c r="I733" s="210"/>
      <c r="J733" s="210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</row>
    <row r="734" ht="15.75" customHeight="1">
      <c r="A734" s="210"/>
      <c r="B734" s="210"/>
      <c r="C734" s="210"/>
      <c r="D734" s="210"/>
      <c r="E734" s="210"/>
      <c r="F734" s="210"/>
      <c r="G734" s="210"/>
      <c r="H734" s="210"/>
      <c r="I734" s="210"/>
      <c r="J734" s="210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</row>
    <row r="735" ht="15.75" customHeight="1">
      <c r="A735" s="210"/>
      <c r="B735" s="210"/>
      <c r="C735" s="210"/>
      <c r="D735" s="210"/>
      <c r="E735" s="210"/>
      <c r="F735" s="210"/>
      <c r="G735" s="210"/>
      <c r="H735" s="210"/>
      <c r="I735" s="210"/>
      <c r="J735" s="210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</row>
    <row r="736" ht="15.75" customHeight="1">
      <c r="A736" s="210"/>
      <c r="B736" s="210"/>
      <c r="C736" s="210"/>
      <c r="D736" s="210"/>
      <c r="E736" s="210"/>
      <c r="F736" s="210"/>
      <c r="G736" s="210"/>
      <c r="H736" s="210"/>
      <c r="I736" s="210"/>
      <c r="J736" s="210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</row>
    <row r="737" ht="15.75" customHeight="1">
      <c r="A737" s="210"/>
      <c r="B737" s="210"/>
      <c r="C737" s="210"/>
      <c r="D737" s="210"/>
      <c r="E737" s="210"/>
      <c r="F737" s="210"/>
      <c r="G737" s="210"/>
      <c r="H737" s="210"/>
      <c r="I737" s="210"/>
      <c r="J737" s="210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</row>
    <row r="738" ht="15.75" customHeight="1">
      <c r="A738" s="210"/>
      <c r="B738" s="210"/>
      <c r="C738" s="210"/>
      <c r="D738" s="210"/>
      <c r="E738" s="210"/>
      <c r="F738" s="210"/>
      <c r="G738" s="210"/>
      <c r="H738" s="210"/>
      <c r="I738" s="210"/>
      <c r="J738" s="210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</row>
    <row r="739" ht="15.75" customHeight="1">
      <c r="A739" s="210"/>
      <c r="B739" s="210"/>
      <c r="C739" s="210"/>
      <c r="D739" s="210"/>
      <c r="E739" s="210"/>
      <c r="F739" s="210"/>
      <c r="G739" s="210"/>
      <c r="H739" s="210"/>
      <c r="I739" s="210"/>
      <c r="J739" s="210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</row>
    <row r="740" ht="15.75" customHeight="1">
      <c r="A740" s="210"/>
      <c r="B740" s="210"/>
      <c r="C740" s="210"/>
      <c r="D740" s="210"/>
      <c r="E740" s="210"/>
      <c r="F740" s="210"/>
      <c r="G740" s="210"/>
      <c r="H740" s="210"/>
      <c r="I740" s="210"/>
      <c r="J740" s="210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</row>
    <row r="741" ht="15.75" customHeight="1">
      <c r="A741" s="210"/>
      <c r="B741" s="210"/>
      <c r="C741" s="210"/>
      <c r="D741" s="210"/>
      <c r="E741" s="210"/>
      <c r="F741" s="210"/>
      <c r="G741" s="210"/>
      <c r="H741" s="210"/>
      <c r="I741" s="210"/>
      <c r="J741" s="210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</row>
    <row r="742" ht="15.75" customHeight="1">
      <c r="A742" s="210"/>
      <c r="B742" s="210"/>
      <c r="C742" s="210"/>
      <c r="D742" s="210"/>
      <c r="E742" s="210"/>
      <c r="F742" s="210"/>
      <c r="G742" s="210"/>
      <c r="H742" s="210"/>
      <c r="I742" s="210"/>
      <c r="J742" s="210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</row>
    <row r="743" ht="15.75" customHeight="1">
      <c r="A743" s="210"/>
      <c r="B743" s="210"/>
      <c r="C743" s="210"/>
      <c r="D743" s="210"/>
      <c r="E743" s="210"/>
      <c r="F743" s="210"/>
      <c r="G743" s="210"/>
      <c r="H743" s="210"/>
      <c r="I743" s="210"/>
      <c r="J743" s="210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</row>
    <row r="744" ht="15.75" customHeight="1">
      <c r="A744" s="210"/>
      <c r="B744" s="210"/>
      <c r="C744" s="210"/>
      <c r="D744" s="210"/>
      <c r="E744" s="210"/>
      <c r="F744" s="210"/>
      <c r="G744" s="210"/>
      <c r="H744" s="210"/>
      <c r="I744" s="210"/>
      <c r="J744" s="210"/>
      <c r="K744" s="210"/>
      <c r="L744" s="210"/>
      <c r="M744" s="210"/>
      <c r="N744" s="210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</row>
    <row r="745" ht="15.75" customHeight="1">
      <c r="A745" s="210"/>
      <c r="B745" s="210"/>
      <c r="C745" s="210"/>
      <c r="D745" s="210"/>
      <c r="E745" s="210"/>
      <c r="F745" s="210"/>
      <c r="G745" s="210"/>
      <c r="H745" s="210"/>
      <c r="I745" s="210"/>
      <c r="J745" s="210"/>
      <c r="K745" s="210"/>
      <c r="L745" s="210"/>
      <c r="M745" s="210"/>
      <c r="N745" s="210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</row>
    <row r="746" ht="15.75" customHeight="1">
      <c r="A746" s="210"/>
      <c r="B746" s="210"/>
      <c r="C746" s="210"/>
      <c r="D746" s="210"/>
      <c r="E746" s="210"/>
      <c r="F746" s="210"/>
      <c r="G746" s="210"/>
      <c r="H746" s="210"/>
      <c r="I746" s="210"/>
      <c r="J746" s="210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</row>
    <row r="747" ht="15.75" customHeight="1">
      <c r="A747" s="210"/>
      <c r="B747" s="210"/>
      <c r="C747" s="210"/>
      <c r="D747" s="210"/>
      <c r="E747" s="210"/>
      <c r="F747" s="210"/>
      <c r="G747" s="210"/>
      <c r="H747" s="210"/>
      <c r="I747" s="210"/>
      <c r="J747" s="210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</row>
    <row r="748" ht="15.75" customHeight="1">
      <c r="A748" s="210"/>
      <c r="B748" s="210"/>
      <c r="C748" s="210"/>
      <c r="D748" s="210"/>
      <c r="E748" s="210"/>
      <c r="F748" s="210"/>
      <c r="G748" s="210"/>
      <c r="H748" s="210"/>
      <c r="I748" s="210"/>
      <c r="J748" s="210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</row>
    <row r="749" ht="15.75" customHeight="1">
      <c r="A749" s="210"/>
      <c r="B749" s="210"/>
      <c r="C749" s="210"/>
      <c r="D749" s="210"/>
      <c r="E749" s="210"/>
      <c r="F749" s="210"/>
      <c r="G749" s="210"/>
      <c r="H749" s="210"/>
      <c r="I749" s="210"/>
      <c r="J749" s="210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</row>
    <row r="750" ht="15.75" customHeight="1">
      <c r="A750" s="210"/>
      <c r="B750" s="210"/>
      <c r="C750" s="210"/>
      <c r="D750" s="210"/>
      <c r="E750" s="210"/>
      <c r="F750" s="210"/>
      <c r="G750" s="210"/>
      <c r="H750" s="210"/>
      <c r="I750" s="210"/>
      <c r="J750" s="210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</row>
    <row r="751" ht="15.75" customHeight="1">
      <c r="A751" s="210"/>
      <c r="B751" s="210"/>
      <c r="C751" s="210"/>
      <c r="D751" s="210"/>
      <c r="E751" s="210"/>
      <c r="F751" s="210"/>
      <c r="G751" s="210"/>
      <c r="H751" s="210"/>
      <c r="I751" s="210"/>
      <c r="J751" s="210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</row>
    <row r="752" ht="15.75" customHeight="1">
      <c r="A752" s="210"/>
      <c r="B752" s="210"/>
      <c r="C752" s="210"/>
      <c r="D752" s="210"/>
      <c r="E752" s="210"/>
      <c r="F752" s="210"/>
      <c r="G752" s="210"/>
      <c r="H752" s="210"/>
      <c r="I752" s="210"/>
      <c r="J752" s="210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</row>
    <row r="753" ht="15.75" customHeight="1">
      <c r="A753" s="210"/>
      <c r="B753" s="210"/>
      <c r="C753" s="210"/>
      <c r="D753" s="210"/>
      <c r="E753" s="210"/>
      <c r="F753" s="210"/>
      <c r="G753" s="210"/>
      <c r="H753" s="210"/>
      <c r="I753" s="210"/>
      <c r="J753" s="210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</row>
    <row r="754" ht="15.75" customHeight="1">
      <c r="A754" s="210"/>
      <c r="B754" s="210"/>
      <c r="C754" s="210"/>
      <c r="D754" s="210"/>
      <c r="E754" s="210"/>
      <c r="F754" s="210"/>
      <c r="G754" s="210"/>
      <c r="H754" s="210"/>
      <c r="I754" s="210"/>
      <c r="J754" s="210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</row>
    <row r="755" ht="15.75" customHeight="1">
      <c r="A755" s="210"/>
      <c r="B755" s="210"/>
      <c r="C755" s="210"/>
      <c r="D755" s="210"/>
      <c r="E755" s="210"/>
      <c r="F755" s="210"/>
      <c r="G755" s="210"/>
      <c r="H755" s="210"/>
      <c r="I755" s="210"/>
      <c r="J755" s="210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</row>
    <row r="756" ht="15.75" customHeight="1">
      <c r="A756" s="210"/>
      <c r="B756" s="210"/>
      <c r="C756" s="210"/>
      <c r="D756" s="210"/>
      <c r="E756" s="210"/>
      <c r="F756" s="210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</row>
    <row r="757" ht="15.75" customHeight="1">
      <c r="A757" s="210"/>
      <c r="B757" s="210"/>
      <c r="C757" s="210"/>
      <c r="D757" s="210"/>
      <c r="E757" s="210"/>
      <c r="F757" s="210"/>
      <c r="G757" s="210"/>
      <c r="H757" s="210"/>
      <c r="I757" s="210"/>
      <c r="J757" s="210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</row>
    <row r="758" ht="15.75" customHeight="1">
      <c r="A758" s="210"/>
      <c r="B758" s="210"/>
      <c r="C758" s="210"/>
      <c r="D758" s="210"/>
      <c r="E758" s="210"/>
      <c r="F758" s="210"/>
      <c r="G758" s="210"/>
      <c r="H758" s="210"/>
      <c r="I758" s="210"/>
      <c r="J758" s="210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</row>
    <row r="759" ht="15.75" customHeight="1">
      <c r="A759" s="210"/>
      <c r="B759" s="210"/>
      <c r="C759" s="210"/>
      <c r="D759" s="210"/>
      <c r="E759" s="210"/>
      <c r="F759" s="210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</row>
    <row r="760" ht="15.75" customHeight="1">
      <c r="A760" s="210"/>
      <c r="B760" s="210"/>
      <c r="C760" s="210"/>
      <c r="D760" s="210"/>
      <c r="E760" s="210"/>
      <c r="F760" s="210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</row>
    <row r="761" ht="15.75" customHeight="1">
      <c r="A761" s="210"/>
      <c r="B761" s="210"/>
      <c r="C761" s="210"/>
      <c r="D761" s="210"/>
      <c r="E761" s="210"/>
      <c r="F761" s="210"/>
      <c r="G761" s="210"/>
      <c r="H761" s="210"/>
      <c r="I761" s="210"/>
      <c r="J761" s="210"/>
      <c r="K761" s="210"/>
      <c r="L761" s="210"/>
      <c r="M761" s="210"/>
      <c r="N761" s="210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</row>
    <row r="762" ht="15.75" customHeight="1">
      <c r="A762" s="210"/>
      <c r="B762" s="210"/>
      <c r="C762" s="210"/>
      <c r="D762" s="210"/>
      <c r="E762" s="210"/>
      <c r="F762" s="210"/>
      <c r="G762" s="210"/>
      <c r="H762" s="210"/>
      <c r="I762" s="210"/>
      <c r="J762" s="210"/>
      <c r="K762" s="210"/>
      <c r="L762" s="210"/>
      <c r="M762" s="210"/>
      <c r="N762" s="210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</row>
    <row r="763" ht="15.75" customHeight="1">
      <c r="A763" s="210"/>
      <c r="B763" s="210"/>
      <c r="C763" s="210"/>
      <c r="D763" s="210"/>
      <c r="E763" s="210"/>
      <c r="F763" s="210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</row>
    <row r="764" ht="15.75" customHeight="1">
      <c r="A764" s="210"/>
      <c r="B764" s="210"/>
      <c r="C764" s="210"/>
      <c r="D764" s="210"/>
      <c r="E764" s="210"/>
      <c r="F764" s="210"/>
      <c r="G764" s="210"/>
      <c r="H764" s="210"/>
      <c r="I764" s="210"/>
      <c r="J764" s="210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</row>
    <row r="765" ht="15.75" customHeight="1">
      <c r="A765" s="210"/>
      <c r="B765" s="210"/>
      <c r="C765" s="210"/>
      <c r="D765" s="210"/>
      <c r="E765" s="210"/>
      <c r="F765" s="210"/>
      <c r="G765" s="210"/>
      <c r="H765" s="210"/>
      <c r="I765" s="210"/>
      <c r="J765" s="210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</row>
    <row r="766" ht="15.75" customHeight="1">
      <c r="A766" s="210"/>
      <c r="B766" s="210"/>
      <c r="C766" s="210"/>
      <c r="D766" s="210"/>
      <c r="E766" s="210"/>
      <c r="F766" s="210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</row>
    <row r="767" ht="15.75" customHeight="1">
      <c r="A767" s="210"/>
      <c r="B767" s="210"/>
      <c r="C767" s="210"/>
      <c r="D767" s="210"/>
      <c r="E767" s="210"/>
      <c r="F767" s="210"/>
      <c r="G767" s="210"/>
      <c r="H767" s="210"/>
      <c r="I767" s="210"/>
      <c r="J767" s="210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</row>
    <row r="768" ht="15.75" customHeight="1">
      <c r="A768" s="210"/>
      <c r="B768" s="210"/>
      <c r="C768" s="210"/>
      <c r="D768" s="210"/>
      <c r="E768" s="210"/>
      <c r="F768" s="210"/>
      <c r="G768" s="210"/>
      <c r="H768" s="210"/>
      <c r="I768" s="210"/>
      <c r="J768" s="210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</row>
    <row r="769" ht="15.75" customHeight="1">
      <c r="A769" s="210"/>
      <c r="B769" s="210"/>
      <c r="C769" s="210"/>
      <c r="D769" s="210"/>
      <c r="E769" s="210"/>
      <c r="F769" s="210"/>
      <c r="G769" s="210"/>
      <c r="H769" s="210"/>
      <c r="I769" s="210"/>
      <c r="J769" s="210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</row>
    <row r="770" ht="15.75" customHeight="1">
      <c r="A770" s="210"/>
      <c r="B770" s="210"/>
      <c r="C770" s="210"/>
      <c r="D770" s="210"/>
      <c r="E770" s="210"/>
      <c r="F770" s="210"/>
      <c r="G770" s="210"/>
      <c r="H770" s="210"/>
      <c r="I770" s="210"/>
      <c r="J770" s="210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</row>
    <row r="771" ht="15.75" customHeight="1">
      <c r="A771" s="210"/>
      <c r="B771" s="210"/>
      <c r="C771" s="210"/>
      <c r="D771" s="210"/>
      <c r="E771" s="210"/>
      <c r="F771" s="210"/>
      <c r="G771" s="210"/>
      <c r="H771" s="210"/>
      <c r="I771" s="210"/>
      <c r="J771" s="210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</row>
    <row r="772" ht="15.75" customHeight="1">
      <c r="A772" s="210"/>
      <c r="B772" s="210"/>
      <c r="C772" s="210"/>
      <c r="D772" s="210"/>
      <c r="E772" s="210"/>
      <c r="F772" s="210"/>
      <c r="G772" s="210"/>
      <c r="H772" s="210"/>
      <c r="I772" s="210"/>
      <c r="J772" s="210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</row>
    <row r="773" ht="15.75" customHeight="1">
      <c r="A773" s="210"/>
      <c r="B773" s="210"/>
      <c r="C773" s="210"/>
      <c r="D773" s="210"/>
      <c r="E773" s="210"/>
      <c r="F773" s="210"/>
      <c r="G773" s="210"/>
      <c r="H773" s="210"/>
      <c r="I773" s="210"/>
      <c r="J773" s="210"/>
      <c r="K773" s="210"/>
      <c r="L773" s="210"/>
      <c r="M773" s="210"/>
      <c r="N773" s="210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</row>
    <row r="774" ht="15.75" customHeight="1">
      <c r="A774" s="210"/>
      <c r="B774" s="210"/>
      <c r="C774" s="210"/>
      <c r="D774" s="210"/>
      <c r="E774" s="210"/>
      <c r="F774" s="210"/>
      <c r="G774" s="210"/>
      <c r="H774" s="210"/>
      <c r="I774" s="210"/>
      <c r="J774" s="210"/>
      <c r="K774" s="210"/>
      <c r="L774" s="210"/>
      <c r="M774" s="210"/>
      <c r="N774" s="210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</row>
    <row r="775" ht="15.75" customHeight="1">
      <c r="A775" s="210"/>
      <c r="B775" s="210"/>
      <c r="C775" s="210"/>
      <c r="D775" s="210"/>
      <c r="E775" s="210"/>
      <c r="F775" s="210"/>
      <c r="G775" s="210"/>
      <c r="H775" s="210"/>
      <c r="I775" s="210"/>
      <c r="J775" s="210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</row>
    <row r="776" ht="15.75" customHeight="1">
      <c r="A776" s="210"/>
      <c r="B776" s="210"/>
      <c r="C776" s="210"/>
      <c r="D776" s="210"/>
      <c r="E776" s="210"/>
      <c r="F776" s="210"/>
      <c r="G776" s="210"/>
      <c r="H776" s="210"/>
      <c r="I776" s="210"/>
      <c r="J776" s="210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</row>
    <row r="777" ht="15.75" customHeight="1">
      <c r="A777" s="210"/>
      <c r="B777" s="210"/>
      <c r="C777" s="210"/>
      <c r="D777" s="210"/>
      <c r="E777" s="210"/>
      <c r="F777" s="210"/>
      <c r="G777" s="210"/>
      <c r="H777" s="210"/>
      <c r="I777" s="210"/>
      <c r="J777" s="210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</row>
    <row r="778" ht="15.75" customHeight="1">
      <c r="A778" s="210"/>
      <c r="B778" s="210"/>
      <c r="C778" s="210"/>
      <c r="D778" s="210"/>
      <c r="E778" s="210"/>
      <c r="F778" s="210"/>
      <c r="G778" s="210"/>
      <c r="H778" s="210"/>
      <c r="I778" s="210"/>
      <c r="J778" s="210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</row>
    <row r="779" ht="15.75" customHeight="1">
      <c r="A779" s="210"/>
      <c r="B779" s="210"/>
      <c r="C779" s="210"/>
      <c r="D779" s="210"/>
      <c r="E779" s="210"/>
      <c r="F779" s="210"/>
      <c r="G779" s="210"/>
      <c r="H779" s="210"/>
      <c r="I779" s="210"/>
      <c r="J779" s="210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</row>
    <row r="780" ht="15.75" customHeight="1">
      <c r="A780" s="210"/>
      <c r="B780" s="210"/>
      <c r="C780" s="210"/>
      <c r="D780" s="210"/>
      <c r="E780" s="210"/>
      <c r="F780" s="210"/>
      <c r="G780" s="210"/>
      <c r="H780" s="210"/>
      <c r="I780" s="210"/>
      <c r="J780" s="210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</row>
    <row r="781" ht="15.75" customHeight="1">
      <c r="A781" s="210"/>
      <c r="B781" s="210"/>
      <c r="C781" s="210"/>
      <c r="D781" s="210"/>
      <c r="E781" s="210"/>
      <c r="F781" s="210"/>
      <c r="G781" s="210"/>
      <c r="H781" s="210"/>
      <c r="I781" s="210"/>
      <c r="J781" s="210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</row>
    <row r="782" ht="15.75" customHeight="1">
      <c r="A782" s="210"/>
      <c r="B782" s="210"/>
      <c r="C782" s="210"/>
      <c r="D782" s="210"/>
      <c r="E782" s="210"/>
      <c r="F782" s="210"/>
      <c r="G782" s="210"/>
      <c r="H782" s="210"/>
      <c r="I782" s="210"/>
      <c r="J782" s="210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</row>
    <row r="783" ht="15.75" customHeight="1">
      <c r="A783" s="210"/>
      <c r="B783" s="210"/>
      <c r="C783" s="210"/>
      <c r="D783" s="210"/>
      <c r="E783" s="210"/>
      <c r="F783" s="210"/>
      <c r="G783" s="210"/>
      <c r="H783" s="210"/>
      <c r="I783" s="210"/>
      <c r="J783" s="210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</row>
    <row r="784" ht="15.75" customHeight="1">
      <c r="A784" s="210"/>
      <c r="B784" s="210"/>
      <c r="C784" s="210"/>
      <c r="D784" s="210"/>
      <c r="E784" s="210"/>
      <c r="F784" s="210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</row>
    <row r="785" ht="15.75" customHeight="1">
      <c r="A785" s="210"/>
      <c r="B785" s="210"/>
      <c r="C785" s="210"/>
      <c r="D785" s="210"/>
      <c r="E785" s="210"/>
      <c r="F785" s="210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</row>
    <row r="786" ht="15.75" customHeight="1">
      <c r="A786" s="210"/>
      <c r="B786" s="210"/>
      <c r="C786" s="210"/>
      <c r="D786" s="210"/>
      <c r="E786" s="210"/>
      <c r="F786" s="210"/>
      <c r="G786" s="210"/>
      <c r="H786" s="210"/>
      <c r="I786" s="210"/>
      <c r="J786" s="210"/>
      <c r="K786" s="210"/>
      <c r="L786" s="210"/>
      <c r="M786" s="210"/>
      <c r="N786" s="210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</row>
    <row r="787" ht="15.75" customHeight="1">
      <c r="A787" s="210"/>
      <c r="B787" s="210"/>
      <c r="C787" s="210"/>
      <c r="D787" s="210"/>
      <c r="E787" s="210"/>
      <c r="F787" s="210"/>
      <c r="G787" s="210"/>
      <c r="H787" s="210"/>
      <c r="I787" s="210"/>
      <c r="J787" s="210"/>
      <c r="K787" s="210"/>
      <c r="L787" s="210"/>
      <c r="M787" s="210"/>
      <c r="N787" s="210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</row>
    <row r="788" ht="15.75" customHeight="1">
      <c r="A788" s="210"/>
      <c r="B788" s="210"/>
      <c r="C788" s="210"/>
      <c r="D788" s="210"/>
      <c r="E788" s="210"/>
      <c r="F788" s="210"/>
      <c r="G788" s="210"/>
      <c r="H788" s="210"/>
      <c r="I788" s="210"/>
      <c r="J788" s="210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</row>
    <row r="789" ht="15.75" customHeight="1">
      <c r="A789" s="210"/>
      <c r="B789" s="210"/>
      <c r="C789" s="210"/>
      <c r="D789" s="210"/>
      <c r="E789" s="210"/>
      <c r="F789" s="210"/>
      <c r="G789" s="210"/>
      <c r="H789" s="210"/>
      <c r="I789" s="210"/>
      <c r="J789" s="210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</row>
    <row r="790" ht="15.75" customHeight="1">
      <c r="A790" s="210"/>
      <c r="B790" s="210"/>
      <c r="C790" s="210"/>
      <c r="D790" s="210"/>
      <c r="E790" s="210"/>
      <c r="F790" s="210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</row>
    <row r="791" ht="15.75" customHeight="1">
      <c r="A791" s="210"/>
      <c r="B791" s="210"/>
      <c r="C791" s="210"/>
      <c r="D791" s="210"/>
      <c r="E791" s="210"/>
      <c r="F791" s="210"/>
      <c r="G791" s="210"/>
      <c r="H791" s="210"/>
      <c r="I791" s="210"/>
      <c r="J791" s="210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</row>
    <row r="792" ht="15.75" customHeight="1">
      <c r="A792" s="210"/>
      <c r="B792" s="210"/>
      <c r="C792" s="210"/>
      <c r="D792" s="210"/>
      <c r="E792" s="210"/>
      <c r="F792" s="210"/>
      <c r="G792" s="210"/>
      <c r="H792" s="210"/>
      <c r="I792" s="210"/>
      <c r="J792" s="210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</row>
    <row r="793" ht="15.75" customHeight="1">
      <c r="A793" s="210"/>
      <c r="B793" s="210"/>
      <c r="C793" s="210"/>
      <c r="D793" s="210"/>
      <c r="E793" s="210"/>
      <c r="F793" s="210"/>
      <c r="G793" s="210"/>
      <c r="H793" s="210"/>
      <c r="I793" s="210"/>
      <c r="J793" s="210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</row>
    <row r="794" ht="15.75" customHeight="1">
      <c r="A794" s="210"/>
      <c r="B794" s="210"/>
      <c r="C794" s="210"/>
      <c r="D794" s="210"/>
      <c r="E794" s="210"/>
      <c r="F794" s="210"/>
      <c r="G794" s="210"/>
      <c r="H794" s="210"/>
      <c r="I794" s="210"/>
      <c r="J794" s="210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</row>
    <row r="795" ht="15.75" customHeight="1">
      <c r="A795" s="210"/>
      <c r="B795" s="210"/>
      <c r="C795" s="210"/>
      <c r="D795" s="210"/>
      <c r="E795" s="210"/>
      <c r="F795" s="210"/>
      <c r="G795" s="210"/>
      <c r="H795" s="210"/>
      <c r="I795" s="210"/>
      <c r="J795" s="210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</row>
    <row r="796" ht="15.75" customHeight="1">
      <c r="A796" s="210"/>
      <c r="B796" s="210"/>
      <c r="C796" s="210"/>
      <c r="D796" s="210"/>
      <c r="E796" s="210"/>
      <c r="F796" s="210"/>
      <c r="G796" s="210"/>
      <c r="H796" s="210"/>
      <c r="I796" s="210"/>
      <c r="J796" s="210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</row>
    <row r="797" ht="15.75" customHeight="1">
      <c r="A797" s="210"/>
      <c r="B797" s="210"/>
      <c r="C797" s="210"/>
      <c r="D797" s="210"/>
      <c r="E797" s="210"/>
      <c r="F797" s="210"/>
      <c r="G797" s="210"/>
      <c r="H797" s="210"/>
      <c r="I797" s="210"/>
      <c r="J797" s="210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</row>
    <row r="798" ht="15.75" customHeight="1">
      <c r="A798" s="210"/>
      <c r="B798" s="210"/>
      <c r="C798" s="210"/>
      <c r="D798" s="210"/>
      <c r="E798" s="210"/>
      <c r="F798" s="210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</row>
    <row r="799" ht="15.75" customHeight="1">
      <c r="A799" s="210"/>
      <c r="B799" s="210"/>
      <c r="C799" s="210"/>
      <c r="D799" s="210"/>
      <c r="E799" s="210"/>
      <c r="F799" s="210"/>
      <c r="G799" s="210"/>
      <c r="H799" s="210"/>
      <c r="I799" s="210"/>
      <c r="J799" s="210"/>
      <c r="K799" s="210"/>
      <c r="L799" s="210"/>
      <c r="M799" s="210"/>
      <c r="N799" s="210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</row>
    <row r="800" ht="15.75" customHeight="1">
      <c r="A800" s="210"/>
      <c r="B800" s="210"/>
      <c r="C800" s="210"/>
      <c r="D800" s="210"/>
      <c r="E800" s="210"/>
      <c r="F800" s="210"/>
      <c r="G800" s="210"/>
      <c r="H800" s="210"/>
      <c r="I800" s="210"/>
      <c r="J800" s="210"/>
      <c r="K800" s="210"/>
      <c r="L800" s="210"/>
      <c r="M800" s="210"/>
      <c r="N800" s="210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</row>
    <row r="801" ht="15.75" customHeight="1">
      <c r="A801" s="210"/>
      <c r="B801" s="210"/>
      <c r="C801" s="210"/>
      <c r="D801" s="210"/>
      <c r="E801" s="210"/>
      <c r="F801" s="210"/>
      <c r="G801" s="210"/>
      <c r="H801" s="210"/>
      <c r="I801" s="210"/>
      <c r="J801" s="210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</row>
    <row r="802" ht="15.75" customHeight="1">
      <c r="A802" s="210"/>
      <c r="B802" s="210"/>
      <c r="C802" s="210"/>
      <c r="D802" s="210"/>
      <c r="E802" s="210"/>
      <c r="F802" s="210"/>
      <c r="G802" s="210"/>
      <c r="H802" s="210"/>
      <c r="I802" s="210"/>
      <c r="J802" s="210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</row>
    <row r="803" ht="15.75" customHeight="1">
      <c r="A803" s="210"/>
      <c r="B803" s="210"/>
      <c r="C803" s="210"/>
      <c r="D803" s="210"/>
      <c r="E803" s="210"/>
      <c r="F803" s="210"/>
      <c r="G803" s="210"/>
      <c r="H803" s="210"/>
      <c r="I803" s="210"/>
      <c r="J803" s="210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</row>
    <row r="804" ht="15.75" customHeight="1">
      <c r="A804" s="210"/>
      <c r="B804" s="210"/>
      <c r="C804" s="210"/>
      <c r="D804" s="210"/>
      <c r="E804" s="210"/>
      <c r="F804" s="210"/>
      <c r="G804" s="210"/>
      <c r="H804" s="210"/>
      <c r="I804" s="210"/>
      <c r="J804" s="210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</row>
    <row r="805" ht="15.75" customHeight="1">
      <c r="A805" s="210"/>
      <c r="B805" s="210"/>
      <c r="C805" s="210"/>
      <c r="D805" s="210"/>
      <c r="E805" s="210"/>
      <c r="F805" s="210"/>
      <c r="G805" s="210"/>
      <c r="H805" s="210"/>
      <c r="I805" s="210"/>
      <c r="J805" s="210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</row>
    <row r="806" ht="15.75" customHeight="1">
      <c r="A806" s="210"/>
      <c r="B806" s="210"/>
      <c r="C806" s="210"/>
      <c r="D806" s="210"/>
      <c r="E806" s="210"/>
      <c r="F806" s="210"/>
      <c r="G806" s="210"/>
      <c r="H806" s="210"/>
      <c r="I806" s="210"/>
      <c r="J806" s="210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</row>
    <row r="807" ht="15.75" customHeight="1">
      <c r="A807" s="210"/>
      <c r="B807" s="210"/>
      <c r="C807" s="210"/>
      <c r="D807" s="210"/>
      <c r="E807" s="210"/>
      <c r="F807" s="210"/>
      <c r="G807" s="210"/>
      <c r="H807" s="210"/>
      <c r="I807" s="210"/>
      <c r="J807" s="210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</row>
    <row r="808" ht="15.75" customHeight="1">
      <c r="A808" s="210"/>
      <c r="B808" s="210"/>
      <c r="C808" s="210"/>
      <c r="D808" s="210"/>
      <c r="E808" s="210"/>
      <c r="F808" s="210"/>
      <c r="G808" s="210"/>
      <c r="H808" s="210"/>
      <c r="I808" s="210"/>
      <c r="J808" s="210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</row>
    <row r="809" ht="15.75" customHeight="1">
      <c r="A809" s="210"/>
      <c r="B809" s="210"/>
      <c r="C809" s="210"/>
      <c r="D809" s="210"/>
      <c r="E809" s="210"/>
      <c r="F809" s="210"/>
      <c r="G809" s="210"/>
      <c r="H809" s="210"/>
      <c r="I809" s="210"/>
      <c r="J809" s="210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</row>
    <row r="810" ht="15.75" customHeight="1">
      <c r="A810" s="210"/>
      <c r="B810" s="210"/>
      <c r="C810" s="210"/>
      <c r="D810" s="210"/>
      <c r="E810" s="210"/>
      <c r="F810" s="210"/>
      <c r="G810" s="210"/>
      <c r="H810" s="210"/>
      <c r="I810" s="210"/>
      <c r="J810" s="210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</row>
    <row r="811" ht="15.75" customHeight="1">
      <c r="A811" s="210"/>
      <c r="B811" s="210"/>
      <c r="C811" s="210"/>
      <c r="D811" s="210"/>
      <c r="E811" s="210"/>
      <c r="F811" s="210"/>
      <c r="G811" s="210"/>
      <c r="H811" s="210"/>
      <c r="I811" s="210"/>
      <c r="J811" s="210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</row>
    <row r="812" ht="15.75" customHeight="1">
      <c r="A812" s="210"/>
      <c r="B812" s="210"/>
      <c r="C812" s="210"/>
      <c r="D812" s="210"/>
      <c r="E812" s="210"/>
      <c r="F812" s="210"/>
      <c r="G812" s="210"/>
      <c r="H812" s="210"/>
      <c r="I812" s="210"/>
      <c r="J812" s="210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</row>
    <row r="813" ht="15.75" customHeight="1">
      <c r="A813" s="210"/>
      <c r="B813" s="210"/>
      <c r="C813" s="210"/>
      <c r="D813" s="210"/>
      <c r="E813" s="210"/>
      <c r="F813" s="210"/>
      <c r="G813" s="210"/>
      <c r="H813" s="210"/>
      <c r="I813" s="210"/>
      <c r="J813" s="210"/>
      <c r="K813" s="210"/>
      <c r="L813" s="210"/>
      <c r="M813" s="210"/>
      <c r="N813" s="210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</row>
    <row r="814" ht="15.75" customHeight="1">
      <c r="A814" s="210"/>
      <c r="B814" s="210"/>
      <c r="C814" s="210"/>
      <c r="D814" s="210"/>
      <c r="E814" s="210"/>
      <c r="F814" s="210"/>
      <c r="G814" s="210"/>
      <c r="H814" s="210"/>
      <c r="I814" s="210"/>
      <c r="J814" s="210"/>
      <c r="K814" s="210"/>
      <c r="L814" s="210"/>
      <c r="M814" s="210"/>
      <c r="N814" s="210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</row>
    <row r="815" ht="15.75" customHeight="1">
      <c r="A815" s="210"/>
      <c r="B815" s="210"/>
      <c r="C815" s="210"/>
      <c r="D815" s="210"/>
      <c r="E815" s="210"/>
      <c r="F815" s="210"/>
      <c r="G815" s="210"/>
      <c r="H815" s="210"/>
      <c r="I815" s="210"/>
      <c r="J815" s="210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</row>
    <row r="816" ht="15.75" customHeight="1">
      <c r="A816" s="210"/>
      <c r="B816" s="210"/>
      <c r="C816" s="210"/>
      <c r="D816" s="210"/>
      <c r="E816" s="210"/>
      <c r="F816" s="210"/>
      <c r="G816" s="210"/>
      <c r="H816" s="210"/>
      <c r="I816" s="210"/>
      <c r="J816" s="210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</row>
    <row r="817" ht="15.75" customHeight="1">
      <c r="A817" s="210"/>
      <c r="B817" s="210"/>
      <c r="C817" s="210"/>
      <c r="D817" s="210"/>
      <c r="E817" s="210"/>
      <c r="F817" s="210"/>
      <c r="G817" s="210"/>
      <c r="H817" s="210"/>
      <c r="I817" s="210"/>
      <c r="J817" s="210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</row>
    <row r="818" ht="15.75" customHeight="1">
      <c r="A818" s="210"/>
      <c r="B818" s="210"/>
      <c r="C818" s="210"/>
      <c r="D818" s="210"/>
      <c r="E818" s="210"/>
      <c r="F818" s="210"/>
      <c r="G818" s="210"/>
      <c r="H818" s="210"/>
      <c r="I818" s="210"/>
      <c r="J818" s="210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</row>
    <row r="819" ht="15.75" customHeight="1">
      <c r="A819" s="210"/>
      <c r="B819" s="210"/>
      <c r="C819" s="210"/>
      <c r="D819" s="210"/>
      <c r="E819" s="210"/>
      <c r="F819" s="210"/>
      <c r="G819" s="210"/>
      <c r="H819" s="210"/>
      <c r="I819" s="210"/>
      <c r="J819" s="210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</row>
    <row r="820" ht="15.75" customHeight="1">
      <c r="A820" s="210"/>
      <c r="B820" s="210"/>
      <c r="C820" s="210"/>
      <c r="D820" s="210"/>
      <c r="E820" s="210"/>
      <c r="F820" s="210"/>
      <c r="G820" s="210"/>
      <c r="H820" s="210"/>
      <c r="I820" s="210"/>
      <c r="J820" s="210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</row>
    <row r="821" ht="15.75" customHeight="1">
      <c r="A821" s="210"/>
      <c r="B821" s="210"/>
      <c r="C821" s="210"/>
      <c r="D821" s="210"/>
      <c r="E821" s="210"/>
      <c r="F821" s="210"/>
      <c r="G821" s="210"/>
      <c r="H821" s="210"/>
      <c r="I821" s="210"/>
      <c r="J821" s="210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</row>
    <row r="822" ht="15.75" customHeight="1">
      <c r="A822" s="210"/>
      <c r="B822" s="210"/>
      <c r="C822" s="210"/>
      <c r="D822" s="210"/>
      <c r="E822" s="210"/>
      <c r="F822" s="210"/>
      <c r="G822" s="210"/>
      <c r="H822" s="210"/>
      <c r="I822" s="210"/>
      <c r="J822" s="210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</row>
    <row r="823" ht="15.75" customHeight="1">
      <c r="A823" s="210"/>
      <c r="B823" s="210"/>
      <c r="C823" s="210"/>
      <c r="D823" s="210"/>
      <c r="E823" s="210"/>
      <c r="F823" s="210"/>
      <c r="G823" s="210"/>
      <c r="H823" s="210"/>
      <c r="I823" s="210"/>
      <c r="J823" s="210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</row>
    <row r="824" ht="15.75" customHeight="1">
      <c r="A824" s="210"/>
      <c r="B824" s="210"/>
      <c r="C824" s="210"/>
      <c r="D824" s="210"/>
      <c r="E824" s="210"/>
      <c r="F824" s="210"/>
      <c r="G824" s="210"/>
      <c r="H824" s="210"/>
      <c r="I824" s="210"/>
      <c r="J824" s="210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</row>
    <row r="825" ht="15.75" customHeight="1">
      <c r="A825" s="210"/>
      <c r="B825" s="210"/>
      <c r="C825" s="210"/>
      <c r="D825" s="210"/>
      <c r="E825" s="210"/>
      <c r="F825" s="210"/>
      <c r="G825" s="210"/>
      <c r="H825" s="210"/>
      <c r="I825" s="210"/>
      <c r="J825" s="210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</row>
    <row r="826" ht="15.75" customHeight="1">
      <c r="A826" s="210"/>
      <c r="B826" s="210"/>
      <c r="C826" s="210"/>
      <c r="D826" s="210"/>
      <c r="E826" s="210"/>
      <c r="F826" s="210"/>
      <c r="G826" s="210"/>
      <c r="H826" s="210"/>
      <c r="I826" s="210"/>
      <c r="J826" s="210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</row>
    <row r="827" ht="15.75" customHeight="1">
      <c r="A827" s="210"/>
      <c r="B827" s="210"/>
      <c r="C827" s="210"/>
      <c r="D827" s="210"/>
      <c r="E827" s="210"/>
      <c r="F827" s="210"/>
      <c r="G827" s="210"/>
      <c r="H827" s="210"/>
      <c r="I827" s="210"/>
      <c r="J827" s="210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</row>
    <row r="828" ht="15.75" customHeight="1">
      <c r="A828" s="210"/>
      <c r="B828" s="210"/>
      <c r="C828" s="210"/>
      <c r="D828" s="210"/>
      <c r="E828" s="210"/>
      <c r="F828" s="210"/>
      <c r="G828" s="210"/>
      <c r="H828" s="210"/>
      <c r="I828" s="210"/>
      <c r="J828" s="210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</row>
    <row r="829" ht="15.75" customHeight="1">
      <c r="A829" s="210"/>
      <c r="B829" s="210"/>
      <c r="C829" s="210"/>
      <c r="D829" s="210"/>
      <c r="E829" s="210"/>
      <c r="F829" s="210"/>
      <c r="G829" s="210"/>
      <c r="H829" s="210"/>
      <c r="I829" s="210"/>
      <c r="J829" s="210"/>
      <c r="K829" s="210"/>
      <c r="L829" s="210"/>
      <c r="M829" s="210"/>
      <c r="N829" s="210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</row>
    <row r="830" ht="15.75" customHeight="1">
      <c r="A830" s="210"/>
      <c r="B830" s="210"/>
      <c r="C830" s="210"/>
      <c r="D830" s="210"/>
      <c r="E830" s="210"/>
      <c r="F830" s="210"/>
      <c r="G830" s="210"/>
      <c r="H830" s="210"/>
      <c r="I830" s="210"/>
      <c r="J830" s="210"/>
      <c r="K830" s="210"/>
      <c r="L830" s="210"/>
      <c r="M830" s="210"/>
      <c r="N830" s="210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</row>
    <row r="831" ht="15.75" customHeight="1">
      <c r="A831" s="210"/>
      <c r="B831" s="210"/>
      <c r="C831" s="210"/>
      <c r="D831" s="210"/>
      <c r="E831" s="210"/>
      <c r="F831" s="210"/>
      <c r="G831" s="210"/>
      <c r="H831" s="210"/>
      <c r="I831" s="210"/>
      <c r="J831" s="210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</row>
    <row r="832" ht="15.75" customHeight="1">
      <c r="A832" s="210"/>
      <c r="B832" s="210"/>
      <c r="C832" s="210"/>
      <c r="D832" s="210"/>
      <c r="E832" s="210"/>
      <c r="F832" s="210"/>
      <c r="G832" s="210"/>
      <c r="H832" s="210"/>
      <c r="I832" s="210"/>
      <c r="J832" s="210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</row>
    <row r="833" ht="15.75" customHeight="1">
      <c r="A833" s="210"/>
      <c r="B833" s="210"/>
      <c r="C833" s="210"/>
      <c r="D833" s="210"/>
      <c r="E833" s="210"/>
      <c r="F833" s="210"/>
      <c r="G833" s="210"/>
      <c r="H833" s="210"/>
      <c r="I833" s="210"/>
      <c r="J833" s="210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</row>
    <row r="834" ht="15.75" customHeight="1">
      <c r="A834" s="210"/>
      <c r="B834" s="210"/>
      <c r="C834" s="210"/>
      <c r="D834" s="210"/>
      <c r="E834" s="210"/>
      <c r="F834" s="210"/>
      <c r="G834" s="210"/>
      <c r="H834" s="210"/>
      <c r="I834" s="210"/>
      <c r="J834" s="210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</row>
    <row r="835" ht="15.75" customHeight="1">
      <c r="A835" s="210"/>
      <c r="B835" s="210"/>
      <c r="C835" s="210"/>
      <c r="D835" s="210"/>
      <c r="E835" s="210"/>
      <c r="F835" s="210"/>
      <c r="G835" s="210"/>
      <c r="H835" s="210"/>
      <c r="I835" s="210"/>
      <c r="J835" s="210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</row>
    <row r="836" ht="15.75" customHeight="1">
      <c r="A836" s="210"/>
      <c r="B836" s="210"/>
      <c r="C836" s="210"/>
      <c r="D836" s="210"/>
      <c r="E836" s="210"/>
      <c r="F836" s="210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</row>
    <row r="837" ht="15.75" customHeight="1">
      <c r="A837" s="210"/>
      <c r="B837" s="210"/>
      <c r="C837" s="210"/>
      <c r="D837" s="210"/>
      <c r="E837" s="210"/>
      <c r="F837" s="210"/>
      <c r="G837" s="210"/>
      <c r="H837" s="210"/>
      <c r="I837" s="210"/>
      <c r="J837" s="210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</row>
    <row r="838" ht="15.75" customHeight="1">
      <c r="A838" s="210"/>
      <c r="B838" s="210"/>
      <c r="C838" s="210"/>
      <c r="D838" s="210"/>
      <c r="E838" s="210"/>
      <c r="F838" s="210"/>
      <c r="G838" s="210"/>
      <c r="H838" s="210"/>
      <c r="I838" s="210"/>
      <c r="J838" s="210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</row>
    <row r="839" ht="15.75" customHeight="1">
      <c r="A839" s="210"/>
      <c r="B839" s="210"/>
      <c r="C839" s="210"/>
      <c r="D839" s="210"/>
      <c r="E839" s="210"/>
      <c r="F839" s="210"/>
      <c r="G839" s="210"/>
      <c r="H839" s="210"/>
      <c r="I839" s="210"/>
      <c r="J839" s="210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</row>
    <row r="840" ht="15.75" customHeight="1">
      <c r="A840" s="210"/>
      <c r="B840" s="210"/>
      <c r="C840" s="210"/>
      <c r="D840" s="210"/>
      <c r="E840" s="210"/>
      <c r="F840" s="210"/>
      <c r="G840" s="210"/>
      <c r="H840" s="210"/>
      <c r="I840" s="210"/>
      <c r="J840" s="210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</row>
    <row r="841" ht="15.75" customHeight="1">
      <c r="A841" s="210"/>
      <c r="B841" s="210"/>
      <c r="C841" s="210"/>
      <c r="D841" s="210"/>
      <c r="E841" s="210"/>
      <c r="F841" s="210"/>
      <c r="G841" s="210"/>
      <c r="H841" s="210"/>
      <c r="I841" s="210"/>
      <c r="J841" s="210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</row>
    <row r="842" ht="15.75" customHeight="1">
      <c r="A842" s="210"/>
      <c r="B842" s="210"/>
      <c r="C842" s="210"/>
      <c r="D842" s="210"/>
      <c r="E842" s="210"/>
      <c r="F842" s="210"/>
      <c r="G842" s="210"/>
      <c r="H842" s="210"/>
      <c r="I842" s="210"/>
      <c r="J842" s="210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</row>
    <row r="843" ht="15.75" customHeight="1">
      <c r="A843" s="210"/>
      <c r="B843" s="210"/>
      <c r="C843" s="210"/>
      <c r="D843" s="210"/>
      <c r="E843" s="210"/>
      <c r="F843" s="210"/>
      <c r="G843" s="210"/>
      <c r="H843" s="210"/>
      <c r="I843" s="210"/>
      <c r="J843" s="210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</row>
    <row r="844" ht="15.75" customHeight="1">
      <c r="A844" s="210"/>
      <c r="B844" s="210"/>
      <c r="C844" s="210"/>
      <c r="D844" s="210"/>
      <c r="E844" s="210"/>
      <c r="F844" s="210"/>
      <c r="G844" s="210"/>
      <c r="H844" s="210"/>
      <c r="I844" s="210"/>
      <c r="J844" s="210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</row>
    <row r="845" ht="15.75" customHeight="1">
      <c r="A845" s="210"/>
      <c r="B845" s="210"/>
      <c r="C845" s="210"/>
      <c r="D845" s="210"/>
      <c r="E845" s="210"/>
      <c r="F845" s="210"/>
      <c r="G845" s="210"/>
      <c r="H845" s="210"/>
      <c r="I845" s="210"/>
      <c r="J845" s="210"/>
      <c r="K845" s="210"/>
      <c r="L845" s="210"/>
      <c r="M845" s="210"/>
      <c r="N845" s="210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</row>
    <row r="846" ht="15.75" customHeight="1">
      <c r="A846" s="210"/>
      <c r="B846" s="210"/>
      <c r="C846" s="210"/>
      <c r="D846" s="210"/>
      <c r="E846" s="210"/>
      <c r="F846" s="210"/>
      <c r="G846" s="210"/>
      <c r="H846" s="210"/>
      <c r="I846" s="210"/>
      <c r="J846" s="210"/>
      <c r="K846" s="210"/>
      <c r="L846" s="210"/>
      <c r="M846" s="210"/>
      <c r="N846" s="210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</row>
    <row r="847" ht="15.75" customHeight="1">
      <c r="A847" s="210"/>
      <c r="B847" s="210"/>
      <c r="C847" s="210"/>
      <c r="D847" s="210"/>
      <c r="E847" s="210"/>
      <c r="F847" s="210"/>
      <c r="G847" s="210"/>
      <c r="H847" s="210"/>
      <c r="I847" s="210"/>
      <c r="J847" s="210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</row>
    <row r="848" ht="15.75" customHeight="1">
      <c r="A848" s="210"/>
      <c r="B848" s="210"/>
      <c r="C848" s="210"/>
      <c r="D848" s="210"/>
      <c r="E848" s="210"/>
      <c r="F848" s="210"/>
      <c r="G848" s="210"/>
      <c r="H848" s="210"/>
      <c r="I848" s="210"/>
      <c r="J848" s="210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</row>
    <row r="849" ht="15.75" customHeight="1">
      <c r="A849" s="210"/>
      <c r="B849" s="210"/>
      <c r="C849" s="210"/>
      <c r="D849" s="210"/>
      <c r="E849" s="210"/>
      <c r="F849" s="210"/>
      <c r="G849" s="210"/>
      <c r="H849" s="210"/>
      <c r="I849" s="210"/>
      <c r="J849" s="210"/>
      <c r="K849" s="210"/>
      <c r="L849" s="210"/>
      <c r="M849" s="210"/>
      <c r="N849" s="210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</row>
    <row r="850" ht="15.75" customHeight="1">
      <c r="A850" s="210"/>
      <c r="B850" s="210"/>
      <c r="C850" s="210"/>
      <c r="D850" s="210"/>
      <c r="E850" s="210"/>
      <c r="F850" s="210"/>
      <c r="G850" s="210"/>
      <c r="H850" s="210"/>
      <c r="I850" s="210"/>
      <c r="J850" s="210"/>
      <c r="K850" s="210"/>
      <c r="L850" s="210"/>
      <c r="M850" s="210"/>
      <c r="N850" s="210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</row>
    <row r="851" ht="15.75" customHeight="1">
      <c r="A851" s="210"/>
      <c r="B851" s="210"/>
      <c r="C851" s="210"/>
      <c r="D851" s="210"/>
      <c r="E851" s="210"/>
      <c r="F851" s="210"/>
      <c r="G851" s="210"/>
      <c r="H851" s="210"/>
      <c r="I851" s="210"/>
      <c r="J851" s="210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</row>
    <row r="852" ht="15.75" customHeight="1">
      <c r="A852" s="210"/>
      <c r="B852" s="210"/>
      <c r="C852" s="210"/>
      <c r="D852" s="210"/>
      <c r="E852" s="210"/>
      <c r="F852" s="210"/>
      <c r="G852" s="210"/>
      <c r="H852" s="210"/>
      <c r="I852" s="210"/>
      <c r="J852" s="210"/>
      <c r="K852" s="210"/>
      <c r="L852" s="210"/>
      <c r="M852" s="210"/>
      <c r="N852" s="210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</row>
    <row r="853" ht="15.75" customHeight="1">
      <c r="A853" s="210"/>
      <c r="B853" s="210"/>
      <c r="C853" s="210"/>
      <c r="D853" s="210"/>
      <c r="E853" s="210"/>
      <c r="F853" s="210"/>
      <c r="G853" s="210"/>
      <c r="H853" s="210"/>
      <c r="I853" s="210"/>
      <c r="J853" s="210"/>
      <c r="K853" s="210"/>
      <c r="L853" s="210"/>
      <c r="M853" s="210"/>
      <c r="N853" s="210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</row>
    <row r="854" ht="15.75" customHeight="1">
      <c r="A854" s="210"/>
      <c r="B854" s="210"/>
      <c r="C854" s="210"/>
      <c r="D854" s="210"/>
      <c r="E854" s="210"/>
      <c r="F854" s="210"/>
      <c r="G854" s="210"/>
      <c r="H854" s="210"/>
      <c r="I854" s="210"/>
      <c r="J854" s="210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</row>
    <row r="855" ht="15.75" customHeight="1">
      <c r="A855" s="210"/>
      <c r="B855" s="210"/>
      <c r="C855" s="210"/>
      <c r="D855" s="210"/>
      <c r="E855" s="210"/>
      <c r="F855" s="210"/>
      <c r="G855" s="210"/>
      <c r="H855" s="210"/>
      <c r="I855" s="210"/>
      <c r="J855" s="210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</row>
    <row r="856" ht="15.75" customHeight="1">
      <c r="A856" s="210"/>
      <c r="B856" s="210"/>
      <c r="C856" s="210"/>
      <c r="D856" s="210"/>
      <c r="E856" s="210"/>
      <c r="F856" s="210"/>
      <c r="G856" s="210"/>
      <c r="H856" s="210"/>
      <c r="I856" s="210"/>
      <c r="J856" s="210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</row>
    <row r="857" ht="15.75" customHeight="1">
      <c r="A857" s="210"/>
      <c r="B857" s="210"/>
      <c r="C857" s="210"/>
      <c r="D857" s="210"/>
      <c r="E857" s="210"/>
      <c r="F857" s="210"/>
      <c r="G857" s="210"/>
      <c r="H857" s="210"/>
      <c r="I857" s="210"/>
      <c r="J857" s="210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</row>
    <row r="858" ht="15.75" customHeight="1">
      <c r="A858" s="210"/>
      <c r="B858" s="210"/>
      <c r="C858" s="210"/>
      <c r="D858" s="210"/>
      <c r="E858" s="210"/>
      <c r="F858" s="210"/>
      <c r="G858" s="210"/>
      <c r="H858" s="210"/>
      <c r="I858" s="210"/>
      <c r="J858" s="210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</row>
    <row r="859" ht="15.75" customHeight="1">
      <c r="A859" s="210"/>
      <c r="B859" s="210"/>
      <c r="C859" s="210"/>
      <c r="D859" s="210"/>
      <c r="E859" s="210"/>
      <c r="F859" s="210"/>
      <c r="G859" s="210"/>
      <c r="H859" s="210"/>
      <c r="I859" s="210"/>
      <c r="J859" s="210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</row>
    <row r="860" ht="15.75" customHeight="1">
      <c r="A860" s="210"/>
      <c r="B860" s="210"/>
      <c r="C860" s="210"/>
      <c r="D860" s="210"/>
      <c r="E860" s="210"/>
      <c r="F860" s="210"/>
      <c r="G860" s="210"/>
      <c r="H860" s="210"/>
      <c r="I860" s="210"/>
      <c r="J860" s="210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</row>
    <row r="861" ht="15.75" customHeight="1">
      <c r="A861" s="210"/>
      <c r="B861" s="210"/>
      <c r="C861" s="210"/>
      <c r="D861" s="210"/>
      <c r="E861" s="210"/>
      <c r="F861" s="210"/>
      <c r="G861" s="210"/>
      <c r="H861" s="210"/>
      <c r="I861" s="210"/>
      <c r="J861" s="210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</row>
    <row r="862" ht="15.75" customHeight="1">
      <c r="A862" s="210"/>
      <c r="B862" s="210"/>
      <c r="C862" s="210"/>
      <c r="D862" s="210"/>
      <c r="E862" s="210"/>
      <c r="F862" s="210"/>
      <c r="G862" s="210"/>
      <c r="H862" s="210"/>
      <c r="I862" s="210"/>
      <c r="J862" s="210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</row>
    <row r="863" ht="15.75" customHeight="1">
      <c r="A863" s="210"/>
      <c r="B863" s="210"/>
      <c r="C863" s="210"/>
      <c r="D863" s="210"/>
      <c r="E863" s="210"/>
      <c r="F863" s="210"/>
      <c r="G863" s="210"/>
      <c r="H863" s="210"/>
      <c r="I863" s="210"/>
      <c r="J863" s="210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</row>
    <row r="864" ht="15.75" customHeight="1">
      <c r="A864" s="210"/>
      <c r="B864" s="210"/>
      <c r="C864" s="210"/>
      <c r="D864" s="210"/>
      <c r="E864" s="210"/>
      <c r="F864" s="210"/>
      <c r="G864" s="210"/>
      <c r="H864" s="210"/>
      <c r="I864" s="210"/>
      <c r="J864" s="210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</row>
    <row r="865" ht="15.75" customHeight="1">
      <c r="A865" s="210"/>
      <c r="B865" s="210"/>
      <c r="C865" s="210"/>
      <c r="D865" s="210"/>
      <c r="E865" s="210"/>
      <c r="F865" s="210"/>
      <c r="G865" s="210"/>
      <c r="H865" s="210"/>
      <c r="I865" s="210"/>
      <c r="J865" s="210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</row>
    <row r="866" ht="15.75" customHeight="1">
      <c r="A866" s="210"/>
      <c r="B866" s="210"/>
      <c r="C866" s="210"/>
      <c r="D866" s="210"/>
      <c r="E866" s="210"/>
      <c r="F866" s="210"/>
      <c r="G866" s="210"/>
      <c r="H866" s="210"/>
      <c r="I866" s="210"/>
      <c r="J866" s="210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</row>
    <row r="867" ht="15.75" customHeight="1">
      <c r="A867" s="210"/>
      <c r="B867" s="210"/>
      <c r="C867" s="210"/>
      <c r="D867" s="210"/>
      <c r="E867" s="210"/>
      <c r="F867" s="210"/>
      <c r="G867" s="210"/>
      <c r="H867" s="210"/>
      <c r="I867" s="210"/>
      <c r="J867" s="210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</row>
    <row r="868" ht="15.75" customHeight="1">
      <c r="A868" s="210"/>
      <c r="B868" s="210"/>
      <c r="C868" s="210"/>
      <c r="D868" s="210"/>
      <c r="E868" s="210"/>
      <c r="F868" s="210"/>
      <c r="G868" s="210"/>
      <c r="H868" s="210"/>
      <c r="I868" s="210"/>
      <c r="J868" s="210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</row>
    <row r="869" ht="15.75" customHeight="1">
      <c r="A869" s="210"/>
      <c r="B869" s="210"/>
      <c r="C869" s="210"/>
      <c r="D869" s="210"/>
      <c r="E869" s="210"/>
      <c r="F869" s="210"/>
      <c r="G869" s="210"/>
      <c r="H869" s="210"/>
      <c r="I869" s="210"/>
      <c r="J869" s="210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</row>
    <row r="870" ht="15.75" customHeight="1">
      <c r="A870" s="210"/>
      <c r="B870" s="210"/>
      <c r="C870" s="210"/>
      <c r="D870" s="210"/>
      <c r="E870" s="210"/>
      <c r="F870" s="210"/>
      <c r="G870" s="210"/>
      <c r="H870" s="210"/>
      <c r="I870" s="210"/>
      <c r="J870" s="210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</row>
    <row r="871" ht="15.75" customHeight="1">
      <c r="A871" s="210"/>
      <c r="B871" s="210"/>
      <c r="C871" s="210"/>
      <c r="D871" s="210"/>
      <c r="E871" s="210"/>
      <c r="F871" s="210"/>
      <c r="G871" s="210"/>
      <c r="H871" s="210"/>
      <c r="I871" s="210"/>
      <c r="J871" s="210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</row>
    <row r="872" ht="15.75" customHeight="1">
      <c r="A872" s="210"/>
      <c r="B872" s="210"/>
      <c r="C872" s="210"/>
      <c r="D872" s="210"/>
      <c r="E872" s="210"/>
      <c r="F872" s="210"/>
      <c r="G872" s="210"/>
      <c r="H872" s="210"/>
      <c r="I872" s="210"/>
      <c r="J872" s="210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</row>
    <row r="873" ht="15.75" customHeight="1">
      <c r="A873" s="210"/>
      <c r="B873" s="210"/>
      <c r="C873" s="210"/>
      <c r="D873" s="210"/>
      <c r="E873" s="210"/>
      <c r="F873" s="210"/>
      <c r="G873" s="210"/>
      <c r="H873" s="210"/>
      <c r="I873" s="210"/>
      <c r="J873" s="210"/>
      <c r="K873" s="210"/>
      <c r="L873" s="210"/>
      <c r="M873" s="210"/>
      <c r="N873" s="210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</row>
    <row r="874" ht="15.75" customHeight="1">
      <c r="A874" s="210"/>
      <c r="B874" s="210"/>
      <c r="C874" s="210"/>
      <c r="D874" s="210"/>
      <c r="E874" s="210"/>
      <c r="F874" s="210"/>
      <c r="G874" s="210"/>
      <c r="H874" s="210"/>
      <c r="I874" s="210"/>
      <c r="J874" s="210"/>
      <c r="K874" s="210"/>
      <c r="L874" s="210"/>
      <c r="M874" s="210"/>
      <c r="N874" s="210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</row>
    <row r="875" ht="15.75" customHeight="1">
      <c r="A875" s="210"/>
      <c r="B875" s="210"/>
      <c r="C875" s="210"/>
      <c r="D875" s="210"/>
      <c r="E875" s="210"/>
      <c r="F875" s="210"/>
      <c r="G875" s="210"/>
      <c r="H875" s="210"/>
      <c r="I875" s="210"/>
      <c r="J875" s="210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</row>
    <row r="876" ht="15.75" customHeight="1">
      <c r="A876" s="210"/>
      <c r="B876" s="210"/>
      <c r="C876" s="210"/>
      <c r="D876" s="210"/>
      <c r="E876" s="210"/>
      <c r="F876" s="210"/>
      <c r="G876" s="210"/>
      <c r="H876" s="210"/>
      <c r="I876" s="210"/>
      <c r="J876" s="210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</row>
    <row r="877" ht="15.75" customHeight="1">
      <c r="A877" s="210"/>
      <c r="B877" s="210"/>
      <c r="C877" s="210"/>
      <c r="D877" s="210"/>
      <c r="E877" s="210"/>
      <c r="F877" s="210"/>
      <c r="G877" s="210"/>
      <c r="H877" s="210"/>
      <c r="I877" s="210"/>
      <c r="J877" s="210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</row>
    <row r="878" ht="15.75" customHeight="1">
      <c r="A878" s="210"/>
      <c r="B878" s="210"/>
      <c r="C878" s="210"/>
      <c r="D878" s="210"/>
      <c r="E878" s="210"/>
      <c r="F878" s="210"/>
      <c r="G878" s="210"/>
      <c r="H878" s="210"/>
      <c r="I878" s="210"/>
      <c r="J878" s="210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</row>
    <row r="879" ht="15.75" customHeight="1">
      <c r="A879" s="210"/>
      <c r="B879" s="210"/>
      <c r="C879" s="210"/>
      <c r="D879" s="210"/>
      <c r="E879" s="210"/>
      <c r="F879" s="210"/>
      <c r="G879" s="210"/>
      <c r="H879" s="210"/>
      <c r="I879" s="210"/>
      <c r="J879" s="210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</row>
    <row r="880" ht="15.75" customHeight="1">
      <c r="A880" s="210"/>
      <c r="B880" s="210"/>
      <c r="C880" s="210"/>
      <c r="D880" s="210"/>
      <c r="E880" s="210"/>
      <c r="F880" s="210"/>
      <c r="G880" s="210"/>
      <c r="H880" s="210"/>
      <c r="I880" s="210"/>
      <c r="J880" s="210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</row>
    <row r="881" ht="15.75" customHeight="1">
      <c r="A881" s="210"/>
      <c r="B881" s="210"/>
      <c r="C881" s="210"/>
      <c r="D881" s="210"/>
      <c r="E881" s="210"/>
      <c r="F881" s="210"/>
      <c r="G881" s="210"/>
      <c r="H881" s="210"/>
      <c r="I881" s="210"/>
      <c r="J881" s="210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</row>
    <row r="882" ht="15.75" customHeight="1">
      <c r="A882" s="210"/>
      <c r="B882" s="210"/>
      <c r="C882" s="210"/>
      <c r="D882" s="210"/>
      <c r="E882" s="210"/>
      <c r="F882" s="210"/>
      <c r="G882" s="210"/>
      <c r="H882" s="210"/>
      <c r="I882" s="210"/>
      <c r="J882" s="210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</row>
    <row r="883" ht="15.75" customHeight="1">
      <c r="A883" s="210"/>
      <c r="B883" s="210"/>
      <c r="C883" s="210"/>
      <c r="D883" s="210"/>
      <c r="E883" s="210"/>
      <c r="F883" s="210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</row>
    <row r="884" ht="15.75" customHeight="1">
      <c r="A884" s="210"/>
      <c r="B884" s="210"/>
      <c r="C884" s="210"/>
      <c r="D884" s="210"/>
      <c r="E884" s="210"/>
      <c r="F884" s="210"/>
      <c r="G884" s="210"/>
      <c r="H884" s="210"/>
      <c r="I884" s="210"/>
      <c r="J884" s="210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</row>
    <row r="885" ht="15.75" customHeight="1">
      <c r="A885" s="210"/>
      <c r="B885" s="210"/>
      <c r="C885" s="210"/>
      <c r="D885" s="210"/>
      <c r="E885" s="210"/>
      <c r="F885" s="210"/>
      <c r="G885" s="210"/>
      <c r="H885" s="210"/>
      <c r="I885" s="210"/>
      <c r="J885" s="210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</row>
    <row r="886" ht="15.75" customHeight="1">
      <c r="A886" s="210"/>
      <c r="B886" s="210"/>
      <c r="C886" s="210"/>
      <c r="D886" s="210"/>
      <c r="E886" s="210"/>
      <c r="F886" s="210"/>
      <c r="G886" s="210"/>
      <c r="H886" s="210"/>
      <c r="I886" s="210"/>
      <c r="J886" s="210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</row>
    <row r="887" ht="15.75" customHeight="1">
      <c r="A887" s="210"/>
      <c r="B887" s="210"/>
      <c r="C887" s="210"/>
      <c r="D887" s="210"/>
      <c r="E887" s="210"/>
      <c r="F887" s="210"/>
      <c r="G887" s="210"/>
      <c r="H887" s="210"/>
      <c r="I887" s="210"/>
      <c r="J887" s="210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</row>
    <row r="888" ht="15.75" customHeight="1">
      <c r="A888" s="210"/>
      <c r="B888" s="210"/>
      <c r="C888" s="210"/>
      <c r="D888" s="210"/>
      <c r="E888" s="210"/>
      <c r="F888" s="210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</row>
    <row r="889" ht="15.75" customHeight="1">
      <c r="A889" s="210"/>
      <c r="B889" s="210"/>
      <c r="C889" s="210"/>
      <c r="D889" s="210"/>
      <c r="E889" s="210"/>
      <c r="F889" s="210"/>
      <c r="G889" s="210"/>
      <c r="H889" s="210"/>
      <c r="I889" s="210"/>
      <c r="J889" s="210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</row>
    <row r="890" ht="15.75" customHeight="1">
      <c r="A890" s="210"/>
      <c r="B890" s="210"/>
      <c r="C890" s="210"/>
      <c r="D890" s="210"/>
      <c r="E890" s="210"/>
      <c r="F890" s="210"/>
      <c r="G890" s="210"/>
      <c r="H890" s="210"/>
      <c r="I890" s="210"/>
      <c r="J890" s="210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</row>
    <row r="891" ht="15.75" customHeight="1">
      <c r="A891" s="210"/>
      <c r="B891" s="210"/>
      <c r="C891" s="210"/>
      <c r="D891" s="210"/>
      <c r="E891" s="210"/>
      <c r="F891" s="210"/>
      <c r="G891" s="210"/>
      <c r="H891" s="210"/>
      <c r="I891" s="210"/>
      <c r="J891" s="210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</row>
    <row r="892" ht="15.75" customHeight="1">
      <c r="A892" s="210"/>
      <c r="B892" s="210"/>
      <c r="C892" s="210"/>
      <c r="D892" s="210"/>
      <c r="E892" s="210"/>
      <c r="F892" s="210"/>
      <c r="G892" s="210"/>
      <c r="H892" s="210"/>
      <c r="I892" s="210"/>
      <c r="J892" s="210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</row>
    <row r="893" ht="15.75" customHeight="1">
      <c r="A893" s="210"/>
      <c r="B893" s="210"/>
      <c r="C893" s="210"/>
      <c r="D893" s="210"/>
      <c r="E893" s="210"/>
      <c r="F893" s="210"/>
      <c r="G893" s="210"/>
      <c r="H893" s="210"/>
      <c r="I893" s="210"/>
      <c r="J893" s="210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</row>
    <row r="894" ht="15.75" customHeight="1">
      <c r="A894" s="210"/>
      <c r="B894" s="210"/>
      <c r="C894" s="210"/>
      <c r="D894" s="210"/>
      <c r="E894" s="210"/>
      <c r="F894" s="210"/>
      <c r="G894" s="210"/>
      <c r="H894" s="210"/>
      <c r="I894" s="210"/>
      <c r="J894" s="210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</row>
    <row r="895" ht="15.75" customHeight="1">
      <c r="A895" s="210"/>
      <c r="B895" s="210"/>
      <c r="C895" s="210"/>
      <c r="D895" s="210"/>
      <c r="E895" s="210"/>
      <c r="F895" s="210"/>
      <c r="G895" s="210"/>
      <c r="H895" s="210"/>
      <c r="I895" s="210"/>
      <c r="J895" s="210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</row>
    <row r="896" ht="15.75" customHeight="1">
      <c r="A896" s="210"/>
      <c r="B896" s="210"/>
      <c r="C896" s="210"/>
      <c r="D896" s="210"/>
      <c r="E896" s="210"/>
      <c r="F896" s="210"/>
      <c r="G896" s="210"/>
      <c r="H896" s="210"/>
      <c r="I896" s="210"/>
      <c r="J896" s="210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</row>
    <row r="897" ht="15.75" customHeight="1">
      <c r="A897" s="210"/>
      <c r="B897" s="210"/>
      <c r="C897" s="210"/>
      <c r="D897" s="210"/>
      <c r="E897" s="210"/>
      <c r="F897" s="210"/>
      <c r="G897" s="210"/>
      <c r="H897" s="210"/>
      <c r="I897" s="210"/>
      <c r="J897" s="210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</row>
    <row r="898" ht="15.75" customHeight="1">
      <c r="A898" s="210"/>
      <c r="B898" s="210"/>
      <c r="C898" s="210"/>
      <c r="D898" s="210"/>
      <c r="E898" s="210"/>
      <c r="F898" s="210"/>
      <c r="G898" s="210"/>
      <c r="H898" s="210"/>
      <c r="I898" s="210"/>
      <c r="J898" s="210"/>
      <c r="K898" s="210"/>
      <c r="L898" s="210"/>
      <c r="M898" s="210"/>
      <c r="N898" s="210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</row>
    <row r="899" ht="15.75" customHeight="1">
      <c r="A899" s="210"/>
      <c r="B899" s="210"/>
      <c r="C899" s="210"/>
      <c r="D899" s="210"/>
      <c r="E899" s="210"/>
      <c r="F899" s="210"/>
      <c r="G899" s="210"/>
      <c r="H899" s="210"/>
      <c r="I899" s="210"/>
      <c r="J899" s="210"/>
      <c r="K899" s="210"/>
      <c r="L899" s="210"/>
      <c r="M899" s="210"/>
      <c r="N899" s="210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</row>
    <row r="900" ht="15.75" customHeight="1">
      <c r="A900" s="210"/>
      <c r="B900" s="210"/>
      <c r="C900" s="210"/>
      <c r="D900" s="210"/>
      <c r="E900" s="210"/>
      <c r="F900" s="210"/>
      <c r="G900" s="210"/>
      <c r="H900" s="210"/>
      <c r="I900" s="210"/>
      <c r="J900" s="210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</row>
    <row r="901" ht="15.75" customHeight="1">
      <c r="A901" s="210"/>
      <c r="B901" s="210"/>
      <c r="C901" s="210"/>
      <c r="D901" s="210"/>
      <c r="E901" s="210"/>
      <c r="F901" s="210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</row>
    <row r="902" ht="15.75" customHeight="1">
      <c r="A902" s="210"/>
      <c r="B902" s="210"/>
      <c r="C902" s="210"/>
      <c r="D902" s="210"/>
      <c r="E902" s="210"/>
      <c r="F902" s="210"/>
      <c r="G902" s="210"/>
      <c r="H902" s="210"/>
      <c r="I902" s="210"/>
      <c r="J902" s="210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</row>
    <row r="903" ht="15.75" customHeight="1">
      <c r="A903" s="210"/>
      <c r="B903" s="210"/>
      <c r="C903" s="210"/>
      <c r="D903" s="210"/>
      <c r="E903" s="210"/>
      <c r="F903" s="210"/>
      <c r="G903" s="210"/>
      <c r="H903" s="210"/>
      <c r="I903" s="210"/>
      <c r="J903" s="210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</row>
    <row r="904" ht="15.75" customHeight="1">
      <c r="A904" s="210"/>
      <c r="B904" s="210"/>
      <c r="C904" s="210"/>
      <c r="D904" s="210"/>
      <c r="E904" s="210"/>
      <c r="F904" s="210"/>
      <c r="G904" s="210"/>
      <c r="H904" s="210"/>
      <c r="I904" s="210"/>
      <c r="J904" s="210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</row>
    <row r="905" ht="15.75" customHeight="1">
      <c r="A905" s="210"/>
      <c r="B905" s="210"/>
      <c r="C905" s="210"/>
      <c r="D905" s="210"/>
      <c r="E905" s="210"/>
      <c r="F905" s="210"/>
      <c r="G905" s="210"/>
      <c r="H905" s="210"/>
      <c r="I905" s="210"/>
      <c r="J905" s="210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</row>
    <row r="906" ht="15.75" customHeight="1">
      <c r="A906" s="210"/>
      <c r="B906" s="210"/>
      <c r="C906" s="210"/>
      <c r="D906" s="210"/>
      <c r="E906" s="210"/>
      <c r="F906" s="210"/>
      <c r="G906" s="210"/>
      <c r="H906" s="210"/>
      <c r="I906" s="210"/>
      <c r="J906" s="210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</row>
    <row r="907" ht="15.75" customHeight="1">
      <c r="A907" s="210"/>
      <c r="B907" s="210"/>
      <c r="C907" s="210"/>
      <c r="D907" s="210"/>
      <c r="E907" s="210"/>
      <c r="F907" s="210"/>
      <c r="G907" s="210"/>
      <c r="H907" s="210"/>
      <c r="I907" s="210"/>
      <c r="J907" s="210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</row>
    <row r="908" ht="15.75" customHeight="1">
      <c r="A908" s="210"/>
      <c r="B908" s="210"/>
      <c r="C908" s="210"/>
      <c r="D908" s="210"/>
      <c r="E908" s="210"/>
      <c r="F908" s="210"/>
      <c r="G908" s="210"/>
      <c r="H908" s="210"/>
      <c r="I908" s="210"/>
      <c r="J908" s="210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</row>
    <row r="909" ht="15.75" customHeight="1">
      <c r="A909" s="210"/>
      <c r="B909" s="210"/>
      <c r="C909" s="210"/>
      <c r="D909" s="210"/>
      <c r="E909" s="210"/>
      <c r="F909" s="210"/>
      <c r="G909" s="210"/>
      <c r="H909" s="210"/>
      <c r="I909" s="210"/>
      <c r="J909" s="210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</row>
    <row r="910" ht="15.75" customHeight="1">
      <c r="A910" s="210"/>
      <c r="B910" s="210"/>
      <c r="C910" s="210"/>
      <c r="D910" s="210"/>
      <c r="E910" s="210"/>
      <c r="F910" s="210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</row>
    <row r="911" ht="15.75" customHeight="1">
      <c r="A911" s="210"/>
      <c r="B911" s="210"/>
      <c r="C911" s="210"/>
      <c r="D911" s="210"/>
      <c r="E911" s="210"/>
      <c r="F911" s="210"/>
      <c r="G911" s="210"/>
      <c r="H911" s="210"/>
      <c r="I911" s="210"/>
      <c r="J911" s="210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</row>
    <row r="912" ht="15.75" customHeight="1">
      <c r="A912" s="210"/>
      <c r="B912" s="210"/>
      <c r="C912" s="210"/>
      <c r="D912" s="210"/>
      <c r="E912" s="210"/>
      <c r="F912" s="210"/>
      <c r="G912" s="210"/>
      <c r="H912" s="210"/>
      <c r="I912" s="210"/>
      <c r="J912" s="210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</row>
    <row r="913" ht="15.75" customHeight="1">
      <c r="A913" s="210"/>
      <c r="B913" s="210"/>
      <c r="C913" s="210"/>
      <c r="D913" s="210"/>
      <c r="E913" s="210"/>
      <c r="F913" s="210"/>
      <c r="G913" s="210"/>
      <c r="H913" s="210"/>
      <c r="I913" s="210"/>
      <c r="J913" s="210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</row>
    <row r="914" ht="15.75" customHeight="1">
      <c r="A914" s="210"/>
      <c r="B914" s="210"/>
      <c r="C914" s="210"/>
      <c r="D914" s="210"/>
      <c r="E914" s="210"/>
      <c r="F914" s="210"/>
      <c r="G914" s="210"/>
      <c r="H914" s="210"/>
      <c r="I914" s="210"/>
      <c r="J914" s="210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</row>
    <row r="915" ht="15.75" customHeight="1">
      <c r="A915" s="210"/>
      <c r="B915" s="210"/>
      <c r="C915" s="210"/>
      <c r="D915" s="210"/>
      <c r="E915" s="210"/>
      <c r="F915" s="210"/>
      <c r="G915" s="210"/>
      <c r="H915" s="210"/>
      <c r="I915" s="210"/>
      <c r="J915" s="210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</row>
    <row r="916" ht="15.75" customHeight="1">
      <c r="A916" s="210"/>
      <c r="B916" s="210"/>
      <c r="C916" s="210"/>
      <c r="D916" s="210"/>
      <c r="E916" s="210"/>
      <c r="F916" s="210"/>
      <c r="G916" s="210"/>
      <c r="H916" s="210"/>
      <c r="I916" s="210"/>
      <c r="J916" s="210"/>
      <c r="K916" s="210"/>
      <c r="L916" s="210"/>
      <c r="M916" s="210"/>
      <c r="N916" s="210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</row>
    <row r="917" ht="15.75" customHeight="1">
      <c r="A917" s="210"/>
      <c r="B917" s="210"/>
      <c r="C917" s="210"/>
      <c r="D917" s="210"/>
      <c r="E917" s="210"/>
      <c r="F917" s="210"/>
      <c r="G917" s="210"/>
      <c r="H917" s="210"/>
      <c r="I917" s="210"/>
      <c r="J917" s="210"/>
      <c r="K917" s="210"/>
      <c r="L917" s="210"/>
      <c r="M917" s="210"/>
      <c r="N917" s="210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  <c r="Z917" s="210"/>
    </row>
    <row r="918" ht="15.75" customHeight="1">
      <c r="A918" s="210"/>
      <c r="B918" s="210"/>
      <c r="C918" s="210"/>
      <c r="D918" s="210"/>
      <c r="E918" s="210"/>
      <c r="F918" s="210"/>
      <c r="G918" s="210"/>
      <c r="H918" s="210"/>
      <c r="I918" s="210"/>
      <c r="J918" s="210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</row>
    <row r="919" ht="15.75" customHeight="1">
      <c r="A919" s="210"/>
      <c r="B919" s="210"/>
      <c r="C919" s="210"/>
      <c r="D919" s="210"/>
      <c r="E919" s="210"/>
      <c r="F919" s="210"/>
      <c r="G919" s="210"/>
      <c r="H919" s="210"/>
      <c r="I919" s="210"/>
      <c r="J919" s="210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</row>
    <row r="920" ht="15.75" customHeight="1">
      <c r="A920" s="210"/>
      <c r="B920" s="210"/>
      <c r="C920" s="210"/>
      <c r="D920" s="210"/>
      <c r="E920" s="210"/>
      <c r="F920" s="210"/>
      <c r="G920" s="210"/>
      <c r="H920" s="210"/>
      <c r="I920" s="210"/>
      <c r="J920" s="210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</row>
    <row r="921" ht="15.75" customHeight="1">
      <c r="A921" s="210"/>
      <c r="B921" s="210"/>
      <c r="C921" s="210"/>
      <c r="D921" s="210"/>
      <c r="E921" s="210"/>
      <c r="F921" s="210"/>
      <c r="G921" s="210"/>
      <c r="H921" s="210"/>
      <c r="I921" s="210"/>
      <c r="J921" s="210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</row>
    <row r="922" ht="15.75" customHeight="1">
      <c r="A922" s="210"/>
      <c r="B922" s="210"/>
      <c r="C922" s="210"/>
      <c r="D922" s="210"/>
      <c r="E922" s="210"/>
      <c r="F922" s="210"/>
      <c r="G922" s="210"/>
      <c r="H922" s="210"/>
      <c r="I922" s="210"/>
      <c r="J922" s="210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</row>
    <row r="923" ht="15.75" customHeight="1">
      <c r="A923" s="210"/>
      <c r="B923" s="210"/>
      <c r="C923" s="210"/>
      <c r="D923" s="210"/>
      <c r="E923" s="210"/>
      <c r="F923" s="210"/>
      <c r="G923" s="210"/>
      <c r="H923" s="210"/>
      <c r="I923" s="210"/>
      <c r="J923" s="210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</row>
    <row r="924" ht="15.75" customHeight="1">
      <c r="A924" s="210"/>
      <c r="B924" s="210"/>
      <c r="C924" s="210"/>
      <c r="D924" s="210"/>
      <c r="E924" s="210"/>
      <c r="F924" s="210"/>
      <c r="G924" s="210"/>
      <c r="H924" s="210"/>
      <c r="I924" s="210"/>
      <c r="J924" s="210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</row>
    <row r="925" ht="15.75" customHeight="1">
      <c r="A925" s="210"/>
      <c r="B925" s="210"/>
      <c r="C925" s="210"/>
      <c r="D925" s="210"/>
      <c r="E925" s="210"/>
      <c r="F925" s="210"/>
      <c r="G925" s="210"/>
      <c r="H925" s="210"/>
      <c r="I925" s="210"/>
      <c r="J925" s="210"/>
      <c r="K925" s="210"/>
      <c r="L925" s="210"/>
      <c r="M925" s="210"/>
      <c r="N925" s="210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</row>
    <row r="926" ht="15.75" customHeight="1">
      <c r="A926" s="210"/>
      <c r="B926" s="210"/>
      <c r="C926" s="210"/>
      <c r="D926" s="210"/>
      <c r="E926" s="210"/>
      <c r="F926" s="210"/>
      <c r="G926" s="210"/>
      <c r="H926" s="210"/>
      <c r="I926" s="210"/>
      <c r="J926" s="210"/>
      <c r="K926" s="210"/>
      <c r="L926" s="210"/>
      <c r="M926" s="210"/>
      <c r="N926" s="210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</row>
    <row r="927" ht="15.75" customHeight="1">
      <c r="A927" s="210"/>
      <c r="B927" s="210"/>
      <c r="C927" s="210"/>
      <c r="D927" s="210"/>
      <c r="E927" s="210"/>
      <c r="F927" s="210"/>
      <c r="G927" s="210"/>
      <c r="H927" s="210"/>
      <c r="I927" s="210"/>
      <c r="J927" s="210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</row>
    <row r="928" ht="15.75" customHeight="1">
      <c r="A928" s="210"/>
      <c r="B928" s="210"/>
      <c r="C928" s="210"/>
      <c r="D928" s="210"/>
      <c r="E928" s="210"/>
      <c r="F928" s="210"/>
      <c r="G928" s="210"/>
      <c r="H928" s="210"/>
      <c r="I928" s="210"/>
      <c r="J928" s="210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</row>
    <row r="929" ht="15.75" customHeight="1">
      <c r="A929" s="210"/>
      <c r="B929" s="210"/>
      <c r="C929" s="210"/>
      <c r="D929" s="210"/>
      <c r="E929" s="210"/>
      <c r="F929" s="210"/>
      <c r="G929" s="210"/>
      <c r="H929" s="210"/>
      <c r="I929" s="210"/>
      <c r="J929" s="210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</row>
    <row r="930" ht="15.75" customHeight="1">
      <c r="A930" s="210"/>
      <c r="B930" s="210"/>
      <c r="C930" s="210"/>
      <c r="D930" s="210"/>
      <c r="E930" s="210"/>
      <c r="F930" s="210"/>
      <c r="G930" s="210"/>
      <c r="H930" s="210"/>
      <c r="I930" s="210"/>
      <c r="J930" s="210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</row>
    <row r="931" ht="15.75" customHeight="1">
      <c r="A931" s="210"/>
      <c r="B931" s="210"/>
      <c r="C931" s="210"/>
      <c r="D931" s="210"/>
      <c r="E931" s="210"/>
      <c r="F931" s="210"/>
      <c r="G931" s="210"/>
      <c r="H931" s="210"/>
      <c r="I931" s="210"/>
      <c r="J931" s="210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</row>
    <row r="932" ht="15.75" customHeight="1">
      <c r="A932" s="210"/>
      <c r="B932" s="210"/>
      <c r="C932" s="210"/>
      <c r="D932" s="210"/>
      <c r="E932" s="210"/>
      <c r="F932" s="210"/>
      <c r="G932" s="210"/>
      <c r="H932" s="210"/>
      <c r="I932" s="210"/>
      <c r="J932" s="210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</row>
    <row r="933" ht="15.75" customHeight="1">
      <c r="A933" s="210"/>
      <c r="B933" s="210"/>
      <c r="C933" s="210"/>
      <c r="D933" s="210"/>
      <c r="E933" s="210"/>
      <c r="F933" s="210"/>
      <c r="G933" s="210"/>
      <c r="H933" s="210"/>
      <c r="I933" s="210"/>
      <c r="J933" s="210"/>
      <c r="K933" s="210"/>
      <c r="L933" s="210"/>
      <c r="M933" s="210"/>
      <c r="N933" s="210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</row>
    <row r="934" ht="15.75" customHeight="1">
      <c r="A934" s="210"/>
      <c r="B934" s="210"/>
      <c r="C934" s="210"/>
      <c r="D934" s="210"/>
      <c r="E934" s="210"/>
      <c r="F934" s="210"/>
      <c r="G934" s="210"/>
      <c r="H934" s="210"/>
      <c r="I934" s="210"/>
      <c r="J934" s="210"/>
      <c r="K934" s="210"/>
      <c r="L934" s="210"/>
      <c r="M934" s="210"/>
      <c r="N934" s="210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</row>
    <row r="935" ht="15.75" customHeight="1">
      <c r="A935" s="210"/>
      <c r="B935" s="210"/>
      <c r="C935" s="210"/>
      <c r="D935" s="210"/>
      <c r="E935" s="210"/>
      <c r="F935" s="210"/>
      <c r="G935" s="210"/>
      <c r="H935" s="210"/>
      <c r="I935" s="210"/>
      <c r="J935" s="210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</row>
    <row r="936" ht="15.75" customHeight="1">
      <c r="A936" s="210"/>
      <c r="B936" s="210"/>
      <c r="C936" s="210"/>
      <c r="D936" s="210"/>
      <c r="E936" s="210"/>
      <c r="F936" s="210"/>
      <c r="G936" s="210"/>
      <c r="H936" s="210"/>
      <c r="I936" s="210"/>
      <c r="J936" s="210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</row>
    <row r="937" ht="15.75" customHeight="1">
      <c r="A937" s="210"/>
      <c r="B937" s="210"/>
      <c r="C937" s="210"/>
      <c r="D937" s="210"/>
      <c r="E937" s="210"/>
      <c r="F937" s="210"/>
      <c r="G937" s="210"/>
      <c r="H937" s="210"/>
      <c r="I937" s="210"/>
      <c r="J937" s="210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</row>
    <row r="938" ht="15.75" customHeight="1">
      <c r="A938" s="210"/>
      <c r="B938" s="210"/>
      <c r="C938" s="210"/>
      <c r="D938" s="210"/>
      <c r="E938" s="210"/>
      <c r="F938" s="210"/>
      <c r="G938" s="210"/>
      <c r="H938" s="210"/>
      <c r="I938" s="210"/>
      <c r="J938" s="210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</row>
    <row r="939" ht="15.75" customHeight="1">
      <c r="A939" s="210"/>
      <c r="B939" s="210"/>
      <c r="C939" s="210"/>
      <c r="D939" s="210"/>
      <c r="E939" s="210"/>
      <c r="F939" s="210"/>
      <c r="G939" s="210"/>
      <c r="H939" s="210"/>
      <c r="I939" s="210"/>
      <c r="J939" s="210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</row>
    <row r="940" ht="15.75" customHeight="1">
      <c r="A940" s="210"/>
      <c r="B940" s="210"/>
      <c r="C940" s="210"/>
      <c r="D940" s="210"/>
      <c r="E940" s="210"/>
      <c r="F940" s="210"/>
      <c r="G940" s="210"/>
      <c r="H940" s="210"/>
      <c r="I940" s="210"/>
      <c r="J940" s="210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</row>
    <row r="941" ht="15.75" customHeight="1">
      <c r="A941" s="210"/>
      <c r="B941" s="210"/>
      <c r="C941" s="210"/>
      <c r="D941" s="210"/>
      <c r="E941" s="210"/>
      <c r="F941" s="210"/>
      <c r="G941" s="210"/>
      <c r="H941" s="210"/>
      <c r="I941" s="210"/>
      <c r="J941" s="210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</row>
    <row r="942" ht="15.75" customHeight="1">
      <c r="A942" s="210"/>
      <c r="B942" s="210"/>
      <c r="C942" s="210"/>
      <c r="D942" s="210"/>
      <c r="E942" s="210"/>
      <c r="F942" s="210"/>
      <c r="G942" s="210"/>
      <c r="H942" s="210"/>
      <c r="I942" s="210"/>
      <c r="J942" s="210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</row>
    <row r="943" ht="15.75" customHeight="1">
      <c r="A943" s="210"/>
      <c r="B943" s="210"/>
      <c r="C943" s="210"/>
      <c r="D943" s="210"/>
      <c r="E943" s="210"/>
      <c r="F943" s="210"/>
      <c r="G943" s="210"/>
      <c r="H943" s="210"/>
      <c r="I943" s="210"/>
      <c r="J943" s="210"/>
      <c r="K943" s="210"/>
      <c r="L943" s="210"/>
      <c r="M943" s="210"/>
      <c r="N943" s="210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</row>
    <row r="944" ht="15.75" customHeight="1">
      <c r="A944" s="210"/>
      <c r="B944" s="210"/>
      <c r="C944" s="210"/>
      <c r="D944" s="210"/>
      <c r="E944" s="210"/>
      <c r="F944" s="210"/>
      <c r="G944" s="210"/>
      <c r="H944" s="210"/>
      <c r="I944" s="210"/>
      <c r="J944" s="210"/>
      <c r="K944" s="210"/>
      <c r="L944" s="210"/>
      <c r="M944" s="210"/>
      <c r="N944" s="210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</row>
    <row r="945" ht="15.75" customHeight="1">
      <c r="A945" s="210"/>
      <c r="B945" s="210"/>
      <c r="C945" s="210"/>
      <c r="D945" s="210"/>
      <c r="E945" s="210"/>
      <c r="F945" s="210"/>
      <c r="G945" s="210"/>
      <c r="H945" s="210"/>
      <c r="I945" s="210"/>
      <c r="J945" s="210"/>
      <c r="K945" s="210"/>
      <c r="L945" s="210"/>
      <c r="M945" s="210"/>
      <c r="N945" s="210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</row>
    <row r="946" ht="15.75" customHeight="1">
      <c r="A946" s="210"/>
      <c r="B946" s="210"/>
      <c r="C946" s="210"/>
      <c r="D946" s="210"/>
      <c r="E946" s="210"/>
      <c r="F946" s="210"/>
      <c r="G946" s="210"/>
      <c r="H946" s="210"/>
      <c r="I946" s="210"/>
      <c r="J946" s="210"/>
      <c r="K946" s="210"/>
      <c r="L946" s="210"/>
      <c r="M946" s="210"/>
      <c r="N946" s="210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</row>
    <row r="947" ht="15.75" customHeight="1">
      <c r="A947" s="210"/>
      <c r="B947" s="210"/>
      <c r="C947" s="210"/>
      <c r="D947" s="210"/>
      <c r="E947" s="210"/>
      <c r="F947" s="210"/>
      <c r="G947" s="210"/>
      <c r="H947" s="210"/>
      <c r="I947" s="210"/>
      <c r="J947" s="210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</row>
    <row r="948" ht="15.75" customHeight="1">
      <c r="A948" s="210"/>
      <c r="B948" s="210"/>
      <c r="C948" s="210"/>
      <c r="D948" s="210"/>
      <c r="E948" s="210"/>
      <c r="F948" s="210"/>
      <c r="G948" s="210"/>
      <c r="H948" s="210"/>
      <c r="I948" s="210"/>
      <c r="J948" s="210"/>
      <c r="K948" s="210"/>
      <c r="L948" s="210"/>
      <c r="M948" s="210"/>
      <c r="N948" s="210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</row>
    <row r="949" ht="15.75" customHeight="1">
      <c r="A949" s="210"/>
      <c r="B949" s="210"/>
      <c r="C949" s="210"/>
      <c r="D949" s="210"/>
      <c r="E949" s="210"/>
      <c r="F949" s="210"/>
      <c r="G949" s="210"/>
      <c r="H949" s="210"/>
      <c r="I949" s="210"/>
      <c r="J949" s="210"/>
      <c r="K949" s="210"/>
      <c r="L949" s="210"/>
      <c r="M949" s="210"/>
      <c r="N949" s="210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</row>
    <row r="950" ht="15.75" customHeight="1">
      <c r="A950" s="210"/>
      <c r="B950" s="210"/>
      <c r="C950" s="210"/>
      <c r="D950" s="210"/>
      <c r="E950" s="210"/>
      <c r="F950" s="210"/>
      <c r="G950" s="210"/>
      <c r="H950" s="210"/>
      <c r="I950" s="210"/>
      <c r="J950" s="210"/>
      <c r="K950" s="210"/>
      <c r="L950" s="210"/>
      <c r="M950" s="210"/>
      <c r="N950" s="210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</row>
    <row r="951" ht="15.75" customHeight="1">
      <c r="A951" s="210"/>
      <c r="B951" s="210"/>
      <c r="C951" s="210"/>
      <c r="D951" s="210"/>
      <c r="E951" s="210"/>
      <c r="F951" s="210"/>
      <c r="G951" s="210"/>
      <c r="H951" s="210"/>
      <c r="I951" s="210"/>
      <c r="J951" s="210"/>
      <c r="K951" s="210"/>
      <c r="L951" s="210"/>
      <c r="M951" s="210"/>
      <c r="N951" s="210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</row>
    <row r="952" ht="15.75" customHeight="1">
      <c r="A952" s="210"/>
      <c r="B952" s="210"/>
      <c r="C952" s="210"/>
      <c r="D952" s="210"/>
      <c r="E952" s="210"/>
      <c r="F952" s="210"/>
      <c r="G952" s="210"/>
      <c r="H952" s="210"/>
      <c r="I952" s="210"/>
      <c r="J952" s="210"/>
      <c r="K952" s="210"/>
      <c r="L952" s="210"/>
      <c r="M952" s="210"/>
      <c r="N952" s="210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</row>
    <row r="953" ht="15.75" customHeight="1">
      <c r="A953" s="210"/>
      <c r="B953" s="210"/>
      <c r="C953" s="210"/>
      <c r="D953" s="210"/>
      <c r="E953" s="210"/>
      <c r="F953" s="210"/>
      <c r="G953" s="210"/>
      <c r="H953" s="210"/>
      <c r="I953" s="210"/>
      <c r="J953" s="210"/>
      <c r="K953" s="210"/>
      <c r="L953" s="210"/>
      <c r="M953" s="210"/>
      <c r="N953" s="210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</row>
    <row r="954" ht="15.75" customHeight="1">
      <c r="A954" s="210"/>
      <c r="B954" s="210"/>
      <c r="C954" s="210"/>
      <c r="D954" s="210"/>
      <c r="E954" s="210"/>
      <c r="F954" s="210"/>
      <c r="G954" s="210"/>
      <c r="H954" s="210"/>
      <c r="I954" s="210"/>
      <c r="J954" s="210"/>
      <c r="K954" s="210"/>
      <c r="L954" s="210"/>
      <c r="M954" s="210"/>
      <c r="N954" s="210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</row>
    <row r="955" ht="15.75" customHeight="1">
      <c r="A955" s="210"/>
      <c r="B955" s="210"/>
      <c r="C955" s="210"/>
      <c r="D955" s="210"/>
      <c r="E955" s="210"/>
      <c r="F955" s="210"/>
      <c r="G955" s="210"/>
      <c r="H955" s="210"/>
      <c r="I955" s="210"/>
      <c r="J955" s="210"/>
      <c r="K955" s="210"/>
      <c r="L955" s="210"/>
      <c r="M955" s="210"/>
      <c r="N955" s="210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</row>
    <row r="956" ht="15.75" customHeight="1">
      <c r="A956" s="210"/>
      <c r="B956" s="210"/>
      <c r="C956" s="210"/>
      <c r="D956" s="210"/>
      <c r="E956" s="210"/>
      <c r="F956" s="210"/>
      <c r="G956" s="210"/>
      <c r="H956" s="210"/>
      <c r="I956" s="210"/>
      <c r="J956" s="210"/>
      <c r="K956" s="210"/>
      <c r="L956" s="210"/>
      <c r="M956" s="210"/>
      <c r="N956" s="210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</row>
    <row r="957" ht="15.75" customHeight="1">
      <c r="A957" s="210"/>
      <c r="B957" s="210"/>
      <c r="C957" s="210"/>
      <c r="D957" s="210"/>
      <c r="E957" s="210"/>
      <c r="F957" s="210"/>
      <c r="G957" s="210"/>
      <c r="H957" s="210"/>
      <c r="I957" s="210"/>
      <c r="J957" s="210"/>
      <c r="K957" s="210"/>
      <c r="L957" s="210"/>
      <c r="M957" s="210"/>
      <c r="N957" s="210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</row>
    <row r="958" ht="15.75" customHeight="1">
      <c r="A958" s="210"/>
      <c r="B958" s="210"/>
      <c r="C958" s="210"/>
      <c r="D958" s="210"/>
      <c r="E958" s="210"/>
      <c r="F958" s="210"/>
      <c r="G958" s="210"/>
      <c r="H958" s="210"/>
      <c r="I958" s="210"/>
      <c r="J958" s="210"/>
      <c r="K958" s="210"/>
      <c r="L958" s="210"/>
      <c r="M958" s="210"/>
      <c r="N958" s="210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</row>
    <row r="959" ht="15.75" customHeight="1">
      <c r="A959" s="210"/>
      <c r="B959" s="210"/>
      <c r="C959" s="210"/>
      <c r="D959" s="210"/>
      <c r="E959" s="210"/>
      <c r="F959" s="210"/>
      <c r="G959" s="210"/>
      <c r="H959" s="210"/>
      <c r="I959" s="210"/>
      <c r="J959" s="210"/>
      <c r="K959" s="210"/>
      <c r="L959" s="210"/>
      <c r="M959" s="210"/>
      <c r="N959" s="210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</row>
    <row r="960" ht="15.75" customHeight="1">
      <c r="A960" s="210"/>
      <c r="B960" s="210"/>
      <c r="C960" s="210"/>
      <c r="D960" s="210"/>
      <c r="E960" s="210"/>
      <c r="F960" s="210"/>
      <c r="G960" s="210"/>
      <c r="H960" s="210"/>
      <c r="I960" s="210"/>
      <c r="J960" s="210"/>
      <c r="K960" s="210"/>
      <c r="L960" s="210"/>
      <c r="M960" s="210"/>
      <c r="N960" s="210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</row>
    <row r="961" ht="15.75" customHeight="1">
      <c r="A961" s="210"/>
      <c r="B961" s="210"/>
      <c r="C961" s="210"/>
      <c r="D961" s="210"/>
      <c r="E961" s="210"/>
      <c r="F961" s="210"/>
      <c r="G961" s="210"/>
      <c r="H961" s="210"/>
      <c r="I961" s="210"/>
      <c r="J961" s="210"/>
      <c r="K961" s="210"/>
      <c r="L961" s="210"/>
      <c r="M961" s="210"/>
      <c r="N961" s="210"/>
      <c r="O961" s="210"/>
      <c r="P961" s="210"/>
      <c r="Q961" s="210"/>
      <c r="R961" s="210"/>
      <c r="S961" s="210"/>
      <c r="T961" s="210"/>
      <c r="U961" s="210"/>
      <c r="V961" s="210"/>
      <c r="W961" s="210"/>
      <c r="X961" s="210"/>
      <c r="Y961" s="210"/>
      <c r="Z961" s="210"/>
    </row>
    <row r="962" ht="15.75" customHeight="1">
      <c r="A962" s="210"/>
      <c r="B962" s="210"/>
      <c r="C962" s="210"/>
      <c r="D962" s="210"/>
      <c r="E962" s="210"/>
      <c r="F962" s="210"/>
      <c r="G962" s="210"/>
      <c r="H962" s="210"/>
      <c r="I962" s="210"/>
      <c r="J962" s="210"/>
      <c r="K962" s="210"/>
      <c r="L962" s="210"/>
      <c r="M962" s="210"/>
      <c r="N962" s="210"/>
      <c r="O962" s="210"/>
      <c r="P962" s="210"/>
      <c r="Q962" s="210"/>
      <c r="R962" s="210"/>
      <c r="S962" s="210"/>
      <c r="T962" s="210"/>
      <c r="U962" s="210"/>
      <c r="V962" s="210"/>
      <c r="W962" s="210"/>
      <c r="X962" s="210"/>
      <c r="Y962" s="210"/>
      <c r="Z962" s="210"/>
    </row>
    <row r="963" ht="15.75" customHeight="1">
      <c r="A963" s="210"/>
      <c r="B963" s="210"/>
      <c r="C963" s="210"/>
      <c r="D963" s="210"/>
      <c r="E963" s="210"/>
      <c r="F963" s="210"/>
      <c r="G963" s="210"/>
      <c r="H963" s="210"/>
      <c r="I963" s="210"/>
      <c r="J963" s="210"/>
      <c r="K963" s="210"/>
      <c r="L963" s="210"/>
      <c r="M963" s="210"/>
      <c r="N963" s="210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</row>
    <row r="964" ht="15.75" customHeight="1">
      <c r="A964" s="210"/>
      <c r="B964" s="210"/>
      <c r="C964" s="210"/>
      <c r="D964" s="210"/>
      <c r="E964" s="210"/>
      <c r="F964" s="210"/>
      <c r="G964" s="210"/>
      <c r="H964" s="210"/>
      <c r="I964" s="210"/>
      <c r="J964" s="210"/>
      <c r="K964" s="210"/>
      <c r="L964" s="210"/>
      <c r="M964" s="210"/>
      <c r="N964" s="210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</row>
    <row r="965" ht="15.75" customHeight="1">
      <c r="A965" s="210"/>
      <c r="B965" s="210"/>
      <c r="C965" s="210"/>
      <c r="D965" s="210"/>
      <c r="E965" s="210"/>
      <c r="F965" s="210"/>
      <c r="G965" s="210"/>
      <c r="H965" s="210"/>
      <c r="I965" s="210"/>
      <c r="J965" s="210"/>
      <c r="K965" s="210"/>
      <c r="L965" s="210"/>
      <c r="M965" s="210"/>
      <c r="N965" s="210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</row>
    <row r="966" ht="15.75" customHeight="1">
      <c r="A966" s="210"/>
      <c r="B966" s="210"/>
      <c r="C966" s="210"/>
      <c r="D966" s="210"/>
      <c r="E966" s="210"/>
      <c r="F966" s="210"/>
      <c r="G966" s="210"/>
      <c r="H966" s="210"/>
      <c r="I966" s="210"/>
      <c r="J966" s="210"/>
      <c r="K966" s="210"/>
      <c r="L966" s="210"/>
      <c r="M966" s="210"/>
      <c r="N966" s="210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</row>
    <row r="967" ht="15.75" customHeight="1">
      <c r="A967" s="210"/>
      <c r="B967" s="210"/>
      <c r="C967" s="210"/>
      <c r="D967" s="210"/>
      <c r="E967" s="210"/>
      <c r="F967" s="210"/>
      <c r="G967" s="210"/>
      <c r="H967" s="210"/>
      <c r="I967" s="210"/>
      <c r="J967" s="210"/>
      <c r="K967" s="210"/>
      <c r="L967" s="210"/>
      <c r="M967" s="210"/>
      <c r="N967" s="210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</row>
    <row r="968" ht="15.75" customHeight="1">
      <c r="A968" s="210"/>
      <c r="B968" s="210"/>
      <c r="C968" s="210"/>
      <c r="D968" s="210"/>
      <c r="E968" s="210"/>
      <c r="F968" s="210"/>
      <c r="G968" s="210"/>
      <c r="H968" s="210"/>
      <c r="I968" s="210"/>
      <c r="J968" s="210"/>
      <c r="K968" s="210"/>
      <c r="L968" s="210"/>
      <c r="M968" s="210"/>
      <c r="N968" s="210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</row>
    <row r="969" ht="15.75" customHeight="1">
      <c r="A969" s="210"/>
      <c r="B969" s="210"/>
      <c r="C969" s="210"/>
      <c r="D969" s="210"/>
      <c r="E969" s="210"/>
      <c r="F969" s="210"/>
      <c r="G969" s="210"/>
      <c r="H969" s="210"/>
      <c r="I969" s="210"/>
      <c r="J969" s="210"/>
      <c r="K969" s="210"/>
      <c r="L969" s="210"/>
      <c r="M969" s="210"/>
      <c r="N969" s="210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</row>
    <row r="970" ht="15.75" customHeight="1">
      <c r="A970" s="210"/>
      <c r="B970" s="210"/>
      <c r="C970" s="210"/>
      <c r="D970" s="210"/>
      <c r="E970" s="210"/>
      <c r="F970" s="210"/>
      <c r="G970" s="210"/>
      <c r="H970" s="210"/>
      <c r="I970" s="210"/>
      <c r="J970" s="210"/>
      <c r="K970" s="210"/>
      <c r="L970" s="210"/>
      <c r="M970" s="210"/>
      <c r="N970" s="210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</row>
    <row r="971" ht="15.75" customHeight="1">
      <c r="A971" s="210"/>
      <c r="B971" s="210"/>
      <c r="C971" s="210"/>
      <c r="D971" s="210"/>
      <c r="E971" s="210"/>
      <c r="F971" s="210"/>
      <c r="G971" s="210"/>
      <c r="H971" s="210"/>
      <c r="I971" s="210"/>
      <c r="J971" s="210"/>
      <c r="K971" s="210"/>
      <c r="L971" s="210"/>
      <c r="M971" s="210"/>
      <c r="N971" s="210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</row>
    <row r="972" ht="15.75" customHeight="1">
      <c r="A972" s="210"/>
      <c r="B972" s="210"/>
      <c r="C972" s="210"/>
      <c r="D972" s="210"/>
      <c r="E972" s="210"/>
      <c r="F972" s="210"/>
      <c r="G972" s="210"/>
      <c r="H972" s="210"/>
      <c r="I972" s="210"/>
      <c r="J972" s="210"/>
      <c r="K972" s="210"/>
      <c r="L972" s="210"/>
      <c r="M972" s="210"/>
      <c r="N972" s="210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</row>
    <row r="973" ht="15.75" customHeight="1">
      <c r="A973" s="210"/>
      <c r="B973" s="210"/>
      <c r="C973" s="210"/>
      <c r="D973" s="210"/>
      <c r="E973" s="210"/>
      <c r="F973" s="210"/>
      <c r="G973" s="210"/>
      <c r="H973" s="210"/>
      <c r="I973" s="210"/>
      <c r="J973" s="210"/>
      <c r="K973" s="210"/>
      <c r="L973" s="210"/>
      <c r="M973" s="210"/>
      <c r="N973" s="210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</row>
    <row r="974" ht="15.75" customHeight="1">
      <c r="A974" s="210"/>
      <c r="B974" s="210"/>
      <c r="C974" s="210"/>
      <c r="D974" s="210"/>
      <c r="E974" s="210"/>
      <c r="F974" s="210"/>
      <c r="G974" s="210"/>
      <c r="H974" s="210"/>
      <c r="I974" s="210"/>
      <c r="J974" s="210"/>
      <c r="K974" s="210"/>
      <c r="L974" s="210"/>
      <c r="M974" s="210"/>
      <c r="N974" s="210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</row>
    <row r="975" ht="15.75" customHeight="1">
      <c r="A975" s="210"/>
      <c r="B975" s="210"/>
      <c r="C975" s="210"/>
      <c r="D975" s="210"/>
      <c r="E975" s="210"/>
      <c r="F975" s="210"/>
      <c r="G975" s="210"/>
      <c r="H975" s="210"/>
      <c r="I975" s="210"/>
      <c r="J975" s="210"/>
      <c r="K975" s="210"/>
      <c r="L975" s="210"/>
      <c r="M975" s="210"/>
      <c r="N975" s="210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</row>
    <row r="976" ht="15.75" customHeight="1">
      <c r="A976" s="210"/>
      <c r="B976" s="210"/>
      <c r="C976" s="210"/>
      <c r="D976" s="210"/>
      <c r="E976" s="210"/>
      <c r="F976" s="210"/>
      <c r="G976" s="210"/>
      <c r="H976" s="210"/>
      <c r="I976" s="210"/>
      <c r="J976" s="210"/>
      <c r="K976" s="210"/>
      <c r="L976" s="210"/>
      <c r="M976" s="210"/>
      <c r="N976" s="210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</row>
    <row r="977" ht="15.75" customHeight="1">
      <c r="A977" s="210"/>
      <c r="B977" s="210"/>
      <c r="C977" s="210"/>
      <c r="D977" s="210"/>
      <c r="E977" s="210"/>
      <c r="F977" s="210"/>
      <c r="G977" s="210"/>
      <c r="H977" s="210"/>
      <c r="I977" s="210"/>
      <c r="J977" s="210"/>
      <c r="K977" s="210"/>
      <c r="L977" s="210"/>
      <c r="M977" s="210"/>
      <c r="N977" s="210"/>
      <c r="O977" s="210"/>
      <c r="P977" s="210"/>
      <c r="Q977" s="210"/>
      <c r="R977" s="210"/>
      <c r="S977" s="210"/>
      <c r="T977" s="210"/>
      <c r="U977" s="210"/>
      <c r="V977" s="210"/>
      <c r="W977" s="210"/>
      <c r="X977" s="210"/>
      <c r="Y977" s="210"/>
      <c r="Z977" s="210"/>
    </row>
    <row r="978" ht="15.75" customHeight="1">
      <c r="A978" s="210"/>
      <c r="B978" s="210"/>
      <c r="C978" s="210"/>
      <c r="D978" s="210"/>
      <c r="E978" s="210"/>
      <c r="F978" s="210"/>
      <c r="G978" s="210"/>
      <c r="H978" s="210"/>
      <c r="I978" s="210"/>
      <c r="J978" s="210"/>
      <c r="K978" s="210"/>
      <c r="L978" s="210"/>
      <c r="M978" s="210"/>
      <c r="N978" s="210"/>
      <c r="O978" s="210"/>
      <c r="P978" s="210"/>
      <c r="Q978" s="210"/>
      <c r="R978" s="210"/>
      <c r="S978" s="210"/>
      <c r="T978" s="210"/>
      <c r="U978" s="210"/>
      <c r="V978" s="210"/>
      <c r="W978" s="210"/>
      <c r="X978" s="210"/>
      <c r="Y978" s="210"/>
      <c r="Z978" s="210"/>
    </row>
    <row r="979" ht="15.75" customHeight="1">
      <c r="A979" s="210"/>
      <c r="B979" s="210"/>
      <c r="C979" s="210"/>
      <c r="D979" s="210"/>
      <c r="E979" s="210"/>
      <c r="F979" s="210"/>
      <c r="G979" s="210"/>
      <c r="H979" s="210"/>
      <c r="I979" s="210"/>
      <c r="J979" s="210"/>
      <c r="K979" s="210"/>
      <c r="L979" s="210"/>
      <c r="M979" s="210"/>
      <c r="N979" s="210"/>
      <c r="O979" s="210"/>
      <c r="P979" s="210"/>
      <c r="Q979" s="210"/>
      <c r="R979" s="210"/>
      <c r="S979" s="210"/>
      <c r="T979" s="210"/>
      <c r="U979" s="210"/>
      <c r="V979" s="210"/>
      <c r="W979" s="210"/>
      <c r="X979" s="210"/>
      <c r="Y979" s="210"/>
      <c r="Z979" s="210"/>
    </row>
    <row r="980" ht="15.75" customHeight="1">
      <c r="A980" s="210"/>
      <c r="B980" s="210"/>
      <c r="C980" s="210"/>
      <c r="D980" s="210"/>
      <c r="E980" s="210"/>
      <c r="F980" s="210"/>
      <c r="G980" s="210"/>
      <c r="H980" s="210"/>
      <c r="I980" s="210"/>
      <c r="J980" s="210"/>
      <c r="K980" s="210"/>
      <c r="L980" s="210"/>
      <c r="M980" s="210"/>
      <c r="N980" s="210"/>
      <c r="O980" s="210"/>
      <c r="P980" s="210"/>
      <c r="Q980" s="210"/>
      <c r="R980" s="210"/>
      <c r="S980" s="210"/>
      <c r="T980" s="210"/>
      <c r="U980" s="210"/>
      <c r="V980" s="210"/>
      <c r="W980" s="210"/>
      <c r="X980" s="210"/>
      <c r="Y980" s="210"/>
      <c r="Z980" s="210"/>
    </row>
    <row r="981" ht="15.75" customHeight="1">
      <c r="A981" s="210"/>
      <c r="B981" s="210"/>
      <c r="C981" s="210"/>
      <c r="D981" s="210"/>
      <c r="E981" s="210"/>
      <c r="F981" s="210"/>
      <c r="G981" s="210"/>
      <c r="H981" s="210"/>
      <c r="I981" s="210"/>
      <c r="J981" s="210"/>
      <c r="K981" s="210"/>
      <c r="L981" s="210"/>
      <c r="M981" s="210"/>
      <c r="N981" s="210"/>
      <c r="O981" s="210"/>
      <c r="P981" s="210"/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</row>
    <row r="982" ht="15.75" customHeight="1">
      <c r="A982" s="210"/>
      <c r="B982" s="210"/>
      <c r="C982" s="210"/>
      <c r="D982" s="210"/>
      <c r="E982" s="210"/>
      <c r="F982" s="210"/>
      <c r="G982" s="210"/>
      <c r="H982" s="210"/>
      <c r="I982" s="210"/>
      <c r="J982" s="210"/>
      <c r="K982" s="210"/>
      <c r="L982" s="210"/>
      <c r="M982" s="210"/>
      <c r="N982" s="210"/>
      <c r="O982" s="210"/>
      <c r="P982" s="210"/>
      <c r="Q982" s="210"/>
      <c r="R982" s="210"/>
      <c r="S982" s="210"/>
      <c r="T982" s="210"/>
      <c r="U982" s="210"/>
      <c r="V982" s="210"/>
      <c r="W982" s="210"/>
      <c r="X982" s="210"/>
      <c r="Y982" s="210"/>
      <c r="Z982" s="210"/>
    </row>
    <row r="983" ht="15.75" customHeight="1">
      <c r="A983" s="210"/>
      <c r="B983" s="210"/>
      <c r="C983" s="210"/>
      <c r="D983" s="210"/>
      <c r="E983" s="210"/>
      <c r="F983" s="210"/>
      <c r="G983" s="210"/>
      <c r="H983" s="210"/>
      <c r="I983" s="210"/>
      <c r="J983" s="210"/>
      <c r="K983" s="210"/>
      <c r="L983" s="210"/>
      <c r="M983" s="210"/>
      <c r="N983" s="210"/>
      <c r="O983" s="210"/>
      <c r="P983" s="210"/>
      <c r="Q983" s="210"/>
      <c r="R983" s="210"/>
      <c r="S983" s="210"/>
      <c r="T983" s="210"/>
      <c r="U983" s="210"/>
      <c r="V983" s="210"/>
      <c r="W983" s="210"/>
      <c r="X983" s="210"/>
      <c r="Y983" s="210"/>
      <c r="Z983" s="210"/>
    </row>
    <row r="984" ht="15.75" customHeight="1">
      <c r="A984" s="210"/>
      <c r="B984" s="210"/>
      <c r="C984" s="210"/>
      <c r="D984" s="210"/>
      <c r="E984" s="210"/>
      <c r="F984" s="210"/>
      <c r="G984" s="210"/>
      <c r="H984" s="210"/>
      <c r="I984" s="210"/>
      <c r="J984" s="210"/>
      <c r="K984" s="210"/>
      <c r="L984" s="210"/>
      <c r="M984" s="210"/>
      <c r="N984" s="210"/>
      <c r="O984" s="210"/>
      <c r="P984" s="210"/>
      <c r="Q984" s="210"/>
      <c r="R984" s="210"/>
      <c r="S984" s="210"/>
      <c r="T984" s="210"/>
      <c r="U984" s="210"/>
      <c r="V984" s="210"/>
      <c r="W984" s="210"/>
      <c r="X984" s="210"/>
      <c r="Y984" s="210"/>
      <c r="Z984" s="210"/>
    </row>
    <row r="985" ht="15.75" customHeight="1">
      <c r="A985" s="210"/>
      <c r="B985" s="210"/>
      <c r="C985" s="210"/>
      <c r="D985" s="210"/>
      <c r="E985" s="210"/>
      <c r="F985" s="210"/>
      <c r="G985" s="210"/>
      <c r="H985" s="210"/>
      <c r="I985" s="210"/>
      <c r="J985" s="210"/>
      <c r="K985" s="210"/>
      <c r="L985" s="210"/>
      <c r="M985" s="210"/>
      <c r="N985" s="210"/>
      <c r="O985" s="210"/>
      <c r="P985" s="210"/>
      <c r="Q985" s="210"/>
      <c r="R985" s="210"/>
      <c r="S985" s="210"/>
      <c r="T985" s="210"/>
      <c r="U985" s="210"/>
      <c r="V985" s="210"/>
      <c r="W985" s="210"/>
      <c r="X985" s="210"/>
      <c r="Y985" s="210"/>
      <c r="Z985" s="210"/>
    </row>
    <row r="986" ht="15.75" customHeight="1">
      <c r="A986" s="210"/>
      <c r="B986" s="210"/>
      <c r="C986" s="210"/>
      <c r="D986" s="210"/>
      <c r="E986" s="210"/>
      <c r="F986" s="210"/>
      <c r="G986" s="210"/>
      <c r="H986" s="210"/>
      <c r="I986" s="210"/>
      <c r="J986" s="210"/>
      <c r="K986" s="210"/>
      <c r="L986" s="210"/>
      <c r="M986" s="210"/>
      <c r="N986" s="210"/>
      <c r="O986" s="210"/>
      <c r="P986" s="210"/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</row>
    <row r="987" ht="15.75" customHeight="1">
      <c r="A987" s="210"/>
      <c r="B987" s="210"/>
      <c r="C987" s="210"/>
      <c r="D987" s="210"/>
      <c r="E987" s="210"/>
      <c r="F987" s="210"/>
      <c r="G987" s="210"/>
      <c r="H987" s="210"/>
      <c r="I987" s="210"/>
      <c r="J987" s="210"/>
      <c r="K987" s="210"/>
      <c r="L987" s="210"/>
      <c r="M987" s="210"/>
      <c r="N987" s="210"/>
      <c r="O987" s="210"/>
      <c r="P987" s="210"/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</row>
    <row r="988" ht="15.75" customHeight="1">
      <c r="A988" s="210"/>
      <c r="B988" s="210"/>
      <c r="C988" s="210"/>
      <c r="D988" s="210"/>
      <c r="E988" s="210"/>
      <c r="F988" s="210"/>
      <c r="G988" s="210"/>
      <c r="H988" s="210"/>
      <c r="I988" s="210"/>
      <c r="J988" s="210"/>
      <c r="K988" s="210"/>
      <c r="L988" s="210"/>
      <c r="M988" s="210"/>
      <c r="N988" s="210"/>
      <c r="O988" s="210"/>
      <c r="P988" s="210"/>
      <c r="Q988" s="210"/>
      <c r="R988" s="210"/>
      <c r="S988" s="210"/>
      <c r="T988" s="210"/>
      <c r="U988" s="210"/>
      <c r="V988" s="210"/>
      <c r="W988" s="210"/>
      <c r="X988" s="210"/>
      <c r="Y988" s="210"/>
      <c r="Z988" s="210"/>
    </row>
    <row r="989" ht="15.75" customHeight="1">
      <c r="A989" s="210"/>
      <c r="B989" s="210"/>
      <c r="C989" s="210"/>
      <c r="D989" s="210"/>
      <c r="E989" s="210"/>
      <c r="F989" s="210"/>
      <c r="G989" s="210"/>
      <c r="H989" s="210"/>
      <c r="I989" s="210"/>
      <c r="J989" s="210"/>
      <c r="K989" s="210"/>
      <c r="L989" s="210"/>
      <c r="M989" s="210"/>
      <c r="N989" s="210"/>
      <c r="O989" s="210"/>
      <c r="P989" s="210"/>
      <c r="Q989" s="210"/>
      <c r="R989" s="210"/>
      <c r="S989" s="210"/>
      <c r="T989" s="210"/>
      <c r="U989" s="210"/>
      <c r="V989" s="210"/>
      <c r="W989" s="210"/>
      <c r="X989" s="210"/>
      <c r="Y989" s="210"/>
      <c r="Z989" s="210"/>
    </row>
    <row r="990" ht="15.75" customHeight="1">
      <c r="A990" s="210"/>
      <c r="B990" s="210"/>
      <c r="C990" s="210"/>
      <c r="D990" s="210"/>
      <c r="E990" s="210"/>
      <c r="F990" s="210"/>
      <c r="G990" s="210"/>
      <c r="H990" s="210"/>
      <c r="I990" s="210"/>
      <c r="J990" s="210"/>
      <c r="K990" s="210"/>
      <c r="L990" s="210"/>
      <c r="M990" s="210"/>
      <c r="N990" s="210"/>
      <c r="O990" s="210"/>
      <c r="P990" s="210"/>
      <c r="Q990" s="210"/>
      <c r="R990" s="210"/>
      <c r="S990" s="210"/>
      <c r="T990" s="210"/>
      <c r="U990" s="210"/>
      <c r="V990" s="210"/>
      <c r="W990" s="210"/>
      <c r="X990" s="210"/>
      <c r="Y990" s="210"/>
      <c r="Z990" s="210"/>
    </row>
    <row r="991" ht="15.75" customHeight="1">
      <c r="A991" s="210"/>
      <c r="B991" s="210"/>
      <c r="C991" s="210"/>
      <c r="D991" s="210"/>
      <c r="E991" s="210"/>
      <c r="F991" s="210"/>
      <c r="G991" s="210"/>
      <c r="H991" s="210"/>
      <c r="I991" s="210"/>
      <c r="J991" s="210"/>
      <c r="K991" s="210"/>
      <c r="L991" s="210"/>
      <c r="M991" s="210"/>
      <c r="N991" s="210"/>
      <c r="O991" s="210"/>
      <c r="P991" s="210"/>
      <c r="Q991" s="210"/>
      <c r="R991" s="210"/>
      <c r="S991" s="210"/>
      <c r="T991" s="210"/>
      <c r="U991" s="210"/>
      <c r="V991" s="210"/>
      <c r="W991" s="210"/>
      <c r="X991" s="210"/>
      <c r="Y991" s="210"/>
      <c r="Z991" s="210"/>
    </row>
    <row r="992" ht="15.75" customHeight="1">
      <c r="A992" s="210"/>
      <c r="B992" s="210"/>
      <c r="C992" s="210"/>
      <c r="D992" s="210"/>
      <c r="E992" s="210"/>
      <c r="F992" s="210"/>
      <c r="G992" s="210"/>
      <c r="H992" s="210"/>
      <c r="I992" s="210"/>
      <c r="J992" s="210"/>
      <c r="K992" s="210"/>
      <c r="L992" s="210"/>
      <c r="M992" s="210"/>
      <c r="N992" s="210"/>
      <c r="O992" s="210"/>
      <c r="P992" s="210"/>
      <c r="Q992" s="210"/>
      <c r="R992" s="210"/>
      <c r="S992" s="210"/>
      <c r="T992" s="210"/>
      <c r="U992" s="210"/>
      <c r="V992" s="210"/>
      <c r="W992" s="210"/>
      <c r="X992" s="210"/>
      <c r="Y992" s="210"/>
      <c r="Z992" s="210"/>
    </row>
    <row r="993" ht="15.75" customHeight="1">
      <c r="A993" s="210"/>
      <c r="B993" s="210"/>
      <c r="C993" s="210"/>
      <c r="D993" s="210"/>
      <c r="E993" s="210"/>
      <c r="F993" s="210"/>
      <c r="G993" s="210"/>
      <c r="H993" s="210"/>
      <c r="I993" s="210"/>
      <c r="J993" s="210"/>
      <c r="K993" s="210"/>
      <c r="L993" s="210"/>
      <c r="M993" s="210"/>
      <c r="N993" s="210"/>
      <c r="O993" s="210"/>
      <c r="P993" s="210"/>
      <c r="Q993" s="210"/>
      <c r="R993" s="210"/>
      <c r="S993" s="210"/>
      <c r="T993" s="210"/>
      <c r="U993" s="210"/>
      <c r="V993" s="210"/>
      <c r="W993" s="210"/>
      <c r="X993" s="210"/>
      <c r="Y993" s="210"/>
      <c r="Z993" s="210"/>
    </row>
    <row r="994" ht="15.75" customHeight="1">
      <c r="A994" s="210"/>
      <c r="B994" s="210"/>
      <c r="C994" s="210"/>
      <c r="D994" s="210"/>
      <c r="E994" s="210"/>
      <c r="F994" s="210"/>
      <c r="G994" s="210"/>
      <c r="H994" s="210"/>
      <c r="I994" s="210"/>
      <c r="J994" s="210"/>
      <c r="K994" s="210"/>
      <c r="L994" s="210"/>
      <c r="M994" s="210"/>
      <c r="N994" s="210"/>
      <c r="O994" s="210"/>
      <c r="P994" s="210"/>
      <c r="Q994" s="210"/>
      <c r="R994" s="210"/>
      <c r="S994" s="210"/>
      <c r="T994" s="210"/>
      <c r="U994" s="210"/>
      <c r="V994" s="210"/>
      <c r="W994" s="210"/>
      <c r="X994" s="210"/>
      <c r="Y994" s="210"/>
      <c r="Z994" s="210"/>
    </row>
    <row r="995" ht="15.75" customHeight="1">
      <c r="A995" s="210"/>
      <c r="B995" s="210"/>
      <c r="C995" s="210"/>
      <c r="D995" s="210"/>
      <c r="E995" s="210"/>
      <c r="F995" s="210"/>
      <c r="G995" s="210"/>
      <c r="H995" s="210"/>
      <c r="I995" s="210"/>
      <c r="J995" s="210"/>
      <c r="K995" s="210"/>
      <c r="L995" s="210"/>
      <c r="M995" s="210"/>
      <c r="N995" s="210"/>
      <c r="O995" s="210"/>
      <c r="P995" s="210"/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</row>
    <row r="996" ht="15.75" customHeight="1">
      <c r="A996" s="210"/>
      <c r="B996" s="210"/>
      <c r="C996" s="210"/>
      <c r="D996" s="210"/>
      <c r="E996" s="210"/>
      <c r="F996" s="210"/>
      <c r="G996" s="210"/>
      <c r="H996" s="210"/>
      <c r="I996" s="210"/>
      <c r="J996" s="210"/>
      <c r="K996" s="210"/>
      <c r="L996" s="210"/>
      <c r="M996" s="210"/>
      <c r="N996" s="210"/>
      <c r="O996" s="210"/>
      <c r="P996" s="210"/>
      <c r="Q996" s="210"/>
      <c r="R996" s="210"/>
      <c r="S996" s="210"/>
      <c r="T996" s="210"/>
      <c r="U996" s="210"/>
      <c r="V996" s="210"/>
      <c r="W996" s="210"/>
      <c r="X996" s="210"/>
      <c r="Y996" s="210"/>
      <c r="Z996" s="210"/>
    </row>
    <row r="997" ht="15.75" customHeight="1">
      <c r="A997" s="210"/>
      <c r="B997" s="210"/>
      <c r="C997" s="210"/>
      <c r="D997" s="210"/>
      <c r="E997" s="210"/>
      <c r="F997" s="210"/>
      <c r="G997" s="210"/>
      <c r="H997" s="210"/>
      <c r="I997" s="210"/>
      <c r="J997" s="210"/>
      <c r="K997" s="210"/>
      <c r="L997" s="210"/>
      <c r="M997" s="210"/>
      <c r="N997" s="210"/>
      <c r="O997" s="210"/>
      <c r="P997" s="210"/>
      <c r="Q997" s="210"/>
      <c r="R997" s="210"/>
      <c r="S997" s="210"/>
      <c r="T997" s="210"/>
      <c r="U997" s="210"/>
      <c r="V997" s="210"/>
      <c r="W997" s="210"/>
      <c r="X997" s="210"/>
      <c r="Y997" s="210"/>
      <c r="Z997" s="210"/>
    </row>
    <row r="998" ht="15.75" customHeight="1">
      <c r="A998" s="210"/>
      <c r="B998" s="210"/>
      <c r="C998" s="210"/>
      <c r="D998" s="210"/>
      <c r="E998" s="210"/>
      <c r="F998" s="210"/>
      <c r="G998" s="210"/>
      <c r="H998" s="210"/>
      <c r="I998" s="210"/>
      <c r="J998" s="210"/>
      <c r="K998" s="210"/>
      <c r="L998" s="210"/>
      <c r="M998" s="210"/>
      <c r="N998" s="210"/>
      <c r="O998" s="210"/>
      <c r="P998" s="210"/>
      <c r="Q998" s="210"/>
      <c r="R998" s="210"/>
      <c r="S998" s="210"/>
      <c r="T998" s="210"/>
      <c r="U998" s="210"/>
      <c r="V998" s="210"/>
      <c r="W998" s="210"/>
      <c r="X998" s="210"/>
      <c r="Y998" s="210"/>
      <c r="Z998" s="210"/>
    </row>
    <row r="999" ht="15.75" customHeight="1">
      <c r="A999" s="210"/>
      <c r="B999" s="210"/>
      <c r="C999" s="210"/>
      <c r="D999" s="210"/>
      <c r="E999" s="210"/>
      <c r="F999" s="210"/>
      <c r="G999" s="210"/>
      <c r="H999" s="210"/>
      <c r="I999" s="210"/>
      <c r="J999" s="210"/>
      <c r="K999" s="210"/>
      <c r="L999" s="210"/>
      <c r="M999" s="210"/>
      <c r="N999" s="210"/>
      <c r="O999" s="210"/>
      <c r="P999" s="210"/>
      <c r="Q999" s="210"/>
      <c r="R999" s="210"/>
      <c r="S999" s="210"/>
      <c r="T999" s="210"/>
      <c r="U999" s="210"/>
      <c r="V999" s="210"/>
      <c r="W999" s="210"/>
      <c r="X999" s="210"/>
      <c r="Y999" s="210"/>
      <c r="Z999" s="210"/>
    </row>
    <row r="1000" ht="15.75" customHeight="1">
      <c r="A1000" s="210"/>
      <c r="B1000" s="210"/>
      <c r="C1000" s="210"/>
      <c r="D1000" s="210"/>
      <c r="E1000" s="210"/>
      <c r="F1000" s="210"/>
      <c r="G1000" s="210"/>
      <c r="H1000" s="210"/>
      <c r="I1000" s="210"/>
      <c r="J1000" s="210"/>
      <c r="K1000" s="210"/>
      <c r="L1000" s="210"/>
      <c r="M1000" s="210"/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</row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4.5"/>
    <col customWidth="1" min="8" max="8" width="15.63"/>
    <col customWidth="1" min="9" max="9" width="23.38"/>
    <col customWidth="1" min="10" max="10" width="14.0"/>
    <col customWidth="1" min="11" max="11" width="14.13"/>
    <col customWidth="1" min="13" max="13" width="13.5"/>
  </cols>
  <sheetData>
    <row r="1" ht="15.75" customHeight="1">
      <c r="A1" s="222"/>
      <c r="B1" s="223"/>
      <c r="C1" s="223"/>
      <c r="D1" s="223"/>
      <c r="E1" s="222"/>
      <c r="F1" s="222"/>
      <c r="G1" s="224"/>
      <c r="H1" s="224"/>
      <c r="I1" s="224"/>
      <c r="J1" s="224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</row>
    <row r="2" ht="15.75" customHeight="1">
      <c r="A2" s="222"/>
      <c r="B2" s="225"/>
      <c r="C2" s="225"/>
      <c r="D2" s="225"/>
      <c r="E2" s="222"/>
      <c r="F2" s="222"/>
      <c r="G2" s="226" t="s">
        <v>141</v>
      </c>
      <c r="H2" s="109"/>
      <c r="I2" s="109"/>
      <c r="J2" s="110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</row>
    <row r="3" ht="15.75" customHeight="1">
      <c r="A3" s="222"/>
      <c r="B3" s="227" t="s">
        <v>142</v>
      </c>
      <c r="C3" s="228" t="s">
        <v>143</v>
      </c>
      <c r="D3" s="229" t="s">
        <v>144</v>
      </c>
      <c r="E3" s="222"/>
      <c r="F3" s="222"/>
      <c r="G3" s="230" t="s">
        <v>145</v>
      </c>
      <c r="H3" s="229" t="s">
        <v>143</v>
      </c>
      <c r="I3" s="230" t="s">
        <v>146</v>
      </c>
      <c r="J3" s="230" t="s">
        <v>147</v>
      </c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</row>
    <row r="4" ht="15.75" customHeight="1">
      <c r="A4" s="231"/>
      <c r="B4" s="232" t="s">
        <v>74</v>
      </c>
      <c r="C4" s="233">
        <v>2.914650701E7</v>
      </c>
      <c r="D4" s="234">
        <f t="shared" ref="D4:D5" si="1">C4/$C$6</f>
        <v>0.9017681942</v>
      </c>
      <c r="E4" s="235"/>
      <c r="F4" s="222"/>
      <c r="G4" s="236" t="s">
        <v>148</v>
      </c>
      <c r="H4" s="237">
        <f>'Cash Report'!F28</f>
        <v>115213964.8</v>
      </c>
      <c r="I4" s="238">
        <v>1.0</v>
      </c>
      <c r="J4" s="234">
        <f t="shared" ref="J4:J6" si="2">H4*I4</f>
        <v>115213964.8</v>
      </c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</row>
    <row r="5" ht="15.75" customHeight="1">
      <c r="A5" s="231"/>
      <c r="B5" s="239" t="s">
        <v>149</v>
      </c>
      <c r="C5" s="233">
        <v>3175000.0</v>
      </c>
      <c r="D5" s="234">
        <f t="shared" si="1"/>
        <v>0.09823180581</v>
      </c>
      <c r="E5" s="235"/>
      <c r="F5" s="222"/>
      <c r="G5" s="236" t="s">
        <v>150</v>
      </c>
      <c r="H5" s="240">
        <f>'Cash Report'!D39</f>
        <v>255374.67</v>
      </c>
      <c r="I5" s="241">
        <f>'Cash Report'!$E$31</f>
        <v>1343.51</v>
      </c>
      <c r="J5" s="234">
        <f t="shared" si="2"/>
        <v>343098422.9</v>
      </c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</row>
    <row r="6" ht="15.75" customHeight="1">
      <c r="A6" s="231"/>
      <c r="B6" s="242" t="s">
        <v>151</v>
      </c>
      <c r="C6" s="243">
        <f>sum(C4:C5)</f>
        <v>32321507.01</v>
      </c>
      <c r="D6" s="243">
        <f>C6/$C$6*100</f>
        <v>100</v>
      </c>
      <c r="E6" s="235"/>
      <c r="F6" s="222"/>
      <c r="G6" s="236" t="s">
        <v>152</v>
      </c>
      <c r="H6" s="244">
        <v>2525.0</v>
      </c>
      <c r="I6" s="245">
        <f>'Cash Report'!E30</f>
        <v>1810.4</v>
      </c>
      <c r="J6" s="234">
        <f t="shared" si="2"/>
        <v>4571260</v>
      </c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</row>
    <row r="7" ht="15.75" customHeight="1">
      <c r="A7" s="231"/>
      <c r="B7" s="246"/>
      <c r="C7" s="247"/>
      <c r="D7" s="234"/>
      <c r="E7" s="235"/>
      <c r="F7" s="222"/>
      <c r="G7" s="248"/>
      <c r="H7" s="234"/>
      <c r="I7" s="224"/>
      <c r="J7" s="243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</row>
    <row r="8" ht="15.75" customHeight="1">
      <c r="A8" s="231"/>
      <c r="B8" s="242" t="s">
        <v>28</v>
      </c>
      <c r="C8" s="230" t="s">
        <v>143</v>
      </c>
      <c r="D8" s="229" t="s">
        <v>144</v>
      </c>
      <c r="E8" s="235"/>
      <c r="F8" s="222"/>
      <c r="G8" s="248" t="s">
        <v>153</v>
      </c>
      <c r="H8" s="234"/>
      <c r="I8" s="224"/>
      <c r="J8" s="243">
        <f>J4+J5+J6</f>
        <v>462883647.7</v>
      </c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</row>
    <row r="9" ht="15.75" customHeight="1">
      <c r="A9" s="231"/>
      <c r="B9" s="249" t="s">
        <v>32</v>
      </c>
      <c r="C9" s="250">
        <v>1.603987876E7</v>
      </c>
      <c r="D9" s="234">
        <f t="shared" ref="D9:D14" si="3">C9/C$15*100</f>
        <v>27.80508589</v>
      </c>
      <c r="E9" s="235"/>
      <c r="F9" s="222"/>
      <c r="G9" s="246"/>
      <c r="H9" s="251"/>
      <c r="I9" s="246"/>
      <c r="J9" s="246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</row>
    <row r="10" ht="15.75" customHeight="1">
      <c r="A10" s="231"/>
      <c r="B10" s="249" t="s">
        <v>16</v>
      </c>
      <c r="C10" s="233">
        <v>3062831.81</v>
      </c>
      <c r="D10" s="234">
        <f t="shared" si="3"/>
        <v>5.309410551</v>
      </c>
      <c r="E10" s="235"/>
      <c r="F10" s="222"/>
      <c r="G10" s="252" t="s">
        <v>154</v>
      </c>
      <c r="H10" s="229" t="s">
        <v>143</v>
      </c>
      <c r="I10" s="229" t="s">
        <v>144</v>
      </c>
      <c r="J10" s="224"/>
      <c r="K10" s="235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</row>
    <row r="11" ht="15.75" customHeight="1">
      <c r="A11" s="231"/>
      <c r="B11" s="249" t="s">
        <v>21</v>
      </c>
      <c r="C11" s="250">
        <v>3.63411E7</v>
      </c>
      <c r="D11" s="234">
        <f t="shared" si="3"/>
        <v>62.99719729</v>
      </c>
      <c r="E11" s="235"/>
      <c r="F11" s="231"/>
      <c r="G11" s="232" t="s">
        <v>74</v>
      </c>
      <c r="H11" s="233">
        <v>2.914650701E7</v>
      </c>
      <c r="I11" s="234">
        <f t="shared" ref="I11:I12" si="4">H11/$C$6</f>
        <v>0.9017681942</v>
      </c>
      <c r="J11" s="224"/>
      <c r="K11" s="235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</row>
    <row r="12" ht="15.75" customHeight="1">
      <c r="A12" s="231"/>
      <c r="B12" s="253" t="s">
        <v>25</v>
      </c>
      <c r="C12" s="233">
        <v>857142.86</v>
      </c>
      <c r="D12" s="234">
        <f t="shared" si="3"/>
        <v>1.485854799</v>
      </c>
      <c r="E12" s="235"/>
      <c r="F12" s="231"/>
      <c r="G12" s="239" t="s">
        <v>149</v>
      </c>
      <c r="H12" s="233">
        <v>3175000.0</v>
      </c>
      <c r="I12" s="234">
        <f t="shared" si="4"/>
        <v>0.09823180581</v>
      </c>
      <c r="J12" s="224"/>
      <c r="K12" s="235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</row>
    <row r="13" ht="15.75" customHeight="1">
      <c r="A13" s="231"/>
      <c r="B13" s="253" t="s">
        <v>37</v>
      </c>
      <c r="C13" s="233">
        <v>1373750.0</v>
      </c>
      <c r="D13" s="234">
        <f t="shared" si="3"/>
        <v>2.381391861</v>
      </c>
      <c r="E13" s="235"/>
      <c r="F13" s="231"/>
      <c r="G13" s="254"/>
      <c r="H13" s="255">
        <f>SUM(H11:H12)</f>
        <v>32321507.01</v>
      </c>
      <c r="I13" s="243">
        <f>H13/$H$13*100</f>
        <v>100</v>
      </c>
      <c r="J13" s="256">
        <f>H13</f>
        <v>32321507.01</v>
      </c>
      <c r="K13" s="235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</row>
    <row r="14" ht="15.75" customHeight="1">
      <c r="A14" s="231"/>
      <c r="B14" s="253" t="s">
        <v>39</v>
      </c>
      <c r="C14" s="233">
        <v>12148.63</v>
      </c>
      <c r="D14" s="234">
        <f t="shared" si="3"/>
        <v>0.02105961682</v>
      </c>
      <c r="E14" s="235"/>
      <c r="F14" s="231"/>
      <c r="G14" s="257" t="s">
        <v>155</v>
      </c>
      <c r="H14" s="234"/>
      <c r="I14" s="224"/>
      <c r="J14" s="258">
        <f>SUM(J8:J13)</f>
        <v>495205154.7</v>
      </c>
      <c r="K14" s="235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</row>
    <row r="15" ht="15.75" customHeight="1">
      <c r="A15" s="231"/>
      <c r="B15" s="224" t="s">
        <v>156</v>
      </c>
      <c r="C15" s="259">
        <f t="shared" ref="C15:D15" si="5">SUM(C9:C14)</f>
        <v>57686852.06</v>
      </c>
      <c r="D15" s="243">
        <f t="shared" si="5"/>
        <v>100</v>
      </c>
      <c r="E15" s="235"/>
      <c r="F15" s="231"/>
      <c r="G15" s="248"/>
      <c r="H15" s="234"/>
      <c r="I15" s="224"/>
      <c r="J15" s="258"/>
      <c r="K15" s="235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</row>
    <row r="16" ht="15.75" customHeight="1">
      <c r="A16" s="231"/>
      <c r="B16" s="260" t="s">
        <v>157</v>
      </c>
      <c r="C16" s="261">
        <f>C6-C15</f>
        <v>-25365345.05</v>
      </c>
      <c r="D16" s="224"/>
      <c r="E16" s="235"/>
      <c r="F16" s="231"/>
      <c r="G16" s="248" t="s">
        <v>28</v>
      </c>
      <c r="H16" s="262"/>
      <c r="I16" s="229" t="s">
        <v>144</v>
      </c>
      <c r="J16" s="224"/>
      <c r="K16" s="235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</row>
    <row r="17" ht="15.75" customHeight="1">
      <c r="A17" s="231"/>
      <c r="E17" s="235"/>
      <c r="F17" s="222"/>
      <c r="G17" s="249" t="s">
        <v>32</v>
      </c>
      <c r="H17" s="250">
        <v>1.603987876E7</v>
      </c>
      <c r="I17" s="234">
        <v>27.805085885631183</v>
      </c>
      <c r="J17" s="224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</row>
    <row r="18" ht="15.75" customHeight="1">
      <c r="A18" s="231"/>
      <c r="E18" s="222"/>
      <c r="F18" s="222"/>
      <c r="G18" s="249" t="s">
        <v>16</v>
      </c>
      <c r="H18" s="233">
        <v>3062831.81</v>
      </c>
      <c r="I18" s="234">
        <v>5.309410551323468</v>
      </c>
      <c r="J18" s="224"/>
      <c r="K18" s="235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</row>
    <row r="19" ht="15.75" customHeight="1">
      <c r="A19" s="231"/>
      <c r="E19" s="222"/>
      <c r="F19" s="222"/>
      <c r="G19" s="249" t="s">
        <v>21</v>
      </c>
      <c r="H19" s="250">
        <v>3.63411E7</v>
      </c>
      <c r="I19" s="234">
        <v>62.99719728544327</v>
      </c>
      <c r="J19" s="224"/>
      <c r="K19" s="235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</row>
    <row r="20" ht="15.75" customHeight="1">
      <c r="A20" s="222"/>
      <c r="E20" s="222"/>
      <c r="F20" s="222"/>
      <c r="G20" s="253" t="s">
        <v>25</v>
      </c>
      <c r="H20" s="233">
        <v>857142.86</v>
      </c>
      <c r="I20" s="234">
        <v>1.485854799475775</v>
      </c>
      <c r="J20" s="224"/>
      <c r="K20" s="235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</row>
    <row r="21" ht="15.75" customHeight="1">
      <c r="A21" s="222"/>
      <c r="E21" s="222"/>
      <c r="F21" s="231"/>
      <c r="G21" s="253" t="s">
        <v>37</v>
      </c>
      <c r="H21" s="233">
        <v>1373750.0</v>
      </c>
      <c r="I21" s="234">
        <v>2.3813918613051808</v>
      </c>
      <c r="J21" s="224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</row>
    <row r="22" ht="15.75" customHeight="1">
      <c r="A22" s="222"/>
      <c r="E22" s="222"/>
      <c r="F22" s="231"/>
      <c r="G22" s="253" t="s">
        <v>39</v>
      </c>
      <c r="H22" s="233">
        <v>12148.63</v>
      </c>
      <c r="I22" s="234">
        <v>0.02105961682111589</v>
      </c>
      <c r="J22" s="224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</row>
    <row r="23" ht="15.75" customHeight="1">
      <c r="A23" s="222"/>
      <c r="E23" s="222"/>
      <c r="F23" s="231"/>
      <c r="G23" s="224"/>
      <c r="H23" s="243">
        <f>SUM(H17:H22)</f>
        <v>57686852.06</v>
      </c>
      <c r="I23" s="258">
        <f>sum(I17:I22)</f>
        <v>100</v>
      </c>
      <c r="J23" s="258">
        <f>H23</f>
        <v>57686852.06</v>
      </c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</row>
    <row r="24" ht="15.75" customHeight="1">
      <c r="A24" s="222"/>
      <c r="E24" s="222"/>
      <c r="F24" s="231"/>
      <c r="G24" s="263" t="s">
        <v>158</v>
      </c>
      <c r="H24" s="243"/>
      <c r="I24" s="224"/>
      <c r="J24" s="258">
        <f>J14-J23</f>
        <v>437518302.7</v>
      </c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</row>
    <row r="25" ht="13.5" customHeight="1">
      <c r="A25" s="222"/>
      <c r="E25" s="222"/>
      <c r="F25" s="231"/>
      <c r="G25" s="224"/>
      <c r="H25" s="243"/>
      <c r="I25" s="224"/>
      <c r="J25" s="258"/>
      <c r="K25" s="235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</row>
    <row r="26" ht="13.5" customHeight="1">
      <c r="A26" s="222"/>
      <c r="D26" s="264"/>
      <c r="E26" s="222"/>
      <c r="F26" s="231"/>
      <c r="G26" s="265" t="s">
        <v>159</v>
      </c>
      <c r="H26" s="266"/>
      <c r="I26" s="267"/>
      <c r="J26" s="258"/>
      <c r="K26" s="235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</row>
    <row r="27" ht="15.75" customHeight="1">
      <c r="A27" s="222"/>
      <c r="D27" s="222"/>
      <c r="E27" s="222"/>
      <c r="F27" s="231"/>
      <c r="G27" s="268" t="s">
        <v>160</v>
      </c>
      <c r="H27" s="269">
        <v>768.9400000000005</v>
      </c>
      <c r="I27" s="270">
        <f>'Cash Report'!$E$31</f>
        <v>1343.51</v>
      </c>
      <c r="J27" s="271">
        <f>H27*I27</f>
        <v>1033078.579</v>
      </c>
      <c r="K27" s="235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</row>
    <row r="28" ht="15.75" customHeight="1">
      <c r="A28" s="222"/>
      <c r="D28" s="222"/>
      <c r="E28" s="222"/>
      <c r="F28" s="231"/>
      <c r="G28" s="272"/>
      <c r="H28" s="273"/>
      <c r="I28" s="274"/>
      <c r="J28" s="275"/>
      <c r="K28" s="235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</row>
    <row r="29" ht="15.75" customHeight="1">
      <c r="A29" s="222"/>
      <c r="B29" s="222"/>
      <c r="C29" s="222"/>
      <c r="D29" s="222"/>
      <c r="E29" s="222"/>
      <c r="F29" s="231"/>
      <c r="G29" s="276" t="s">
        <v>161</v>
      </c>
      <c r="H29" s="269">
        <f>SUM(H27)</f>
        <v>768.94</v>
      </c>
      <c r="I29" s="270">
        <f>'Cash Report'!$E$31</f>
        <v>1343.51</v>
      </c>
      <c r="J29" s="258">
        <f>H29*I29</f>
        <v>1033078.579</v>
      </c>
      <c r="K29" s="235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</row>
    <row r="30" ht="15.75" customHeight="1">
      <c r="A30" s="222"/>
      <c r="B30" s="222"/>
      <c r="C30" s="222"/>
      <c r="D30" s="222"/>
      <c r="E30" s="222"/>
      <c r="F30" s="231"/>
      <c r="G30" s="223"/>
      <c r="H30" s="223"/>
      <c r="I30" s="223"/>
      <c r="J30" s="223"/>
      <c r="K30" s="235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</row>
    <row r="31" ht="15.75" customHeight="1">
      <c r="A31" s="222"/>
      <c r="B31" s="222"/>
      <c r="C31" s="222"/>
      <c r="D31" s="222"/>
      <c r="E31" s="222"/>
      <c r="F31" s="231"/>
      <c r="G31" s="223"/>
      <c r="H31" s="223"/>
      <c r="I31" s="223"/>
      <c r="J31" s="223"/>
      <c r="K31" s="235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</row>
    <row r="32" ht="15.75" customHeight="1">
      <c r="A32" s="222"/>
      <c r="B32" s="222"/>
      <c r="C32" s="222"/>
      <c r="D32" s="222"/>
      <c r="E32" s="222"/>
      <c r="F32" s="231"/>
      <c r="G32" s="277" t="s">
        <v>162</v>
      </c>
      <c r="H32" s="109"/>
      <c r="I32" s="109"/>
      <c r="J32" s="278"/>
      <c r="K32" s="235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</row>
    <row r="33" ht="15.75" customHeight="1">
      <c r="A33" s="222"/>
      <c r="B33" s="222"/>
      <c r="C33" s="222"/>
      <c r="D33" s="222"/>
      <c r="E33" s="222"/>
      <c r="F33" s="231"/>
      <c r="G33" s="279" t="s">
        <v>163</v>
      </c>
      <c r="H33" s="279" t="s">
        <v>164</v>
      </c>
      <c r="I33" s="277" t="s">
        <v>165</v>
      </c>
      <c r="J33" s="278"/>
      <c r="K33" s="235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</row>
    <row r="34" ht="15.75" customHeight="1">
      <c r="A34" s="222"/>
      <c r="B34" s="222"/>
      <c r="C34" s="222"/>
      <c r="D34" s="222"/>
      <c r="E34" s="222"/>
      <c r="F34" s="231"/>
      <c r="G34" s="280" t="s">
        <v>166</v>
      </c>
      <c r="H34" s="281">
        <v>35000.0</v>
      </c>
      <c r="I34" s="282" t="s">
        <v>167</v>
      </c>
      <c r="J34" s="283"/>
      <c r="K34" s="235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</row>
    <row r="35" ht="15.75" customHeight="1">
      <c r="A35" s="222"/>
      <c r="B35" s="222"/>
      <c r="C35" s="222"/>
      <c r="D35" s="222"/>
      <c r="E35" s="222"/>
      <c r="F35" s="231"/>
      <c r="G35" s="284" t="s">
        <v>168</v>
      </c>
      <c r="H35" s="285">
        <v>160000.0</v>
      </c>
      <c r="I35" s="286" t="s">
        <v>169</v>
      </c>
      <c r="J35" s="283"/>
      <c r="K35" s="235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</row>
    <row r="36" ht="15.75" customHeight="1">
      <c r="A36" s="222"/>
      <c r="B36" s="222"/>
      <c r="C36" s="222"/>
      <c r="D36" s="222"/>
      <c r="E36" s="222"/>
      <c r="F36" s="231"/>
      <c r="G36" s="280" t="s">
        <v>170</v>
      </c>
      <c r="H36" s="285">
        <v>40000.0</v>
      </c>
      <c r="I36" s="287" t="s">
        <v>171</v>
      </c>
      <c r="J36" s="283"/>
      <c r="K36" s="235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</row>
    <row r="37" ht="15.75" customHeight="1">
      <c r="A37" s="222"/>
      <c r="B37" s="222"/>
      <c r="C37" s="222"/>
      <c r="D37" s="222"/>
      <c r="E37" s="222"/>
      <c r="F37" s="231"/>
      <c r="G37" s="288" t="s">
        <v>170</v>
      </c>
      <c r="H37" s="285">
        <v>48000.0</v>
      </c>
      <c r="I37" s="288" t="s">
        <v>172</v>
      </c>
      <c r="J37" s="289"/>
      <c r="K37" s="235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</row>
    <row r="38" ht="15.75" customHeight="1">
      <c r="A38" s="222"/>
      <c r="B38" s="222"/>
      <c r="C38" s="222"/>
      <c r="D38" s="222"/>
      <c r="E38" s="222"/>
      <c r="F38" s="231"/>
      <c r="G38" s="288" t="s">
        <v>173</v>
      </c>
      <c r="H38" s="285">
        <v>1570909.24</v>
      </c>
      <c r="I38" s="288" t="s">
        <v>174</v>
      </c>
      <c r="J38" s="289"/>
      <c r="K38" s="235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</row>
    <row r="39" ht="15.75" customHeight="1">
      <c r="A39" s="222"/>
      <c r="B39" s="222"/>
      <c r="C39" s="222"/>
      <c r="D39" s="222"/>
      <c r="E39" s="222"/>
      <c r="F39" s="231"/>
      <c r="G39" s="288" t="s">
        <v>175</v>
      </c>
      <c r="H39" s="285">
        <v>1000000.0</v>
      </c>
      <c r="I39" s="288" t="s">
        <v>176</v>
      </c>
      <c r="J39" s="289"/>
      <c r="K39" s="235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</row>
    <row r="40" ht="15.75" customHeight="1">
      <c r="A40" s="222"/>
      <c r="B40" s="222"/>
      <c r="C40" s="222"/>
      <c r="D40" s="222"/>
      <c r="E40" s="222"/>
      <c r="F40" s="231"/>
      <c r="G40" s="288" t="s">
        <v>177</v>
      </c>
      <c r="H40" s="285">
        <v>754325.0</v>
      </c>
      <c r="I40" s="288" t="s">
        <v>178</v>
      </c>
      <c r="J40" s="289"/>
      <c r="K40" s="235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</row>
    <row r="41" ht="15.75" customHeight="1">
      <c r="A41" s="222"/>
      <c r="B41" s="222"/>
      <c r="C41" s="222"/>
      <c r="D41" s="222"/>
      <c r="E41" s="222"/>
      <c r="F41" s="231"/>
      <c r="G41" s="288" t="s">
        <v>179</v>
      </c>
      <c r="H41" s="285">
        <v>38200.0</v>
      </c>
      <c r="I41" s="288" t="s">
        <v>180</v>
      </c>
      <c r="J41" s="289"/>
      <c r="K41" s="235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</row>
    <row r="42" ht="15.75" customHeight="1">
      <c r="A42" s="222"/>
      <c r="B42" s="222"/>
      <c r="C42" s="222"/>
      <c r="D42" s="222"/>
      <c r="E42" s="222"/>
      <c r="F42" s="231"/>
      <c r="G42" s="290" t="s">
        <v>181</v>
      </c>
      <c r="H42" s="285">
        <v>352245.8</v>
      </c>
      <c r="I42" s="291" t="s">
        <v>182</v>
      </c>
      <c r="J42" s="289"/>
      <c r="K42" s="235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</row>
    <row r="43" ht="15.75" customHeight="1">
      <c r="A43" s="222"/>
      <c r="B43" s="222"/>
      <c r="C43" s="222"/>
      <c r="D43" s="222"/>
      <c r="E43" s="222"/>
      <c r="F43" s="231"/>
      <c r="G43" s="291" t="s">
        <v>183</v>
      </c>
      <c r="H43" s="285">
        <v>35000.0</v>
      </c>
      <c r="I43" s="291" t="s">
        <v>184</v>
      </c>
      <c r="J43" s="289"/>
      <c r="K43" s="235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</row>
    <row r="44" ht="15.75" customHeight="1">
      <c r="A44" s="222"/>
      <c r="B44" s="222"/>
      <c r="C44" s="222"/>
      <c r="D44" s="222"/>
      <c r="E44" s="222"/>
      <c r="F44" s="231"/>
      <c r="G44" s="288" t="s">
        <v>185</v>
      </c>
      <c r="H44" s="285">
        <v>150000.0</v>
      </c>
      <c r="I44" s="292" t="s">
        <v>186</v>
      </c>
      <c r="J44" s="293"/>
      <c r="K44" s="235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</row>
    <row r="45" ht="15.75" customHeight="1">
      <c r="A45" s="222"/>
      <c r="B45" s="222"/>
      <c r="C45" s="222"/>
      <c r="D45" s="222"/>
      <c r="E45" s="222"/>
      <c r="F45" s="231"/>
      <c r="G45" s="294" t="s">
        <v>187</v>
      </c>
      <c r="H45" s="285">
        <v>40000.0</v>
      </c>
      <c r="I45" s="292" t="s">
        <v>188</v>
      </c>
      <c r="K45" s="235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</row>
    <row r="46" ht="15.75" customHeight="1">
      <c r="A46" s="222"/>
      <c r="B46" s="222"/>
      <c r="C46" s="222"/>
      <c r="D46" s="222"/>
      <c r="E46" s="222"/>
      <c r="F46" s="231"/>
      <c r="G46" s="294" t="s">
        <v>189</v>
      </c>
      <c r="H46" s="285">
        <v>1.17005E7</v>
      </c>
      <c r="I46" s="292" t="s">
        <v>190</v>
      </c>
      <c r="K46" s="235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</row>
    <row r="47" ht="15.75" customHeight="1">
      <c r="A47" s="222"/>
      <c r="B47" s="222"/>
      <c r="C47" s="222"/>
      <c r="D47" s="222"/>
      <c r="E47" s="222"/>
      <c r="F47" s="231"/>
      <c r="G47" s="295" t="s">
        <v>191</v>
      </c>
      <c r="H47" s="285">
        <v>115698.72</v>
      </c>
      <c r="I47" s="296" t="s">
        <v>192</v>
      </c>
      <c r="J47" s="223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</row>
    <row r="48" ht="15.75" customHeight="1">
      <c r="A48" s="222"/>
      <c r="B48" s="222"/>
      <c r="C48" s="222"/>
      <c r="D48" s="222"/>
      <c r="E48" s="222"/>
      <c r="F48" s="231"/>
      <c r="G48" s="246"/>
      <c r="H48" s="297">
        <f>sum(H34:H47)</f>
        <v>16039878.76</v>
      </c>
      <c r="I48" s="246"/>
      <c r="J48" s="223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</row>
    <row r="49" ht="15.75" customHeight="1">
      <c r="A49" s="222"/>
      <c r="B49" s="223"/>
      <c r="C49" s="223"/>
      <c r="D49" s="223"/>
      <c r="E49" s="222"/>
      <c r="F49" s="231"/>
      <c r="G49" s="223"/>
      <c r="H49" s="223"/>
      <c r="I49" s="223"/>
      <c r="J49" s="223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</row>
    <row r="50" ht="15.75" customHeight="1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</row>
    <row r="51" ht="15.75" customHeight="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</row>
    <row r="52" ht="15.75" customHeight="1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</row>
    <row r="53" ht="15.75" customHeight="1">
      <c r="A53" s="223"/>
      <c r="B53" s="223"/>
      <c r="C53" s="223"/>
      <c r="D53" s="223"/>
      <c r="E53" s="223"/>
      <c r="F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  <c r="AA53" s="223"/>
    </row>
    <row r="54" ht="15.75" customHeight="1">
      <c r="A54" s="223"/>
      <c r="B54" s="223"/>
      <c r="C54" s="223"/>
      <c r="D54" s="223"/>
      <c r="E54" s="223"/>
      <c r="F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</row>
    <row r="55" ht="15.75" customHeight="1">
      <c r="A55" s="223"/>
      <c r="B55" s="223"/>
      <c r="C55" s="223"/>
      <c r="D55" s="223"/>
      <c r="E55" s="223"/>
      <c r="F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</row>
    <row r="56" ht="15.75" customHeight="1">
      <c r="A56" s="223"/>
      <c r="B56" s="223"/>
      <c r="C56" s="223"/>
      <c r="D56" s="223"/>
      <c r="E56" s="223"/>
      <c r="F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</row>
    <row r="57" ht="15.75" customHeight="1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  <c r="AA57" s="223"/>
    </row>
    <row r="58" ht="15.75" customHeight="1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</row>
    <row r="59" ht="15.75" customHeight="1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  <c r="AA59" s="223"/>
    </row>
    <row r="60" ht="15.75" customHeight="1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</row>
    <row r="61" ht="15.75" customHeight="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</row>
    <row r="62" ht="15.75" customHeight="1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</row>
    <row r="63" ht="15.75" customHeight="1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3"/>
    </row>
    <row r="64" ht="15.75" customHeight="1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  <c r="AA64" s="223"/>
    </row>
    <row r="65" ht="15.75" customHeight="1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</row>
    <row r="66" ht="15.75" customHeight="1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</row>
    <row r="67" ht="15.75" customHeight="1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</row>
    <row r="68" ht="15.75" customHeight="1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</row>
    <row r="69" ht="15.75" customHeight="1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  <c r="AA69" s="223"/>
    </row>
    <row r="70" ht="15.75" customHeight="1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</row>
    <row r="71" ht="15.75" customHeight="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  <c r="AA71" s="223"/>
    </row>
    <row r="72" ht="15.75" customHeight="1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</row>
    <row r="73" ht="15.75" customHeight="1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3"/>
    </row>
    <row r="74" ht="15.75" customHeight="1">
      <c r="A74" s="223"/>
      <c r="B74" s="225"/>
      <c r="C74" s="225"/>
      <c r="D74" s="225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</row>
    <row r="75" ht="15.75" customHeight="1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</row>
    <row r="76" ht="15.75" customHeight="1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</row>
    <row r="77" ht="15.75" customHeight="1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</row>
    <row r="78" ht="15.75" customHeight="1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</row>
    <row r="79" ht="15.75" customHeight="1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</row>
    <row r="80" ht="15.75" customHeight="1">
      <c r="A80" s="225"/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</row>
    <row r="81" ht="15.75" customHeight="1">
      <c r="A81" s="225"/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</row>
    <row r="82" ht="15.75" customHeight="1">
      <c r="A82" s="225"/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</row>
    <row r="83" ht="15.75" customHeight="1">
      <c r="A83" s="225"/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</row>
    <row r="84" ht="15.75" customHeight="1">
      <c r="A84" s="225"/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</row>
    <row r="85" ht="15.75" customHeight="1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</row>
    <row r="86" ht="15.75" customHeight="1">
      <c r="A86" s="225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</row>
    <row r="87" ht="15.75" customHeight="1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</row>
    <row r="88" ht="15.75" customHeight="1">
      <c r="A88" s="225"/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</row>
    <row r="89" ht="15.75" customHeight="1">
      <c r="A89" s="225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</row>
    <row r="90" ht="15.75" customHeight="1">
      <c r="A90" s="225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  <c r="AA90" s="225"/>
    </row>
    <row r="91" ht="15.75" customHeight="1">
      <c r="A91" s="225"/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</row>
    <row r="92" ht="15.75" customHeight="1">
      <c r="A92" s="225"/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</row>
    <row r="93" ht="15.75" customHeight="1">
      <c r="A93" s="225"/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</row>
    <row r="94" ht="15.75" customHeight="1">
      <c r="A94" s="225"/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</row>
    <row r="95" ht="15.75" customHeight="1">
      <c r="A95" s="225"/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</row>
    <row r="96" ht="15.75" customHeight="1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</row>
    <row r="97" ht="15.75" customHeight="1">
      <c r="A97" s="225"/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</row>
    <row r="98" ht="15.75" customHeight="1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</row>
    <row r="99" ht="15.75" customHeight="1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  <c r="AA99" s="225"/>
    </row>
    <row r="100" ht="15.75" customHeight="1">
      <c r="A100" s="225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</row>
    <row r="101" ht="15.75" customHeight="1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</row>
    <row r="102" ht="15.75" customHeight="1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  <c r="AA102" s="225"/>
    </row>
    <row r="103" ht="15.75" customHeight="1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  <c r="AA103" s="225"/>
    </row>
    <row r="104" ht="15.75" customHeight="1">
      <c r="A104" s="225"/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</row>
    <row r="105" ht="15.75" customHeight="1">
      <c r="A105" s="225"/>
      <c r="B105" s="225"/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  <c r="AA105" s="225"/>
    </row>
    <row r="106" ht="15.75" customHeight="1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</row>
    <row r="107" ht="15.75" customHeight="1">
      <c r="A107" s="225"/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  <c r="AA107" s="225"/>
    </row>
    <row r="108" ht="15.75" customHeight="1">
      <c r="A108" s="225"/>
      <c r="B108" s="225"/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</row>
    <row r="109" ht="15.75" customHeight="1">
      <c r="A109" s="225"/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  <c r="AA109" s="225"/>
    </row>
    <row r="110" ht="15.75" customHeight="1">
      <c r="A110" s="225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</row>
    <row r="111" ht="15.75" customHeight="1">
      <c r="A111" s="225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/>
    </row>
    <row r="112" ht="15.75" customHeight="1">
      <c r="A112" s="225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</row>
    <row r="113" ht="15.75" customHeight="1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</row>
    <row r="114" ht="15.75" customHeight="1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  <c r="AA114" s="225"/>
    </row>
    <row r="115" ht="15.75" customHeight="1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</row>
    <row r="116" ht="15.75" customHeight="1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  <c r="AA116" s="225"/>
    </row>
    <row r="117" ht="15.75" customHeight="1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</row>
    <row r="118" ht="15.75" customHeight="1">
      <c r="A118" s="225"/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  <c r="AA118" s="225"/>
    </row>
    <row r="119" ht="15.75" customHeight="1">
      <c r="A119" s="225"/>
      <c r="B119" s="225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  <c r="AA119" s="225"/>
    </row>
    <row r="120" ht="15.75" customHeight="1">
      <c r="A120" s="225"/>
      <c r="B120" s="225"/>
      <c r="C120" s="225"/>
      <c r="D120" s="225"/>
      <c r="E120" s="225"/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</row>
    <row r="121" ht="15.75" customHeight="1">
      <c r="A121" s="225"/>
      <c r="B121" s="225"/>
      <c r="C121" s="225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  <c r="AA121" s="225"/>
    </row>
    <row r="122" ht="15.75" customHeight="1">
      <c r="A122" s="225"/>
      <c r="B122" s="225"/>
      <c r="C122" s="225"/>
      <c r="D122" s="225"/>
      <c r="E122" s="225"/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  <c r="AA122" s="225"/>
    </row>
    <row r="123" ht="15.75" customHeight="1">
      <c r="A123" s="225"/>
      <c r="B123" s="225"/>
      <c r="C123" s="225"/>
      <c r="D123" s="225"/>
      <c r="E123" s="225"/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</row>
    <row r="124" ht="15.75" customHeight="1">
      <c r="A124" s="225"/>
      <c r="B124" s="225"/>
      <c r="C124" s="225"/>
      <c r="D124" s="225"/>
      <c r="E124" s="225"/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  <c r="AA124" s="225"/>
    </row>
    <row r="125" ht="15.75" customHeight="1">
      <c r="A125" s="225"/>
      <c r="B125" s="225"/>
      <c r="C125" s="225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</row>
    <row r="126" ht="15.75" customHeight="1">
      <c r="A126" s="225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</row>
    <row r="127" ht="15.75" customHeight="1">
      <c r="A127" s="225"/>
      <c r="B127" s="225"/>
      <c r="C127" s="225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</row>
    <row r="128" ht="15.75" customHeight="1">
      <c r="A128" s="225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</row>
    <row r="129" ht="15.75" customHeight="1">
      <c r="A129" s="225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</row>
    <row r="130" ht="15.75" customHeight="1">
      <c r="A130" s="225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</row>
    <row r="131" ht="15.75" customHeight="1">
      <c r="A131" s="225"/>
      <c r="B131" s="225"/>
      <c r="C131" s="225"/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</row>
    <row r="132" ht="15.75" customHeight="1">
      <c r="A132" s="225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  <c r="AA132" s="225"/>
    </row>
    <row r="133" ht="15.75" customHeight="1">
      <c r="A133" s="225"/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</row>
    <row r="134" ht="15.75" customHeight="1">
      <c r="A134" s="225"/>
      <c r="B134" s="225"/>
      <c r="C134" s="225"/>
      <c r="D134" s="225"/>
      <c r="E134" s="225"/>
      <c r="F134" s="22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  <c r="AA134" s="225"/>
    </row>
    <row r="135" ht="15.75" customHeight="1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</row>
    <row r="136" ht="15.75" customHeight="1">
      <c r="A136" s="225"/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  <c r="AA136" s="225"/>
    </row>
    <row r="137" ht="15.75" customHeight="1">
      <c r="A137" s="225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  <c r="AA137" s="225"/>
    </row>
    <row r="138" ht="15.75" customHeight="1">
      <c r="A138" s="225"/>
      <c r="B138" s="225"/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  <c r="AA138" s="225"/>
    </row>
    <row r="139" ht="15.75" customHeight="1">
      <c r="A139" s="225"/>
      <c r="B139" s="225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5"/>
    </row>
    <row r="140" ht="15.75" customHeight="1">
      <c r="A140" s="225"/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  <c r="AA140" s="225"/>
    </row>
    <row r="141" ht="15.75" customHeight="1">
      <c r="A141" s="225"/>
      <c r="B141" s="225"/>
      <c r="C141" s="225"/>
      <c r="D141" s="225"/>
      <c r="E141" s="225"/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  <c r="AA141" s="225"/>
    </row>
    <row r="142" ht="15.75" customHeight="1">
      <c r="A142" s="225"/>
      <c r="B142" s="225"/>
      <c r="C142" s="225"/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  <c r="AA142" s="225"/>
    </row>
    <row r="143" ht="15.75" customHeight="1">
      <c r="A143" s="225"/>
      <c r="B143" s="225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</row>
    <row r="144" ht="15.75" customHeight="1">
      <c r="A144" s="225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</row>
    <row r="145" ht="15.75" customHeight="1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</row>
    <row r="146" ht="15.75" customHeight="1">
      <c r="A146" s="225"/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</row>
    <row r="147" ht="15.75" customHeight="1">
      <c r="A147" s="225"/>
      <c r="B147" s="225"/>
      <c r="C147" s="225"/>
      <c r="D147" s="225"/>
      <c r="E147" s="225"/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</row>
    <row r="148" ht="15.75" customHeight="1">
      <c r="A148" s="225"/>
      <c r="B148" s="225"/>
      <c r="C148" s="225"/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</row>
    <row r="149" ht="15.75" customHeight="1">
      <c r="A149" s="225"/>
      <c r="B149" s="225"/>
      <c r="C149" s="225"/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</row>
    <row r="150" ht="15.75" customHeight="1">
      <c r="A150" s="225"/>
      <c r="B150" s="225"/>
      <c r="C150" s="225"/>
      <c r="D150" s="225"/>
      <c r="E150" s="225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</row>
    <row r="151" ht="15.75" customHeight="1">
      <c r="A151" s="225"/>
      <c r="B151" s="225"/>
      <c r="C151" s="225"/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</row>
    <row r="152" ht="15.75" customHeight="1">
      <c r="A152" s="225"/>
      <c r="B152" s="225"/>
      <c r="C152" s="225"/>
      <c r="D152" s="225"/>
      <c r="E152" s="225"/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  <c r="AA152" s="225"/>
    </row>
    <row r="153" ht="15.75" customHeight="1">
      <c r="A153" s="225"/>
      <c r="B153" s="225"/>
      <c r="C153" s="225"/>
      <c r="D153" s="225"/>
      <c r="E153" s="225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</row>
    <row r="154" ht="15.75" customHeight="1">
      <c r="A154" s="225"/>
      <c r="B154" s="225"/>
      <c r="C154" s="225"/>
      <c r="D154" s="225"/>
      <c r="E154" s="225"/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</row>
    <row r="155" ht="15.75" customHeight="1">
      <c r="A155" s="225"/>
      <c r="B155" s="225"/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</row>
    <row r="156" ht="15.75" customHeight="1">
      <c r="A156" s="225"/>
      <c r="B156" s="225"/>
      <c r="C156" s="225"/>
      <c r="D156" s="225"/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25"/>
    </row>
    <row r="157" ht="15.75" customHeight="1">
      <c r="A157" s="225"/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25"/>
    </row>
    <row r="158" ht="15.75" customHeight="1">
      <c r="A158" s="225"/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</row>
    <row r="159" ht="15.75" customHeight="1">
      <c r="A159" s="225"/>
      <c r="B159" s="225"/>
      <c r="C159" s="225"/>
      <c r="D159" s="225"/>
      <c r="E159" s="225"/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</row>
    <row r="160" ht="15.75" customHeight="1">
      <c r="A160" s="225"/>
      <c r="B160" s="225"/>
      <c r="C160" s="225"/>
      <c r="D160" s="225"/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</row>
    <row r="161" ht="15.75" customHeight="1">
      <c r="A161" s="225"/>
      <c r="B161" s="225"/>
      <c r="C161" s="225"/>
      <c r="D161" s="225"/>
      <c r="E161" s="225"/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</row>
    <row r="162" ht="15.75" customHeight="1">
      <c r="A162" s="225"/>
      <c r="B162" s="225"/>
      <c r="C162" s="225"/>
      <c r="D162" s="225"/>
      <c r="E162" s="225"/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  <c r="AA162" s="225"/>
    </row>
    <row r="163" ht="15.75" customHeight="1">
      <c r="A163" s="225"/>
      <c r="B163" s="225"/>
      <c r="C163" s="225"/>
      <c r="D163" s="225"/>
      <c r="E163" s="225"/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</row>
    <row r="164" ht="15.75" customHeight="1">
      <c r="A164" s="225"/>
      <c r="B164" s="225"/>
      <c r="C164" s="225"/>
      <c r="D164" s="225"/>
      <c r="E164" s="225"/>
      <c r="F164" s="22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  <c r="AA164" s="225"/>
    </row>
    <row r="165" ht="15.75" customHeight="1">
      <c r="A165" s="225"/>
      <c r="B165" s="225"/>
      <c r="C165" s="225"/>
      <c r="D165" s="225"/>
      <c r="E165" s="225"/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</row>
    <row r="166" ht="15.75" customHeight="1">
      <c r="A166" s="225"/>
      <c r="B166" s="225"/>
      <c r="C166" s="225"/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</row>
    <row r="167" ht="15.75" customHeight="1">
      <c r="A167" s="225"/>
      <c r="B167" s="225"/>
      <c r="C167" s="225"/>
      <c r="D167" s="225"/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</row>
    <row r="168" ht="15.75" customHeight="1">
      <c r="A168" s="225"/>
      <c r="B168" s="225"/>
      <c r="C168" s="225"/>
      <c r="D168" s="225"/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</row>
    <row r="169" ht="15.75" customHeight="1">
      <c r="A169" s="225"/>
      <c r="B169" s="225"/>
      <c r="C169" s="225"/>
      <c r="D169" s="225"/>
      <c r="E169" s="225"/>
      <c r="F169" s="22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</row>
    <row r="170" ht="15.75" customHeight="1">
      <c r="A170" s="225"/>
      <c r="B170" s="225"/>
      <c r="C170" s="225"/>
      <c r="D170" s="225"/>
      <c r="E170" s="225"/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</row>
    <row r="171" ht="15.75" customHeight="1">
      <c r="A171" s="225"/>
      <c r="B171" s="225"/>
      <c r="C171" s="225"/>
      <c r="D171" s="225"/>
      <c r="E171" s="225"/>
      <c r="F171" s="22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</row>
    <row r="172" ht="15.75" customHeight="1">
      <c r="A172" s="225"/>
      <c r="B172" s="225"/>
      <c r="C172" s="225"/>
      <c r="D172" s="225"/>
      <c r="E172" s="225"/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</row>
    <row r="173" ht="15.75" customHeight="1">
      <c r="A173" s="225"/>
      <c r="B173" s="225"/>
      <c r="C173" s="225"/>
      <c r="D173" s="225"/>
      <c r="E173" s="225"/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</row>
    <row r="174" ht="15.75" customHeight="1">
      <c r="A174" s="225"/>
      <c r="B174" s="225"/>
      <c r="C174" s="225"/>
      <c r="D174" s="225"/>
      <c r="E174" s="225"/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  <c r="AA174" s="225"/>
    </row>
    <row r="175" ht="15.75" customHeight="1">
      <c r="A175" s="225"/>
      <c r="B175" s="225"/>
      <c r="C175" s="225"/>
      <c r="D175" s="225"/>
      <c r="E175" s="225"/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</row>
    <row r="176" ht="15.75" customHeight="1">
      <c r="A176" s="225"/>
      <c r="B176" s="225"/>
      <c r="C176" s="225"/>
      <c r="D176" s="225"/>
      <c r="E176" s="225"/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</row>
    <row r="177" ht="15.75" customHeight="1">
      <c r="A177" s="225"/>
      <c r="B177" s="225"/>
      <c r="C177" s="225"/>
      <c r="D177" s="225"/>
      <c r="E177" s="225"/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</row>
    <row r="178" ht="15.75" customHeight="1">
      <c r="A178" s="225"/>
      <c r="B178" s="225"/>
      <c r="C178" s="225"/>
      <c r="D178" s="225"/>
      <c r="E178" s="225"/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</row>
    <row r="179" ht="15.75" customHeight="1">
      <c r="A179" s="225"/>
      <c r="B179" s="225"/>
      <c r="C179" s="225"/>
      <c r="D179" s="225"/>
      <c r="E179" s="225"/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</row>
    <row r="180" ht="15.75" customHeight="1">
      <c r="A180" s="225"/>
      <c r="B180" s="225"/>
      <c r="C180" s="225"/>
      <c r="D180" s="225"/>
      <c r="E180" s="225"/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</row>
    <row r="181" ht="15.75" customHeight="1">
      <c r="A181" s="225"/>
      <c r="B181" s="225"/>
      <c r="C181" s="225"/>
      <c r="D181" s="225"/>
      <c r="E181" s="225"/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</row>
    <row r="182" ht="15.75" customHeight="1">
      <c r="A182" s="225"/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</row>
    <row r="183" ht="15.75" customHeight="1">
      <c r="A183" s="225"/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</row>
    <row r="184" ht="15.75" customHeight="1">
      <c r="A184" s="225"/>
      <c r="B184" s="225"/>
      <c r="C184" s="225"/>
      <c r="D184" s="225"/>
      <c r="E184" s="225"/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</row>
    <row r="185" ht="15.75" customHeight="1">
      <c r="A185" s="225"/>
      <c r="B185" s="225"/>
      <c r="C185" s="225"/>
      <c r="D185" s="225"/>
      <c r="E185" s="225"/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</row>
    <row r="186" ht="15.75" customHeight="1">
      <c r="A186" s="225"/>
      <c r="B186" s="225"/>
      <c r="C186" s="225"/>
      <c r="D186" s="225"/>
      <c r="E186" s="225"/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</row>
    <row r="187" ht="15.75" customHeight="1">
      <c r="A187" s="225"/>
      <c r="B187" s="225"/>
      <c r="C187" s="225"/>
      <c r="D187" s="225"/>
      <c r="E187" s="225"/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</row>
    <row r="188" ht="15.75" customHeight="1">
      <c r="A188" s="225"/>
      <c r="B188" s="225"/>
      <c r="C188" s="225"/>
      <c r="D188" s="225"/>
      <c r="E188" s="225"/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</row>
    <row r="189" ht="15.75" customHeight="1">
      <c r="A189" s="225"/>
      <c r="B189" s="225"/>
      <c r="C189" s="225"/>
      <c r="D189" s="225"/>
      <c r="E189" s="225"/>
      <c r="F189" s="22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</row>
    <row r="190" ht="15.75" customHeight="1">
      <c r="A190" s="225"/>
      <c r="B190" s="225"/>
      <c r="C190" s="225"/>
      <c r="D190" s="225"/>
      <c r="E190" s="225"/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</row>
    <row r="191" ht="15.75" customHeight="1">
      <c r="A191" s="225"/>
      <c r="B191" s="225"/>
      <c r="C191" s="225"/>
      <c r="D191" s="225"/>
      <c r="E191" s="225"/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</row>
    <row r="192" ht="15.75" customHeight="1">
      <c r="A192" s="225"/>
      <c r="B192" s="225"/>
      <c r="C192" s="225"/>
      <c r="D192" s="225"/>
      <c r="E192" s="225"/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  <c r="AA192" s="225"/>
    </row>
    <row r="193" ht="15.75" customHeight="1">
      <c r="A193" s="225"/>
      <c r="B193" s="225"/>
      <c r="C193" s="225"/>
      <c r="D193" s="225"/>
      <c r="E193" s="225"/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</row>
    <row r="194" ht="15.75" customHeight="1">
      <c r="A194" s="225"/>
      <c r="B194" s="225"/>
      <c r="C194" s="225"/>
      <c r="D194" s="225"/>
      <c r="E194" s="225"/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</row>
    <row r="195" ht="15.75" customHeight="1">
      <c r="A195" s="225"/>
      <c r="B195" s="225"/>
      <c r="C195" s="225"/>
      <c r="D195" s="225"/>
      <c r="E195" s="225"/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</row>
    <row r="196" ht="15.75" customHeight="1">
      <c r="A196" s="225"/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  <c r="AA196" s="225"/>
    </row>
    <row r="197" ht="15.75" customHeight="1">
      <c r="A197" s="225"/>
      <c r="B197" s="225"/>
      <c r="C197" s="225"/>
      <c r="D197" s="225"/>
      <c r="E197" s="225"/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  <c r="AA197" s="225"/>
    </row>
    <row r="198" ht="15.75" customHeight="1">
      <c r="A198" s="225"/>
      <c r="B198" s="225"/>
      <c r="C198" s="225"/>
      <c r="D198" s="225"/>
      <c r="E198" s="225"/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  <c r="AA198" s="225"/>
    </row>
    <row r="199" ht="15.75" customHeight="1">
      <c r="A199" s="225"/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</row>
    <row r="200" ht="15.75" customHeight="1">
      <c r="A200" s="225"/>
      <c r="B200" s="225"/>
      <c r="C200" s="225"/>
      <c r="D200" s="225"/>
      <c r="E200" s="225"/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  <c r="AA200" s="225"/>
    </row>
    <row r="201" ht="15.75" customHeight="1">
      <c r="A201" s="225"/>
      <c r="B201" s="225"/>
      <c r="C201" s="225"/>
      <c r="D201" s="225"/>
      <c r="E201" s="225"/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  <c r="AA201" s="225"/>
    </row>
    <row r="202" ht="15.75" customHeight="1">
      <c r="A202" s="225"/>
      <c r="B202" s="225"/>
      <c r="C202" s="225"/>
      <c r="D202" s="225"/>
      <c r="E202" s="225"/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  <c r="AA202" s="225"/>
    </row>
    <row r="203" ht="15.75" customHeight="1">
      <c r="A203" s="225"/>
      <c r="B203" s="225"/>
      <c r="C203" s="225"/>
      <c r="D203" s="225"/>
      <c r="E203" s="225"/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  <c r="AA203" s="225"/>
    </row>
    <row r="204" ht="15.75" customHeight="1">
      <c r="A204" s="225"/>
      <c r="B204" s="225"/>
      <c r="C204" s="225"/>
      <c r="D204" s="225"/>
      <c r="E204" s="225"/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  <c r="AA204" s="225"/>
    </row>
    <row r="205" ht="15.75" customHeight="1">
      <c r="A205" s="225"/>
      <c r="B205" s="225"/>
      <c r="C205" s="225"/>
      <c r="D205" s="225"/>
      <c r="E205" s="225"/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  <c r="AA205" s="225"/>
    </row>
    <row r="206" ht="15.75" customHeight="1">
      <c r="A206" s="225"/>
      <c r="B206" s="225"/>
      <c r="C206" s="225"/>
      <c r="D206" s="225"/>
      <c r="E206" s="225"/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  <c r="AA206" s="225"/>
    </row>
    <row r="207" ht="15.75" customHeight="1">
      <c r="A207" s="225"/>
      <c r="B207" s="225"/>
      <c r="C207" s="225"/>
      <c r="D207" s="225"/>
      <c r="E207" s="225"/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  <c r="AA207" s="225"/>
    </row>
    <row r="208" ht="15.75" customHeight="1">
      <c r="A208" s="225"/>
      <c r="B208" s="225"/>
      <c r="C208" s="225"/>
      <c r="D208" s="225"/>
      <c r="E208" s="225"/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  <c r="AA208" s="225"/>
    </row>
    <row r="209" ht="15.75" customHeight="1">
      <c r="A209" s="225"/>
      <c r="B209" s="225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</row>
    <row r="210" ht="15.75" customHeight="1">
      <c r="A210" s="225"/>
      <c r="B210" s="225"/>
      <c r="C210" s="225"/>
      <c r="D210" s="225"/>
      <c r="E210" s="225"/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  <c r="AA210" s="225"/>
    </row>
    <row r="211" ht="15.75" customHeight="1">
      <c r="A211" s="225"/>
      <c r="B211" s="225"/>
      <c r="C211" s="225"/>
      <c r="D211" s="225"/>
      <c r="E211" s="225"/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  <c r="AA211" s="225"/>
    </row>
    <row r="212" ht="15.75" customHeight="1">
      <c r="A212" s="225"/>
      <c r="B212" s="225"/>
      <c r="C212" s="225"/>
      <c r="D212" s="225"/>
      <c r="E212" s="225"/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  <c r="AA212" s="225"/>
    </row>
    <row r="213" ht="15.75" customHeight="1">
      <c r="A213" s="225"/>
      <c r="B213" s="225"/>
      <c r="C213" s="225"/>
      <c r="D213" s="225"/>
      <c r="E213" s="225"/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225"/>
    </row>
    <row r="214" ht="15.75" customHeight="1">
      <c r="A214" s="225"/>
      <c r="B214" s="225"/>
      <c r="C214" s="225"/>
      <c r="D214" s="225"/>
      <c r="E214" s="225"/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225"/>
    </row>
    <row r="215" ht="15.75" customHeight="1">
      <c r="A215" s="225"/>
      <c r="B215" s="225"/>
      <c r="C215" s="225"/>
      <c r="D215" s="225"/>
      <c r="E215" s="225"/>
      <c r="F215" s="22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  <c r="AA215" s="225"/>
    </row>
    <row r="216" ht="15.75" customHeight="1">
      <c r="A216" s="225"/>
      <c r="B216" s="225"/>
      <c r="C216" s="225"/>
      <c r="D216" s="225"/>
      <c r="E216" s="225"/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  <c r="AA216" s="225"/>
    </row>
    <row r="217" ht="15.75" customHeight="1">
      <c r="A217" s="225"/>
      <c r="B217" s="225"/>
      <c r="C217" s="225"/>
      <c r="D217" s="225"/>
      <c r="E217" s="225"/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  <c r="AA217" s="225"/>
    </row>
    <row r="218" ht="15.75" customHeight="1">
      <c r="A218" s="225"/>
      <c r="B218" s="225"/>
      <c r="C218" s="225"/>
      <c r="D218" s="225"/>
      <c r="E218" s="225"/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  <c r="AA218" s="225"/>
    </row>
    <row r="219" ht="15.75" customHeight="1">
      <c r="A219" s="225"/>
      <c r="B219" s="225"/>
      <c r="C219" s="225"/>
      <c r="D219" s="225"/>
      <c r="E219" s="225"/>
      <c r="F219" s="22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  <c r="AA219" s="225"/>
    </row>
    <row r="220" ht="15.75" customHeight="1">
      <c r="A220" s="225"/>
      <c r="B220" s="225"/>
      <c r="C220" s="225"/>
      <c r="D220" s="225"/>
      <c r="E220" s="225"/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  <c r="AA220" s="225"/>
    </row>
    <row r="221" ht="15.75" customHeight="1">
      <c r="A221" s="225"/>
      <c r="B221" s="225"/>
      <c r="C221" s="225"/>
      <c r="D221" s="225"/>
      <c r="E221" s="225"/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  <c r="AA221" s="225"/>
    </row>
    <row r="222" ht="15.75" customHeight="1">
      <c r="A222" s="225"/>
      <c r="B222" s="225"/>
      <c r="C222" s="225"/>
      <c r="D222" s="225"/>
      <c r="E222" s="225"/>
      <c r="F222" s="22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  <c r="AA222" s="225"/>
    </row>
    <row r="223" ht="15.75" customHeight="1">
      <c r="A223" s="225"/>
      <c r="B223" s="225"/>
      <c r="C223" s="225"/>
      <c r="D223" s="225"/>
      <c r="E223" s="225"/>
      <c r="F223" s="22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  <c r="AA223" s="225"/>
    </row>
    <row r="224" ht="15.75" customHeight="1">
      <c r="A224" s="225"/>
      <c r="B224" s="225"/>
      <c r="C224" s="225"/>
      <c r="D224" s="225"/>
      <c r="E224" s="225"/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  <c r="AA224" s="225"/>
    </row>
    <row r="225" ht="15.75" customHeight="1">
      <c r="A225" s="225"/>
      <c r="B225" s="225"/>
      <c r="C225" s="225"/>
      <c r="D225" s="225"/>
      <c r="E225" s="225"/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  <c r="AA225" s="225"/>
    </row>
    <row r="226" ht="15.75" customHeight="1">
      <c r="A226" s="225"/>
      <c r="B226" s="225"/>
      <c r="C226" s="225"/>
      <c r="D226" s="225"/>
      <c r="E226" s="225"/>
      <c r="F226" s="22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  <c r="AA226" s="225"/>
    </row>
    <row r="227" ht="15.75" customHeight="1">
      <c r="A227" s="225"/>
      <c r="B227" s="225"/>
      <c r="C227" s="225"/>
      <c r="D227" s="225"/>
      <c r="E227" s="225"/>
      <c r="F227" s="22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  <c r="AA227" s="225"/>
    </row>
    <row r="228" ht="15.75" customHeight="1">
      <c r="A228" s="225"/>
      <c r="B228" s="225"/>
      <c r="C228" s="225"/>
      <c r="D228" s="225"/>
      <c r="E228" s="225"/>
      <c r="F228" s="22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  <c r="AA228" s="225"/>
    </row>
    <row r="229" ht="15.75" customHeight="1">
      <c r="A229" s="225"/>
      <c r="B229" s="225"/>
      <c r="C229" s="225"/>
      <c r="D229" s="225"/>
      <c r="E229" s="225"/>
      <c r="F229" s="22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  <c r="AA229" s="225"/>
    </row>
    <row r="230" ht="15.75" customHeight="1">
      <c r="A230" s="225"/>
      <c r="B230" s="225"/>
      <c r="C230" s="225"/>
      <c r="D230" s="225"/>
      <c r="E230" s="225"/>
      <c r="F230" s="22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  <c r="AA230" s="225"/>
    </row>
    <row r="231" ht="15.75" customHeight="1">
      <c r="A231" s="225"/>
      <c r="B231" s="225"/>
      <c r="C231" s="225"/>
      <c r="D231" s="225"/>
      <c r="E231" s="225"/>
      <c r="F231" s="22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  <c r="AA231" s="225"/>
    </row>
    <row r="232" ht="15.75" customHeight="1">
      <c r="A232" s="225"/>
      <c r="B232" s="225"/>
      <c r="C232" s="225"/>
      <c r="D232" s="225"/>
      <c r="E232" s="225"/>
      <c r="F232" s="22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  <c r="AA232" s="225"/>
    </row>
    <row r="233" ht="15.75" customHeight="1">
      <c r="A233" s="225"/>
      <c r="B233" s="225"/>
      <c r="C233" s="225"/>
      <c r="D233" s="225"/>
      <c r="E233" s="225"/>
      <c r="F233" s="22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  <c r="AA233" s="225"/>
    </row>
    <row r="234" ht="15.75" customHeight="1">
      <c r="A234" s="225"/>
      <c r="B234" s="225"/>
      <c r="C234" s="225"/>
      <c r="D234" s="225"/>
      <c r="E234" s="225"/>
      <c r="F234" s="22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  <c r="AA234" s="225"/>
    </row>
    <row r="235" ht="15.75" customHeight="1">
      <c r="A235" s="225"/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  <c r="AA235" s="225"/>
    </row>
    <row r="236" ht="15.75" customHeight="1">
      <c r="A236" s="225"/>
      <c r="B236" s="225"/>
      <c r="C236" s="225"/>
      <c r="D236" s="225"/>
      <c r="E236" s="225"/>
      <c r="F236" s="22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  <c r="AA236" s="225"/>
    </row>
    <row r="237" ht="15.75" customHeight="1">
      <c r="A237" s="225"/>
      <c r="B237" s="225"/>
      <c r="C237" s="225"/>
      <c r="D237" s="225"/>
      <c r="E237" s="225"/>
      <c r="F237" s="22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  <c r="AA237" s="225"/>
    </row>
    <row r="238" ht="15.75" customHeight="1">
      <c r="A238" s="225"/>
      <c r="B238" s="225"/>
      <c r="C238" s="225"/>
      <c r="D238" s="225"/>
      <c r="E238" s="225"/>
      <c r="F238" s="22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  <c r="AA238" s="225"/>
    </row>
    <row r="239" ht="15.75" customHeight="1">
      <c r="A239" s="225"/>
      <c r="B239" s="225"/>
      <c r="C239" s="225"/>
      <c r="D239" s="225"/>
      <c r="E239" s="225"/>
      <c r="F239" s="22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  <c r="AA239" s="225"/>
    </row>
    <row r="240" ht="15.75" customHeight="1">
      <c r="A240" s="225"/>
      <c r="B240" s="225"/>
      <c r="C240" s="225"/>
      <c r="D240" s="225"/>
      <c r="E240" s="225"/>
      <c r="F240" s="22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  <c r="AA240" s="225"/>
    </row>
    <row r="241" ht="15.75" customHeight="1">
      <c r="A241" s="225"/>
      <c r="B241" s="225"/>
      <c r="C241" s="225"/>
      <c r="D241" s="225"/>
      <c r="E241" s="225"/>
      <c r="F241" s="22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  <c r="AA241" s="225"/>
    </row>
    <row r="242" ht="15.75" customHeight="1">
      <c r="A242" s="225"/>
      <c r="B242" s="225"/>
      <c r="C242" s="225"/>
      <c r="D242" s="225"/>
      <c r="E242" s="225"/>
      <c r="F242" s="22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  <c r="AA242" s="225"/>
    </row>
    <row r="243" ht="15.75" customHeight="1">
      <c r="A243" s="225"/>
      <c r="B243" s="225"/>
      <c r="C243" s="225"/>
      <c r="D243" s="225"/>
      <c r="E243" s="225"/>
      <c r="F243" s="22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  <c r="AA243" s="225"/>
    </row>
    <row r="244" ht="15.75" customHeight="1">
      <c r="A244" s="225"/>
      <c r="B244" s="225"/>
      <c r="C244" s="225"/>
      <c r="D244" s="225"/>
      <c r="E244" s="225"/>
      <c r="F244" s="22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  <c r="AA244" s="225"/>
    </row>
    <row r="245" ht="15.75" customHeight="1">
      <c r="A245" s="225"/>
      <c r="B245" s="225"/>
      <c r="C245" s="225"/>
      <c r="D245" s="225"/>
      <c r="E245" s="225"/>
      <c r="F245" s="22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  <c r="AA245" s="225"/>
    </row>
    <row r="246" ht="15.75" customHeight="1">
      <c r="A246" s="225"/>
      <c r="B246" s="225"/>
      <c r="C246" s="225"/>
      <c r="D246" s="225"/>
      <c r="E246" s="225"/>
      <c r="F246" s="22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  <c r="AA246" s="225"/>
    </row>
    <row r="247" ht="15.75" customHeight="1">
      <c r="A247" s="225"/>
      <c r="B247" s="225"/>
      <c r="C247" s="225"/>
      <c r="D247" s="225"/>
      <c r="E247" s="225"/>
      <c r="F247" s="22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  <c r="AA247" s="225"/>
    </row>
    <row r="248" ht="15.75" customHeight="1">
      <c r="A248" s="225"/>
      <c r="B248" s="225"/>
      <c r="C248" s="225"/>
      <c r="D248" s="225"/>
      <c r="E248" s="225"/>
      <c r="F248" s="22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  <c r="AA248" s="225"/>
    </row>
    <row r="249" ht="15.75" customHeight="1">
      <c r="A249" s="225"/>
      <c r="B249" s="225"/>
      <c r="C249" s="225"/>
      <c r="D249" s="225"/>
      <c r="E249" s="225"/>
      <c r="F249" s="22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  <c r="AA249" s="225"/>
    </row>
    <row r="250" ht="15.75" customHeight="1">
      <c r="A250" s="225"/>
      <c r="B250" s="225"/>
      <c r="C250" s="225"/>
      <c r="D250" s="225"/>
      <c r="E250" s="225"/>
      <c r="F250" s="22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  <c r="AA250" s="225"/>
    </row>
    <row r="251" ht="15.75" customHeight="1">
      <c r="A251" s="225"/>
      <c r="B251" s="225"/>
      <c r="C251" s="225"/>
      <c r="D251" s="225"/>
      <c r="E251" s="225"/>
      <c r="F251" s="22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  <c r="AA251" s="225"/>
    </row>
    <row r="252" ht="15.75" customHeight="1">
      <c r="A252" s="225"/>
      <c r="B252" s="225"/>
      <c r="C252" s="225"/>
      <c r="D252" s="225"/>
      <c r="E252" s="225"/>
      <c r="F252" s="22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  <c r="AA252" s="225"/>
    </row>
    <row r="253" ht="15.75" customHeight="1">
      <c r="A253" s="225"/>
      <c r="B253" s="225"/>
      <c r="C253" s="225"/>
      <c r="D253" s="225"/>
      <c r="E253" s="225"/>
      <c r="F253" s="22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  <c r="AA253" s="225"/>
    </row>
    <row r="254" ht="15.75" customHeight="1">
      <c r="A254" s="225"/>
      <c r="B254" s="225"/>
      <c r="C254" s="225"/>
      <c r="D254" s="225"/>
      <c r="E254" s="225"/>
      <c r="F254" s="22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  <c r="AA254" s="225"/>
    </row>
    <row r="255" ht="15.75" customHeight="1">
      <c r="A255" s="225"/>
      <c r="B255" s="225"/>
      <c r="C255" s="225"/>
      <c r="D255" s="225"/>
      <c r="E255" s="225"/>
      <c r="F255" s="22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  <c r="AA255" s="225"/>
    </row>
    <row r="256" ht="15.75" customHeight="1">
      <c r="A256" s="225"/>
      <c r="B256" s="225"/>
      <c r="C256" s="225"/>
      <c r="D256" s="225"/>
      <c r="E256" s="225"/>
      <c r="F256" s="22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  <c r="AA256" s="225"/>
    </row>
    <row r="257" ht="15.75" customHeight="1">
      <c r="A257" s="225"/>
      <c r="B257" s="225"/>
      <c r="C257" s="225"/>
      <c r="D257" s="225"/>
      <c r="E257" s="225"/>
      <c r="F257" s="22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  <c r="AA257" s="225"/>
    </row>
    <row r="258" ht="15.75" customHeight="1">
      <c r="A258" s="225"/>
      <c r="B258" s="225"/>
      <c r="C258" s="225"/>
      <c r="D258" s="225"/>
      <c r="E258" s="225"/>
      <c r="F258" s="22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  <c r="AA258" s="225"/>
    </row>
    <row r="259" ht="15.75" customHeight="1">
      <c r="A259" s="225"/>
      <c r="B259" s="225"/>
      <c r="C259" s="225"/>
      <c r="D259" s="225"/>
      <c r="E259" s="225"/>
      <c r="F259" s="22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  <c r="AA259" s="225"/>
    </row>
    <row r="260" ht="15.75" customHeight="1">
      <c r="A260" s="225"/>
      <c r="B260" s="225"/>
      <c r="C260" s="225"/>
      <c r="D260" s="225"/>
      <c r="E260" s="225"/>
      <c r="F260" s="22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  <c r="AA260" s="225"/>
    </row>
    <row r="261" ht="15.75" customHeight="1">
      <c r="A261" s="225"/>
      <c r="B261" s="225"/>
      <c r="C261" s="225"/>
      <c r="D261" s="225"/>
      <c r="E261" s="225"/>
      <c r="F261" s="22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  <c r="AA261" s="225"/>
    </row>
    <row r="262" ht="15.75" customHeight="1">
      <c r="A262" s="225"/>
      <c r="B262" s="225"/>
      <c r="C262" s="225"/>
      <c r="D262" s="225"/>
      <c r="E262" s="225"/>
      <c r="F262" s="22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  <c r="AA262" s="225"/>
    </row>
    <row r="263" ht="15.75" customHeight="1">
      <c r="A263" s="225"/>
      <c r="B263" s="225"/>
      <c r="C263" s="225"/>
      <c r="D263" s="225"/>
      <c r="E263" s="225"/>
      <c r="F263" s="22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  <c r="AA263" s="225"/>
    </row>
    <row r="264" ht="15.75" customHeight="1">
      <c r="A264" s="225"/>
      <c r="B264" s="225"/>
      <c r="C264" s="225"/>
      <c r="D264" s="225"/>
      <c r="E264" s="225"/>
      <c r="F264" s="22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  <c r="AA264" s="225"/>
    </row>
    <row r="265" ht="15.75" customHeight="1">
      <c r="A265" s="225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  <c r="AA265" s="225"/>
    </row>
    <row r="266" ht="15.75" customHeight="1">
      <c r="A266" s="225"/>
      <c r="B266" s="225"/>
      <c r="C266" s="225"/>
      <c r="D266" s="225"/>
      <c r="E266" s="225"/>
      <c r="F266" s="22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  <c r="AA266" s="225"/>
    </row>
    <row r="267" ht="15.75" customHeight="1">
      <c r="A267" s="225"/>
      <c r="B267" s="225"/>
      <c r="C267" s="225"/>
      <c r="D267" s="225"/>
      <c r="E267" s="225"/>
      <c r="F267" s="22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  <c r="AA267" s="225"/>
    </row>
    <row r="268" ht="15.75" customHeight="1">
      <c r="A268" s="225"/>
      <c r="B268" s="225"/>
      <c r="C268" s="225"/>
      <c r="D268" s="225"/>
      <c r="E268" s="225"/>
      <c r="F268" s="22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  <c r="AA268" s="225"/>
    </row>
    <row r="269" ht="15.75" customHeight="1">
      <c r="A269" s="225"/>
      <c r="B269" s="225"/>
      <c r="C269" s="225"/>
      <c r="D269" s="225"/>
      <c r="E269" s="225"/>
      <c r="F269" s="22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  <c r="AA269" s="225"/>
    </row>
    <row r="270" ht="15.75" customHeight="1">
      <c r="A270" s="225"/>
      <c r="B270" s="225"/>
      <c r="C270" s="225"/>
      <c r="D270" s="225"/>
      <c r="E270" s="225"/>
      <c r="F270" s="22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  <c r="AA270" s="225"/>
    </row>
    <row r="271" ht="15.75" customHeight="1">
      <c r="A271" s="225"/>
      <c r="B271" s="225"/>
      <c r="C271" s="225"/>
      <c r="D271" s="225"/>
      <c r="E271" s="225"/>
      <c r="F271" s="22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  <c r="AA271" s="225"/>
    </row>
    <row r="272" ht="15.75" customHeight="1">
      <c r="A272" s="225"/>
      <c r="B272" s="225"/>
      <c r="C272" s="225"/>
      <c r="D272" s="225"/>
      <c r="E272" s="225"/>
      <c r="F272" s="22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  <c r="AA272" s="225"/>
    </row>
    <row r="273" ht="15.75" customHeight="1">
      <c r="A273" s="225"/>
      <c r="B273" s="225"/>
      <c r="C273" s="225"/>
      <c r="D273" s="225"/>
      <c r="E273" s="225"/>
      <c r="F273" s="22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  <c r="AA273" s="225"/>
    </row>
    <row r="274" ht="15.75" customHeight="1">
      <c r="A274" s="225"/>
      <c r="B274" s="225"/>
      <c r="C274" s="225"/>
      <c r="D274" s="225"/>
      <c r="E274" s="225"/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  <c r="AA274" s="225"/>
    </row>
    <row r="275" ht="15.75" customHeight="1">
      <c r="A275" s="225"/>
      <c r="B275" s="225"/>
      <c r="C275" s="225"/>
      <c r="D275" s="225"/>
      <c r="E275" s="225"/>
      <c r="F275" s="22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  <c r="AA275" s="225"/>
    </row>
    <row r="276" ht="15.75" customHeight="1">
      <c r="A276" s="225"/>
      <c r="B276" s="225"/>
      <c r="C276" s="225"/>
      <c r="D276" s="225"/>
      <c r="E276" s="225"/>
      <c r="F276" s="22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  <c r="AA276" s="225"/>
    </row>
    <row r="277" ht="15.75" customHeight="1">
      <c r="A277" s="225"/>
      <c r="B277" s="225"/>
      <c r="C277" s="225"/>
      <c r="D277" s="225"/>
      <c r="E277" s="225"/>
      <c r="F277" s="22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  <c r="AA277" s="225"/>
    </row>
    <row r="278" ht="15.75" customHeight="1">
      <c r="A278" s="225"/>
      <c r="B278" s="225"/>
      <c r="C278" s="225"/>
      <c r="D278" s="225"/>
      <c r="E278" s="225"/>
      <c r="F278" s="22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  <c r="AA278" s="225"/>
    </row>
    <row r="279" ht="15.75" customHeight="1">
      <c r="A279" s="225"/>
      <c r="B279" s="225"/>
      <c r="C279" s="225"/>
      <c r="D279" s="225"/>
      <c r="E279" s="225"/>
      <c r="F279" s="22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  <c r="AA279" s="225"/>
    </row>
    <row r="280" ht="15.75" customHeight="1">
      <c r="A280" s="225"/>
      <c r="B280" s="225"/>
      <c r="C280" s="225"/>
      <c r="D280" s="225"/>
      <c r="E280" s="225"/>
      <c r="F280" s="22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  <c r="AA280" s="225"/>
    </row>
    <row r="281" ht="15.75" customHeight="1">
      <c r="A281" s="225"/>
      <c r="B281" s="225"/>
      <c r="C281" s="225"/>
      <c r="D281" s="225"/>
      <c r="E281" s="225"/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  <c r="AA281" s="225"/>
    </row>
    <row r="282" ht="15.75" customHeight="1">
      <c r="A282" s="225"/>
      <c r="B282" s="225"/>
      <c r="C282" s="225"/>
      <c r="D282" s="225"/>
      <c r="E282" s="225"/>
      <c r="F282" s="22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  <c r="AA282" s="225"/>
    </row>
    <row r="283" ht="15.75" customHeight="1">
      <c r="A283" s="225"/>
      <c r="B283" s="225"/>
      <c r="C283" s="225"/>
      <c r="D283" s="225"/>
      <c r="E283" s="225"/>
      <c r="F283" s="22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  <c r="AA283" s="225"/>
    </row>
    <row r="284" ht="15.75" customHeight="1">
      <c r="A284" s="225"/>
      <c r="B284" s="225"/>
      <c r="C284" s="225"/>
      <c r="D284" s="225"/>
      <c r="E284" s="225"/>
      <c r="F284" s="22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  <c r="AA284" s="225"/>
    </row>
    <row r="285" ht="15.75" customHeight="1">
      <c r="A285" s="225"/>
      <c r="B285" s="225"/>
      <c r="C285" s="225"/>
      <c r="D285" s="225"/>
      <c r="E285" s="225"/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  <c r="AA285" s="225"/>
    </row>
    <row r="286" ht="15.75" customHeight="1">
      <c r="A286" s="225"/>
      <c r="B286" s="225"/>
      <c r="C286" s="225"/>
      <c r="D286" s="225"/>
      <c r="E286" s="225"/>
      <c r="F286" s="22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  <c r="AA286" s="225"/>
    </row>
    <row r="287" ht="15.75" customHeight="1">
      <c r="A287" s="225"/>
      <c r="B287" s="225"/>
      <c r="C287" s="225"/>
      <c r="D287" s="225"/>
      <c r="E287" s="225"/>
      <c r="F287" s="22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  <c r="AA287" s="225"/>
    </row>
    <row r="288" ht="15.75" customHeight="1">
      <c r="A288" s="225"/>
      <c r="B288" s="225"/>
      <c r="C288" s="225"/>
      <c r="D288" s="225"/>
      <c r="E288" s="225"/>
      <c r="F288" s="22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  <c r="AA288" s="225"/>
    </row>
    <row r="289" ht="15.75" customHeight="1">
      <c r="A289" s="225"/>
      <c r="B289" s="225"/>
      <c r="C289" s="225"/>
      <c r="D289" s="225"/>
      <c r="E289" s="225"/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  <c r="AA289" s="225"/>
    </row>
    <row r="290" ht="15.75" customHeight="1">
      <c r="A290" s="225"/>
      <c r="B290" s="225"/>
      <c r="C290" s="225"/>
      <c r="D290" s="225"/>
      <c r="E290" s="225"/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  <c r="AA290" s="225"/>
    </row>
    <row r="291" ht="15.75" customHeight="1">
      <c r="A291" s="225"/>
      <c r="B291" s="225"/>
      <c r="C291" s="225"/>
      <c r="D291" s="225"/>
      <c r="E291" s="225"/>
      <c r="F291" s="22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  <c r="AA291" s="225"/>
    </row>
    <row r="292" ht="15.75" customHeight="1">
      <c r="A292" s="225"/>
      <c r="B292" s="225"/>
      <c r="C292" s="225"/>
      <c r="D292" s="225"/>
      <c r="E292" s="225"/>
      <c r="F292" s="22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  <c r="AA292" s="225"/>
    </row>
    <row r="293" ht="15.75" customHeight="1">
      <c r="A293" s="225"/>
      <c r="B293" s="225"/>
      <c r="C293" s="225"/>
      <c r="D293" s="225"/>
      <c r="E293" s="225"/>
      <c r="F293" s="22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  <c r="AA293" s="225"/>
    </row>
    <row r="294" ht="15.75" customHeight="1">
      <c r="A294" s="225"/>
      <c r="B294" s="225"/>
      <c r="C294" s="225"/>
      <c r="D294" s="225"/>
      <c r="E294" s="225"/>
      <c r="F294" s="22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  <c r="AA294" s="225"/>
    </row>
    <row r="295" ht="15.75" customHeight="1">
      <c r="A295" s="225"/>
      <c r="B295" s="225"/>
      <c r="C295" s="225"/>
      <c r="D295" s="225"/>
      <c r="E295" s="225"/>
      <c r="F295" s="22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  <c r="AA295" s="225"/>
    </row>
    <row r="296" ht="15.75" customHeight="1">
      <c r="A296" s="225"/>
      <c r="B296" s="225"/>
      <c r="C296" s="225"/>
      <c r="D296" s="225"/>
      <c r="E296" s="225"/>
      <c r="F296" s="22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  <c r="AA296" s="225"/>
    </row>
    <row r="297" ht="15.75" customHeight="1">
      <c r="A297" s="225"/>
      <c r="B297" s="225"/>
      <c r="C297" s="225"/>
      <c r="D297" s="225"/>
      <c r="E297" s="225"/>
      <c r="F297" s="22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  <c r="AA297" s="225"/>
    </row>
    <row r="298" ht="15.75" customHeight="1">
      <c r="A298" s="225"/>
      <c r="B298" s="225"/>
      <c r="C298" s="225"/>
      <c r="D298" s="225"/>
      <c r="E298" s="225"/>
      <c r="F298" s="22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  <c r="AA298" s="225"/>
    </row>
    <row r="299" ht="15.75" customHeight="1">
      <c r="A299" s="225"/>
      <c r="B299" s="225"/>
      <c r="C299" s="225"/>
      <c r="D299" s="225"/>
      <c r="E299" s="225"/>
      <c r="F299" s="22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  <c r="AA299" s="225"/>
    </row>
    <row r="300" ht="15.75" customHeight="1">
      <c r="A300" s="225"/>
      <c r="B300" s="225"/>
      <c r="C300" s="225"/>
      <c r="D300" s="225"/>
      <c r="E300" s="225"/>
      <c r="F300" s="22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  <c r="AA300" s="225"/>
    </row>
    <row r="301" ht="15.75" customHeight="1">
      <c r="A301" s="225"/>
      <c r="B301" s="225"/>
      <c r="C301" s="225"/>
      <c r="D301" s="225"/>
      <c r="E301" s="225"/>
      <c r="F301" s="22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  <c r="AA301" s="225"/>
    </row>
    <row r="302" ht="15.75" customHeight="1">
      <c r="A302" s="225"/>
      <c r="B302" s="225"/>
      <c r="C302" s="225"/>
      <c r="D302" s="225"/>
      <c r="E302" s="225"/>
      <c r="F302" s="22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  <c r="AA302" s="225"/>
    </row>
    <row r="303" ht="15.75" customHeight="1">
      <c r="A303" s="225"/>
      <c r="B303" s="225"/>
      <c r="C303" s="225"/>
      <c r="D303" s="225"/>
      <c r="E303" s="225"/>
      <c r="F303" s="22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  <c r="AA303" s="225"/>
    </row>
    <row r="304" ht="15.75" customHeight="1">
      <c r="A304" s="225"/>
      <c r="B304" s="225"/>
      <c r="C304" s="225"/>
      <c r="D304" s="225"/>
      <c r="E304" s="225"/>
      <c r="F304" s="22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  <c r="AA304" s="225"/>
    </row>
    <row r="305" ht="15.75" customHeight="1">
      <c r="A305" s="225"/>
      <c r="B305" s="225"/>
      <c r="C305" s="225"/>
      <c r="D305" s="225"/>
      <c r="E305" s="225"/>
      <c r="F305" s="22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  <c r="AA305" s="225"/>
    </row>
    <row r="306" ht="15.75" customHeight="1">
      <c r="A306" s="225"/>
      <c r="B306" s="225"/>
      <c r="C306" s="225"/>
      <c r="D306" s="225"/>
      <c r="E306" s="225"/>
      <c r="F306" s="22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  <c r="AA306" s="225"/>
    </row>
    <row r="307" ht="15.75" customHeight="1">
      <c r="A307" s="225"/>
      <c r="B307" s="225"/>
      <c r="C307" s="225"/>
      <c r="D307" s="225"/>
      <c r="E307" s="225"/>
      <c r="F307" s="22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  <c r="AA307" s="225"/>
    </row>
    <row r="308" ht="15.75" customHeight="1">
      <c r="A308" s="225"/>
      <c r="B308" s="225"/>
      <c r="C308" s="225"/>
      <c r="D308" s="225"/>
      <c r="E308" s="225"/>
      <c r="F308" s="22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  <c r="AA308" s="225"/>
    </row>
    <row r="309" ht="15.75" customHeight="1">
      <c r="A309" s="225"/>
      <c r="B309" s="225"/>
      <c r="C309" s="225"/>
      <c r="D309" s="225"/>
      <c r="E309" s="225"/>
      <c r="F309" s="22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  <c r="AA309" s="225"/>
    </row>
    <row r="310" ht="15.75" customHeight="1">
      <c r="A310" s="225"/>
      <c r="B310" s="225"/>
      <c r="C310" s="225"/>
      <c r="D310" s="225"/>
      <c r="E310" s="225"/>
      <c r="F310" s="22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  <c r="AA310" s="225"/>
    </row>
    <row r="311" ht="15.75" customHeight="1">
      <c r="A311" s="225"/>
      <c r="B311" s="225"/>
      <c r="C311" s="225"/>
      <c r="D311" s="225"/>
      <c r="E311" s="225"/>
      <c r="F311" s="22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  <c r="AA311" s="225"/>
    </row>
    <row r="312" ht="15.75" customHeight="1">
      <c r="A312" s="225"/>
      <c r="B312" s="225"/>
      <c r="C312" s="225"/>
      <c r="D312" s="225"/>
      <c r="E312" s="225"/>
      <c r="F312" s="22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  <c r="AA312" s="225"/>
    </row>
    <row r="313" ht="15.75" customHeight="1">
      <c r="A313" s="225"/>
      <c r="B313" s="225"/>
      <c r="C313" s="225"/>
      <c r="D313" s="225"/>
      <c r="E313" s="225"/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  <c r="AA313" s="225"/>
    </row>
    <row r="314" ht="15.75" customHeight="1">
      <c r="A314" s="225"/>
      <c r="B314" s="225"/>
      <c r="C314" s="225"/>
      <c r="D314" s="225"/>
      <c r="E314" s="225"/>
      <c r="F314" s="22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  <c r="AA314" s="225"/>
    </row>
    <row r="315" ht="15.75" customHeight="1">
      <c r="A315" s="225"/>
      <c r="B315" s="225"/>
      <c r="C315" s="225"/>
      <c r="D315" s="225"/>
      <c r="E315" s="225"/>
      <c r="F315" s="22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  <c r="AA315" s="225"/>
    </row>
    <row r="316" ht="15.75" customHeight="1">
      <c r="A316" s="225"/>
      <c r="B316" s="225"/>
      <c r="C316" s="225"/>
      <c r="D316" s="225"/>
      <c r="E316" s="225"/>
      <c r="F316" s="22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  <c r="AA316" s="225"/>
    </row>
    <row r="317" ht="15.75" customHeight="1">
      <c r="A317" s="225"/>
      <c r="B317" s="225"/>
      <c r="C317" s="225"/>
      <c r="D317" s="225"/>
      <c r="E317" s="225"/>
      <c r="F317" s="22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  <c r="AA317" s="225"/>
    </row>
    <row r="318" ht="15.75" customHeight="1">
      <c r="A318" s="225"/>
      <c r="B318" s="225"/>
      <c r="C318" s="225"/>
      <c r="D318" s="225"/>
      <c r="E318" s="225"/>
      <c r="F318" s="22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  <c r="AA318" s="225"/>
    </row>
    <row r="319" ht="15.75" customHeight="1">
      <c r="A319" s="225"/>
      <c r="B319" s="225"/>
      <c r="C319" s="225"/>
      <c r="D319" s="225"/>
      <c r="E319" s="225"/>
      <c r="F319" s="22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  <c r="AA319" s="225"/>
    </row>
    <row r="320" ht="15.75" customHeight="1">
      <c r="A320" s="225"/>
      <c r="B320" s="225"/>
      <c r="C320" s="225"/>
      <c r="D320" s="225"/>
      <c r="E320" s="225"/>
      <c r="F320" s="22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</row>
    <row r="321" ht="15.75" customHeight="1">
      <c r="A321" s="225"/>
      <c r="B321" s="225"/>
      <c r="C321" s="225"/>
      <c r="D321" s="225"/>
      <c r="E321" s="225"/>
      <c r="F321" s="22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  <c r="AA321" s="225"/>
    </row>
    <row r="322" ht="15.75" customHeight="1">
      <c r="A322" s="225"/>
      <c r="B322" s="225"/>
      <c r="C322" s="225"/>
      <c r="D322" s="225"/>
      <c r="E322" s="225"/>
      <c r="F322" s="22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  <c r="AA322" s="225"/>
    </row>
    <row r="323" ht="15.75" customHeight="1">
      <c r="A323" s="225"/>
      <c r="B323" s="225"/>
      <c r="C323" s="225"/>
      <c r="D323" s="225"/>
      <c r="E323" s="225"/>
      <c r="F323" s="22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  <c r="AA323" s="225"/>
    </row>
    <row r="324" ht="15.75" customHeight="1">
      <c r="A324" s="225"/>
      <c r="B324" s="225"/>
      <c r="C324" s="225"/>
      <c r="D324" s="225"/>
      <c r="E324" s="225"/>
      <c r="F324" s="22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  <c r="AA324" s="225"/>
    </row>
    <row r="325" ht="15.75" customHeight="1">
      <c r="A325" s="225"/>
      <c r="B325" s="225"/>
      <c r="C325" s="225"/>
      <c r="D325" s="225"/>
      <c r="E325" s="225"/>
      <c r="F325" s="22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  <c r="AA325" s="225"/>
    </row>
    <row r="326" ht="15.75" customHeight="1">
      <c r="A326" s="225"/>
      <c r="B326" s="225"/>
      <c r="C326" s="225"/>
      <c r="D326" s="225"/>
      <c r="E326" s="225"/>
      <c r="F326" s="22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  <c r="AA326" s="225"/>
    </row>
    <row r="327" ht="15.75" customHeight="1">
      <c r="A327" s="225"/>
      <c r="B327" s="225"/>
      <c r="C327" s="225"/>
      <c r="D327" s="225"/>
      <c r="E327" s="225"/>
      <c r="F327" s="22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  <c r="AA327" s="225"/>
    </row>
    <row r="328" ht="15.75" customHeight="1">
      <c r="A328" s="225"/>
      <c r="B328" s="225"/>
      <c r="C328" s="225"/>
      <c r="D328" s="225"/>
      <c r="E328" s="225"/>
      <c r="F328" s="22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</row>
    <row r="329" ht="15.75" customHeight="1">
      <c r="A329" s="225"/>
      <c r="B329" s="225"/>
      <c r="C329" s="225"/>
      <c r="D329" s="225"/>
      <c r="E329" s="225"/>
      <c r="F329" s="22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  <c r="AA329" s="225"/>
    </row>
    <row r="330" ht="15.75" customHeight="1">
      <c r="A330" s="225"/>
      <c r="B330" s="225"/>
      <c r="C330" s="225"/>
      <c r="D330" s="225"/>
      <c r="E330" s="225"/>
      <c r="F330" s="22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  <c r="AA330" s="225"/>
    </row>
    <row r="331" ht="15.75" customHeight="1">
      <c r="A331" s="225"/>
      <c r="B331" s="225"/>
      <c r="C331" s="225"/>
      <c r="D331" s="225"/>
      <c r="E331" s="225"/>
      <c r="F331" s="22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  <c r="AA331" s="225"/>
    </row>
    <row r="332" ht="15.75" customHeight="1">
      <c r="A332" s="225"/>
      <c r="B332" s="225"/>
      <c r="C332" s="225"/>
      <c r="D332" s="225"/>
      <c r="E332" s="225"/>
      <c r="F332" s="22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  <c r="AA332" s="225"/>
    </row>
    <row r="333" ht="15.75" customHeight="1">
      <c r="A333" s="225"/>
      <c r="B333" s="225"/>
      <c r="C333" s="225"/>
      <c r="D333" s="225"/>
      <c r="E333" s="225"/>
      <c r="F333" s="22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  <c r="AA333" s="225"/>
    </row>
    <row r="334" ht="15.75" customHeight="1">
      <c r="A334" s="225"/>
      <c r="B334" s="225"/>
      <c r="C334" s="225"/>
      <c r="D334" s="225"/>
      <c r="E334" s="225"/>
      <c r="F334" s="22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  <c r="AA334" s="225"/>
    </row>
    <row r="335" ht="15.75" customHeight="1">
      <c r="A335" s="225"/>
      <c r="B335" s="225"/>
      <c r="C335" s="225"/>
      <c r="D335" s="225"/>
      <c r="E335" s="225"/>
      <c r="F335" s="22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  <c r="AA335" s="225"/>
    </row>
    <row r="336" ht="15.75" customHeight="1">
      <c r="A336" s="225"/>
      <c r="B336" s="225"/>
      <c r="C336" s="225"/>
      <c r="D336" s="225"/>
      <c r="E336" s="225"/>
      <c r="F336" s="22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  <c r="AA336" s="225"/>
    </row>
    <row r="337" ht="15.75" customHeight="1">
      <c r="A337" s="225"/>
      <c r="B337" s="225"/>
      <c r="C337" s="225"/>
      <c r="D337" s="225"/>
      <c r="E337" s="225"/>
      <c r="F337" s="22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  <c r="AA337" s="225"/>
    </row>
    <row r="338" ht="15.75" customHeight="1">
      <c r="A338" s="225"/>
      <c r="B338" s="225"/>
      <c r="C338" s="225"/>
      <c r="D338" s="225"/>
      <c r="E338" s="225"/>
      <c r="F338" s="22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  <c r="AA338" s="225"/>
    </row>
    <row r="339" ht="15.75" customHeight="1">
      <c r="A339" s="225"/>
      <c r="B339" s="225"/>
      <c r="C339" s="225"/>
      <c r="D339" s="225"/>
      <c r="E339" s="225"/>
      <c r="F339" s="22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  <c r="AA339" s="225"/>
    </row>
    <row r="340" ht="15.75" customHeight="1">
      <c r="A340" s="225"/>
      <c r="B340" s="225"/>
      <c r="C340" s="225"/>
      <c r="D340" s="225"/>
      <c r="E340" s="225"/>
      <c r="F340" s="22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  <c r="AA340" s="225"/>
    </row>
    <row r="341" ht="15.75" customHeight="1">
      <c r="A341" s="225"/>
      <c r="B341" s="225"/>
      <c r="C341" s="225"/>
      <c r="D341" s="225"/>
      <c r="E341" s="225"/>
      <c r="F341" s="22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  <c r="AA341" s="225"/>
    </row>
    <row r="342" ht="15.75" customHeight="1">
      <c r="A342" s="225"/>
      <c r="B342" s="225"/>
      <c r="C342" s="225"/>
      <c r="D342" s="225"/>
      <c r="E342" s="225"/>
      <c r="F342" s="22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  <c r="AA342" s="225"/>
    </row>
    <row r="343" ht="15.75" customHeight="1">
      <c r="A343" s="225"/>
      <c r="B343" s="225"/>
      <c r="C343" s="225"/>
      <c r="D343" s="225"/>
      <c r="E343" s="225"/>
      <c r="F343" s="22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  <c r="AA343" s="225"/>
    </row>
    <row r="344" ht="15.75" customHeight="1">
      <c r="A344" s="225"/>
      <c r="B344" s="225"/>
      <c r="C344" s="225"/>
      <c r="D344" s="225"/>
      <c r="E344" s="225"/>
      <c r="F344" s="22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  <c r="AA344" s="225"/>
    </row>
    <row r="345" ht="15.75" customHeight="1">
      <c r="A345" s="225"/>
      <c r="B345" s="225"/>
      <c r="C345" s="225"/>
      <c r="D345" s="225"/>
      <c r="E345" s="225"/>
      <c r="F345" s="22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  <c r="AA345" s="225"/>
    </row>
    <row r="346" ht="15.75" customHeight="1">
      <c r="A346" s="225"/>
      <c r="B346" s="225"/>
      <c r="C346" s="225"/>
      <c r="D346" s="225"/>
      <c r="E346" s="225"/>
      <c r="F346" s="22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  <c r="AA346" s="225"/>
    </row>
    <row r="347" ht="15.75" customHeight="1">
      <c r="A347" s="225"/>
      <c r="B347" s="225"/>
      <c r="C347" s="225"/>
      <c r="D347" s="225"/>
      <c r="E347" s="225"/>
      <c r="F347" s="22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  <c r="AA347" s="225"/>
    </row>
    <row r="348" ht="15.75" customHeight="1">
      <c r="A348" s="225"/>
      <c r="B348" s="225"/>
      <c r="C348" s="225"/>
      <c r="D348" s="225"/>
      <c r="E348" s="225"/>
      <c r="F348" s="22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  <c r="AA348" s="225"/>
    </row>
    <row r="349" ht="15.75" customHeight="1">
      <c r="A349" s="225"/>
      <c r="B349" s="225"/>
      <c r="C349" s="225"/>
      <c r="D349" s="225"/>
      <c r="E349" s="225"/>
      <c r="F349" s="22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  <c r="AA349" s="225"/>
    </row>
    <row r="350" ht="15.75" customHeight="1">
      <c r="A350" s="225"/>
      <c r="B350" s="225"/>
      <c r="C350" s="225"/>
      <c r="D350" s="225"/>
      <c r="E350" s="225"/>
      <c r="F350" s="22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  <c r="AA350" s="225"/>
    </row>
    <row r="351" ht="15.75" customHeight="1">
      <c r="A351" s="225"/>
      <c r="B351" s="225"/>
      <c r="C351" s="225"/>
      <c r="D351" s="225"/>
      <c r="E351" s="225"/>
      <c r="F351" s="22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  <c r="AA351" s="225"/>
    </row>
    <row r="352" ht="15.75" customHeight="1">
      <c r="A352" s="225"/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  <c r="AA352" s="225"/>
    </row>
    <row r="353" ht="15.75" customHeight="1">
      <c r="A353" s="225"/>
      <c r="B353" s="225"/>
      <c r="C353" s="225"/>
      <c r="D353" s="225"/>
      <c r="E353" s="225"/>
      <c r="F353" s="22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  <c r="AA353" s="225"/>
    </row>
    <row r="354" ht="15.75" customHeight="1">
      <c r="A354" s="225"/>
      <c r="B354" s="225"/>
      <c r="C354" s="225"/>
      <c r="D354" s="225"/>
      <c r="E354" s="225"/>
      <c r="F354" s="22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  <c r="AA354" s="225"/>
    </row>
    <row r="355" ht="15.75" customHeight="1">
      <c r="A355" s="225"/>
      <c r="B355" s="225"/>
      <c r="C355" s="225"/>
      <c r="D355" s="225"/>
      <c r="E355" s="225"/>
      <c r="F355" s="22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  <c r="AA355" s="225"/>
    </row>
    <row r="356" ht="15.75" customHeight="1">
      <c r="A356" s="225"/>
      <c r="B356" s="225"/>
      <c r="C356" s="225"/>
      <c r="D356" s="225"/>
      <c r="E356" s="225"/>
      <c r="F356" s="22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  <c r="AA356" s="225"/>
    </row>
    <row r="357" ht="15.75" customHeight="1">
      <c r="A357" s="225"/>
      <c r="B357" s="225"/>
      <c r="C357" s="225"/>
      <c r="D357" s="225"/>
      <c r="E357" s="225"/>
      <c r="F357" s="22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  <c r="AA357" s="225"/>
    </row>
    <row r="358" ht="15.75" customHeight="1">
      <c r="A358" s="225"/>
      <c r="B358" s="225"/>
      <c r="C358" s="225"/>
      <c r="D358" s="225"/>
      <c r="E358" s="225"/>
      <c r="F358" s="22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  <c r="AA358" s="225"/>
    </row>
    <row r="359" ht="15.75" customHeight="1">
      <c r="A359" s="225"/>
      <c r="B359" s="225"/>
      <c r="C359" s="225"/>
      <c r="D359" s="225"/>
      <c r="E359" s="225"/>
      <c r="F359" s="22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  <c r="AA359" s="225"/>
    </row>
    <row r="360" ht="15.75" customHeight="1">
      <c r="A360" s="225"/>
      <c r="B360" s="225"/>
      <c r="C360" s="225"/>
      <c r="D360" s="225"/>
      <c r="E360" s="225"/>
      <c r="F360" s="22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  <c r="AA360" s="225"/>
    </row>
    <row r="361" ht="15.75" customHeight="1">
      <c r="A361" s="225"/>
      <c r="B361" s="225"/>
      <c r="C361" s="225"/>
      <c r="D361" s="225"/>
      <c r="E361" s="225"/>
      <c r="F361" s="22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  <c r="AA361" s="225"/>
    </row>
    <row r="362" ht="15.75" customHeight="1">
      <c r="A362" s="225"/>
      <c r="B362" s="225"/>
      <c r="C362" s="225"/>
      <c r="D362" s="225"/>
      <c r="E362" s="225"/>
      <c r="F362" s="22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  <c r="AA362" s="225"/>
    </row>
    <row r="363" ht="15.75" customHeight="1">
      <c r="A363" s="225"/>
      <c r="B363" s="225"/>
      <c r="C363" s="225"/>
      <c r="D363" s="225"/>
      <c r="E363" s="225"/>
      <c r="F363" s="22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  <c r="AA363" s="225"/>
    </row>
    <row r="364" ht="15.75" customHeight="1">
      <c r="A364" s="225"/>
      <c r="B364" s="225"/>
      <c r="C364" s="225"/>
      <c r="D364" s="225"/>
      <c r="E364" s="225"/>
      <c r="F364" s="22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  <c r="AA364" s="225"/>
    </row>
    <row r="365" ht="15.75" customHeight="1">
      <c r="A365" s="225"/>
      <c r="B365" s="225"/>
      <c r="C365" s="225"/>
      <c r="D365" s="225"/>
      <c r="E365" s="225"/>
      <c r="F365" s="22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  <c r="AA365" s="225"/>
    </row>
    <row r="366" ht="15.75" customHeight="1">
      <c r="A366" s="225"/>
      <c r="B366" s="225"/>
      <c r="C366" s="225"/>
      <c r="D366" s="225"/>
      <c r="E366" s="225"/>
      <c r="F366" s="22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  <c r="AA366" s="225"/>
    </row>
    <row r="367" ht="15.75" customHeight="1">
      <c r="A367" s="225"/>
      <c r="B367" s="225"/>
      <c r="C367" s="225"/>
      <c r="D367" s="225"/>
      <c r="E367" s="225"/>
      <c r="F367" s="22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  <c r="AA367" s="225"/>
    </row>
    <row r="368" ht="15.75" customHeight="1">
      <c r="A368" s="225"/>
      <c r="B368" s="225"/>
      <c r="C368" s="225"/>
      <c r="D368" s="225"/>
      <c r="E368" s="225"/>
      <c r="F368" s="22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  <c r="AA368" s="225"/>
    </row>
    <row r="369" ht="15.75" customHeight="1">
      <c r="A369" s="225"/>
      <c r="B369" s="225"/>
      <c r="C369" s="225"/>
      <c r="D369" s="225"/>
      <c r="E369" s="225"/>
      <c r="F369" s="22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  <c r="AA369" s="225"/>
    </row>
    <row r="370" ht="15.75" customHeight="1">
      <c r="A370" s="225"/>
      <c r="B370" s="225"/>
      <c r="C370" s="225"/>
      <c r="D370" s="225"/>
      <c r="E370" s="225"/>
      <c r="F370" s="22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  <c r="AA370" s="225"/>
    </row>
    <row r="371" ht="15.75" customHeight="1">
      <c r="A371" s="225"/>
      <c r="B371" s="225"/>
      <c r="C371" s="225"/>
      <c r="D371" s="225"/>
      <c r="E371" s="225"/>
      <c r="F371" s="22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  <c r="AA371" s="225"/>
    </row>
    <row r="372" ht="15.75" customHeight="1">
      <c r="A372" s="225"/>
      <c r="B372" s="225"/>
      <c r="C372" s="225"/>
      <c r="D372" s="225"/>
      <c r="E372" s="225"/>
      <c r="F372" s="22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  <c r="AA372" s="225"/>
    </row>
    <row r="373" ht="15.75" customHeight="1">
      <c r="A373" s="225"/>
      <c r="B373" s="225"/>
      <c r="C373" s="225"/>
      <c r="D373" s="225"/>
      <c r="E373" s="225"/>
      <c r="F373" s="22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  <c r="AA373" s="225"/>
    </row>
    <row r="374" ht="15.75" customHeight="1">
      <c r="A374" s="225"/>
      <c r="B374" s="225"/>
      <c r="C374" s="225"/>
      <c r="D374" s="225"/>
      <c r="E374" s="225"/>
      <c r="F374" s="22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  <c r="AA374" s="225"/>
    </row>
    <row r="375" ht="15.75" customHeight="1">
      <c r="A375" s="225"/>
      <c r="B375" s="225"/>
      <c r="C375" s="225"/>
      <c r="D375" s="225"/>
      <c r="E375" s="225"/>
      <c r="F375" s="22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  <c r="AA375" s="225"/>
    </row>
    <row r="376" ht="15.75" customHeight="1">
      <c r="A376" s="225"/>
      <c r="B376" s="225"/>
      <c r="C376" s="225"/>
      <c r="D376" s="225"/>
      <c r="E376" s="225"/>
      <c r="F376" s="22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  <c r="AA376" s="225"/>
    </row>
    <row r="377" ht="15.75" customHeight="1">
      <c r="A377" s="225"/>
      <c r="B377" s="225"/>
      <c r="C377" s="225"/>
      <c r="D377" s="225"/>
      <c r="E377" s="225"/>
      <c r="F377" s="22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  <c r="AA377" s="225"/>
    </row>
    <row r="378" ht="15.75" customHeight="1">
      <c r="A378" s="225"/>
      <c r="B378" s="225"/>
      <c r="C378" s="225"/>
      <c r="D378" s="225"/>
      <c r="E378" s="225"/>
      <c r="F378" s="22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  <c r="AA378" s="225"/>
    </row>
    <row r="379" ht="15.75" customHeight="1">
      <c r="A379" s="225"/>
      <c r="B379" s="225"/>
      <c r="C379" s="225"/>
      <c r="D379" s="225"/>
      <c r="E379" s="225"/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  <c r="AA379" s="225"/>
    </row>
    <row r="380" ht="15.75" customHeight="1">
      <c r="A380" s="225"/>
      <c r="B380" s="225"/>
      <c r="C380" s="225"/>
      <c r="D380" s="225"/>
      <c r="E380" s="225"/>
      <c r="F380" s="22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  <c r="AA380" s="225"/>
    </row>
    <row r="381" ht="15.75" customHeight="1">
      <c r="A381" s="225"/>
      <c r="B381" s="225"/>
      <c r="C381" s="225"/>
      <c r="D381" s="225"/>
      <c r="E381" s="225"/>
      <c r="F381" s="22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  <c r="AA381" s="225"/>
    </row>
    <row r="382" ht="15.75" customHeight="1">
      <c r="A382" s="225"/>
      <c r="B382" s="225"/>
      <c r="C382" s="225"/>
      <c r="D382" s="225"/>
      <c r="E382" s="225"/>
      <c r="F382" s="22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  <c r="AA382" s="225"/>
    </row>
    <row r="383" ht="15.75" customHeight="1">
      <c r="A383" s="225"/>
      <c r="B383" s="225"/>
      <c r="C383" s="225"/>
      <c r="D383" s="225"/>
      <c r="E383" s="225"/>
      <c r="F383" s="22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  <c r="AA383" s="225"/>
    </row>
    <row r="384" ht="15.75" customHeight="1">
      <c r="A384" s="225"/>
      <c r="B384" s="225"/>
      <c r="C384" s="225"/>
      <c r="D384" s="225"/>
      <c r="E384" s="225"/>
      <c r="F384" s="22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  <c r="AA384" s="225"/>
    </row>
    <row r="385" ht="15.75" customHeight="1">
      <c r="A385" s="225"/>
      <c r="B385" s="225"/>
      <c r="C385" s="225"/>
      <c r="D385" s="225"/>
      <c r="E385" s="225"/>
      <c r="F385" s="22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  <c r="AA385" s="225"/>
    </row>
    <row r="386" ht="15.75" customHeight="1">
      <c r="A386" s="225"/>
      <c r="B386" s="225"/>
      <c r="C386" s="225"/>
      <c r="D386" s="225"/>
      <c r="E386" s="225"/>
      <c r="F386" s="22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  <c r="AA386" s="225"/>
    </row>
    <row r="387" ht="15.75" customHeight="1">
      <c r="A387" s="225"/>
      <c r="B387" s="225"/>
      <c r="C387" s="225"/>
      <c r="D387" s="225"/>
      <c r="E387" s="225"/>
      <c r="F387" s="22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  <c r="AA387" s="225"/>
    </row>
    <row r="388" ht="15.75" customHeight="1">
      <c r="A388" s="225"/>
      <c r="B388" s="225"/>
      <c r="C388" s="225"/>
      <c r="D388" s="225"/>
      <c r="E388" s="225"/>
      <c r="F388" s="22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  <c r="AA388" s="225"/>
    </row>
    <row r="389" ht="15.75" customHeight="1">
      <c r="A389" s="225"/>
      <c r="B389" s="225"/>
      <c r="C389" s="225"/>
      <c r="D389" s="225"/>
      <c r="E389" s="225"/>
      <c r="F389" s="22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  <c r="AA389" s="225"/>
    </row>
    <row r="390" ht="15.75" customHeight="1">
      <c r="A390" s="225"/>
      <c r="B390" s="225"/>
      <c r="C390" s="225"/>
      <c r="D390" s="225"/>
      <c r="E390" s="225"/>
      <c r="F390" s="22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  <c r="AA390" s="225"/>
    </row>
    <row r="391" ht="15.75" customHeight="1">
      <c r="A391" s="225"/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  <c r="AA391" s="225"/>
    </row>
    <row r="392" ht="15.75" customHeight="1">
      <c r="A392" s="225"/>
      <c r="B392" s="225"/>
      <c r="C392" s="225"/>
      <c r="D392" s="225"/>
      <c r="E392" s="225"/>
      <c r="F392" s="22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  <c r="AA392" s="225"/>
    </row>
    <row r="393" ht="15.75" customHeight="1">
      <c r="A393" s="225"/>
      <c r="B393" s="225"/>
      <c r="C393" s="225"/>
      <c r="D393" s="225"/>
      <c r="E393" s="225"/>
      <c r="F393" s="22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  <c r="AA393" s="225"/>
    </row>
    <row r="394" ht="15.75" customHeight="1">
      <c r="A394" s="225"/>
      <c r="B394" s="225"/>
      <c r="C394" s="225"/>
      <c r="D394" s="225"/>
      <c r="E394" s="225"/>
      <c r="F394" s="22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  <c r="AA394" s="225"/>
    </row>
    <row r="395" ht="15.75" customHeight="1">
      <c r="A395" s="225"/>
      <c r="B395" s="225"/>
      <c r="C395" s="225"/>
      <c r="D395" s="225"/>
      <c r="E395" s="225"/>
      <c r="F395" s="22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  <c r="AA395" s="225"/>
    </row>
    <row r="396" ht="15.75" customHeight="1">
      <c r="A396" s="225"/>
      <c r="B396" s="225"/>
      <c r="C396" s="225"/>
      <c r="D396" s="225"/>
      <c r="E396" s="225"/>
      <c r="F396" s="22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  <c r="AA396" s="225"/>
    </row>
    <row r="397" ht="15.75" customHeight="1">
      <c r="A397" s="225"/>
      <c r="B397" s="225"/>
      <c r="C397" s="225"/>
      <c r="D397" s="225"/>
      <c r="E397" s="225"/>
      <c r="F397" s="22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  <c r="AA397" s="225"/>
    </row>
    <row r="398" ht="15.75" customHeight="1">
      <c r="A398" s="225"/>
      <c r="B398" s="225"/>
      <c r="C398" s="225"/>
      <c r="D398" s="225"/>
      <c r="E398" s="225"/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  <c r="AA398" s="225"/>
    </row>
    <row r="399" ht="15.75" customHeight="1">
      <c r="A399" s="225"/>
      <c r="B399" s="225"/>
      <c r="C399" s="225"/>
      <c r="D399" s="225"/>
      <c r="E399" s="225"/>
      <c r="F399" s="22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  <c r="AA399" s="225"/>
    </row>
    <row r="400" ht="15.75" customHeight="1">
      <c r="A400" s="225"/>
      <c r="B400" s="225"/>
      <c r="C400" s="225"/>
      <c r="D400" s="225"/>
      <c r="E400" s="225"/>
      <c r="F400" s="22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  <c r="AA400" s="225"/>
    </row>
    <row r="401" ht="15.75" customHeight="1">
      <c r="A401" s="225"/>
      <c r="B401" s="225"/>
      <c r="C401" s="225"/>
      <c r="D401" s="225"/>
      <c r="E401" s="225"/>
      <c r="F401" s="22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  <c r="AA401" s="225"/>
    </row>
    <row r="402" ht="15.75" customHeight="1">
      <c r="A402" s="225"/>
      <c r="B402" s="225"/>
      <c r="C402" s="225"/>
      <c r="D402" s="225"/>
      <c r="E402" s="225"/>
      <c r="F402" s="22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  <c r="AA402" s="225"/>
    </row>
    <row r="403" ht="15.75" customHeight="1">
      <c r="A403" s="225"/>
      <c r="B403" s="225"/>
      <c r="C403" s="225"/>
      <c r="D403" s="225"/>
      <c r="E403" s="225"/>
      <c r="F403" s="22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  <c r="AA403" s="225"/>
    </row>
    <row r="404" ht="15.75" customHeight="1">
      <c r="A404" s="225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  <c r="AA404" s="225"/>
    </row>
    <row r="405" ht="15.75" customHeight="1">
      <c r="A405" s="225"/>
      <c r="B405" s="225"/>
      <c r="C405" s="225"/>
      <c r="D405" s="225"/>
      <c r="E405" s="225"/>
      <c r="F405" s="22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  <c r="AA405" s="225"/>
    </row>
    <row r="406" ht="15.75" customHeight="1">
      <c r="A406" s="225"/>
      <c r="B406" s="225"/>
      <c r="C406" s="225"/>
      <c r="D406" s="225"/>
      <c r="E406" s="225"/>
      <c r="F406" s="22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  <c r="AA406" s="225"/>
    </row>
    <row r="407" ht="15.75" customHeight="1">
      <c r="A407" s="225"/>
      <c r="B407" s="225"/>
      <c r="C407" s="225"/>
      <c r="D407" s="225"/>
      <c r="E407" s="225"/>
      <c r="F407" s="22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  <c r="AA407" s="225"/>
    </row>
    <row r="408" ht="15.75" customHeight="1">
      <c r="A408" s="225"/>
      <c r="B408" s="225"/>
      <c r="C408" s="225"/>
      <c r="D408" s="225"/>
      <c r="E408" s="225"/>
      <c r="F408" s="22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  <c r="AA408" s="225"/>
    </row>
    <row r="409" ht="15.75" customHeight="1">
      <c r="A409" s="225"/>
      <c r="B409" s="225"/>
      <c r="C409" s="225"/>
      <c r="D409" s="225"/>
      <c r="E409" s="225"/>
      <c r="F409" s="22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  <c r="AA409" s="225"/>
    </row>
    <row r="410" ht="15.75" customHeight="1">
      <c r="A410" s="225"/>
      <c r="B410" s="225"/>
      <c r="C410" s="225"/>
      <c r="D410" s="225"/>
      <c r="E410" s="225"/>
      <c r="F410" s="22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  <c r="AA410" s="225"/>
    </row>
    <row r="411" ht="15.75" customHeight="1">
      <c r="A411" s="225"/>
      <c r="B411" s="225"/>
      <c r="C411" s="225"/>
      <c r="D411" s="225"/>
      <c r="E411" s="225"/>
      <c r="F411" s="22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  <c r="AA411" s="225"/>
    </row>
    <row r="412" ht="15.75" customHeight="1">
      <c r="A412" s="225"/>
      <c r="B412" s="225"/>
      <c r="C412" s="225"/>
      <c r="D412" s="225"/>
      <c r="E412" s="225"/>
      <c r="F412" s="22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  <c r="AA412" s="225"/>
    </row>
    <row r="413" ht="15.75" customHeight="1">
      <c r="A413" s="225"/>
      <c r="B413" s="225"/>
      <c r="C413" s="225"/>
      <c r="D413" s="225"/>
      <c r="E413" s="225"/>
      <c r="F413" s="22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  <c r="AA413" s="225"/>
    </row>
    <row r="414" ht="15.75" customHeight="1">
      <c r="A414" s="225"/>
      <c r="B414" s="225"/>
      <c r="C414" s="225"/>
      <c r="D414" s="225"/>
      <c r="E414" s="225"/>
      <c r="F414" s="22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  <c r="AA414" s="225"/>
    </row>
    <row r="415" ht="15.75" customHeight="1">
      <c r="A415" s="225"/>
      <c r="B415" s="225"/>
      <c r="C415" s="225"/>
      <c r="D415" s="225"/>
      <c r="E415" s="225"/>
      <c r="F415" s="22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  <c r="AA415" s="225"/>
    </row>
    <row r="416" ht="15.75" customHeight="1">
      <c r="A416" s="225"/>
      <c r="B416" s="225"/>
      <c r="C416" s="225"/>
      <c r="D416" s="225"/>
      <c r="E416" s="225"/>
      <c r="F416" s="22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  <c r="AA416" s="225"/>
    </row>
    <row r="417" ht="15.75" customHeight="1">
      <c r="A417" s="225"/>
      <c r="B417" s="225"/>
      <c r="C417" s="225"/>
      <c r="D417" s="225"/>
      <c r="E417" s="225"/>
      <c r="F417" s="22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  <c r="AA417" s="225"/>
    </row>
    <row r="418" ht="15.75" customHeight="1">
      <c r="A418" s="225"/>
      <c r="B418" s="225"/>
      <c r="C418" s="225"/>
      <c r="D418" s="225"/>
      <c r="E418" s="225"/>
      <c r="F418" s="22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  <c r="AA418" s="225"/>
    </row>
    <row r="419" ht="15.75" customHeight="1">
      <c r="A419" s="225"/>
      <c r="B419" s="225"/>
      <c r="C419" s="225"/>
      <c r="D419" s="225"/>
      <c r="E419" s="225"/>
      <c r="F419" s="22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  <c r="AA419" s="225"/>
    </row>
    <row r="420" ht="15.75" customHeight="1">
      <c r="A420" s="225"/>
      <c r="B420" s="225"/>
      <c r="C420" s="225"/>
      <c r="D420" s="225"/>
      <c r="E420" s="225"/>
      <c r="F420" s="22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  <c r="AA420" s="225"/>
    </row>
    <row r="421" ht="15.75" customHeight="1">
      <c r="A421" s="225"/>
      <c r="B421" s="225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  <c r="AA421" s="225"/>
    </row>
    <row r="422" ht="15.75" customHeight="1">
      <c r="A422" s="225"/>
      <c r="B422" s="225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  <c r="AA422" s="225"/>
    </row>
    <row r="423" ht="15.75" customHeight="1">
      <c r="A423" s="225"/>
      <c r="B423" s="225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  <c r="AA423" s="225"/>
    </row>
    <row r="424" ht="15.75" customHeight="1">
      <c r="A424" s="225"/>
      <c r="B424" s="225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  <c r="AA424" s="225"/>
    </row>
    <row r="425" ht="15.75" customHeight="1">
      <c r="A425" s="225"/>
      <c r="B425" s="225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  <c r="AA425" s="225"/>
    </row>
    <row r="426" ht="15.75" customHeight="1">
      <c r="A426" s="225"/>
      <c r="B426" s="225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  <c r="AA426" s="225"/>
    </row>
    <row r="427" ht="15.75" customHeight="1">
      <c r="A427" s="225"/>
      <c r="B427" s="225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  <c r="AA427" s="225"/>
    </row>
    <row r="428" ht="15.75" customHeight="1">
      <c r="A428" s="225"/>
      <c r="B428" s="225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  <c r="AA428" s="225"/>
    </row>
    <row r="429" ht="15.75" customHeight="1">
      <c r="A429" s="225"/>
      <c r="B429" s="225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  <c r="AA429" s="225"/>
    </row>
    <row r="430" ht="15.75" customHeight="1">
      <c r="A430" s="225"/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  <c r="AA430" s="225"/>
    </row>
    <row r="431" ht="15.75" customHeight="1">
      <c r="A431" s="225"/>
      <c r="B431" s="225"/>
      <c r="C431" s="225"/>
      <c r="D431" s="225"/>
      <c r="E431" s="225"/>
      <c r="F431" s="22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  <c r="AA431" s="225"/>
    </row>
    <row r="432" ht="15.75" customHeight="1">
      <c r="A432" s="225"/>
      <c r="B432" s="225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  <c r="AA432" s="225"/>
    </row>
    <row r="433" ht="15.75" customHeight="1">
      <c r="A433" s="225"/>
      <c r="B433" s="225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  <c r="AA433" s="225"/>
    </row>
    <row r="434" ht="15.75" customHeight="1">
      <c r="A434" s="225"/>
      <c r="B434" s="225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  <c r="AA434" s="225"/>
    </row>
    <row r="435" ht="15.75" customHeight="1">
      <c r="A435" s="225"/>
      <c r="B435" s="225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  <c r="AA435" s="225"/>
    </row>
    <row r="436" ht="15.75" customHeight="1">
      <c r="A436" s="225"/>
      <c r="B436" s="225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  <c r="AA436" s="225"/>
    </row>
    <row r="437" ht="15.75" customHeight="1">
      <c r="A437" s="225"/>
      <c r="B437" s="225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  <c r="AA437" s="225"/>
    </row>
    <row r="438" ht="15.75" customHeight="1">
      <c r="A438" s="225"/>
      <c r="B438" s="225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  <c r="AA438" s="225"/>
    </row>
    <row r="439" ht="15.75" customHeight="1">
      <c r="A439" s="225"/>
      <c r="B439" s="225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  <c r="AA439" s="225"/>
    </row>
    <row r="440" ht="15.75" customHeight="1">
      <c r="A440" s="225"/>
      <c r="B440" s="225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  <c r="AA440" s="225"/>
    </row>
    <row r="441" ht="15.75" customHeight="1">
      <c r="A441" s="225"/>
      <c r="B441" s="225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  <c r="AA441" s="225"/>
    </row>
    <row r="442" ht="15.75" customHeight="1">
      <c r="A442" s="225"/>
      <c r="B442" s="225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  <c r="AA442" s="225"/>
    </row>
    <row r="443" ht="15.75" customHeight="1">
      <c r="A443" s="225"/>
      <c r="B443" s="225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  <c r="AA443" s="225"/>
    </row>
    <row r="444" ht="15.75" customHeight="1">
      <c r="A444" s="225"/>
      <c r="B444" s="225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  <c r="AA444" s="225"/>
    </row>
    <row r="445" ht="15.75" customHeight="1">
      <c r="A445" s="225"/>
      <c r="B445" s="225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  <c r="AA445" s="225"/>
    </row>
    <row r="446" ht="15.75" customHeight="1">
      <c r="A446" s="225"/>
      <c r="B446" s="225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  <c r="AA446" s="225"/>
    </row>
    <row r="447" ht="15.75" customHeight="1">
      <c r="A447" s="225"/>
      <c r="B447" s="225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  <c r="AA447" s="225"/>
    </row>
    <row r="448" ht="15.75" customHeight="1">
      <c r="A448" s="225"/>
      <c r="B448" s="225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  <c r="AA448" s="225"/>
    </row>
    <row r="449" ht="15.75" customHeight="1">
      <c r="A449" s="225"/>
      <c r="B449" s="225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  <c r="AA449" s="225"/>
    </row>
    <row r="450" ht="15.75" customHeight="1">
      <c r="A450" s="225"/>
      <c r="B450" s="225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  <c r="AA450" s="225"/>
    </row>
    <row r="451" ht="15.75" customHeight="1">
      <c r="A451" s="225"/>
      <c r="B451" s="225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  <c r="AA451" s="225"/>
    </row>
    <row r="452" ht="15.75" customHeight="1">
      <c r="A452" s="225"/>
      <c r="B452" s="225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  <c r="AA452" s="225"/>
    </row>
    <row r="453" ht="15.75" customHeight="1">
      <c r="A453" s="225"/>
      <c r="B453" s="225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  <c r="AA453" s="225"/>
    </row>
    <row r="454" ht="15.75" customHeight="1">
      <c r="A454" s="225"/>
      <c r="B454" s="225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  <c r="AA454" s="225"/>
    </row>
    <row r="455" ht="15.75" customHeight="1">
      <c r="A455" s="225"/>
      <c r="B455" s="225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  <c r="AA455" s="225"/>
    </row>
    <row r="456" ht="15.75" customHeight="1">
      <c r="A456" s="225"/>
      <c r="B456" s="225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  <c r="AA456" s="225"/>
    </row>
    <row r="457" ht="15.75" customHeight="1">
      <c r="A457" s="225"/>
      <c r="B457" s="225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  <c r="AA457" s="225"/>
    </row>
    <row r="458" ht="15.75" customHeight="1">
      <c r="A458" s="225"/>
      <c r="B458" s="225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  <c r="AA458" s="225"/>
    </row>
    <row r="459" ht="15.75" customHeight="1">
      <c r="A459" s="225"/>
      <c r="B459" s="225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  <c r="AA459" s="225"/>
    </row>
    <row r="460" ht="15.75" customHeight="1">
      <c r="A460" s="225"/>
      <c r="B460" s="225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  <c r="AA460" s="225"/>
    </row>
    <row r="461" ht="15.75" customHeight="1">
      <c r="A461" s="225"/>
      <c r="B461" s="225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  <c r="AA461" s="225"/>
    </row>
    <row r="462" ht="15.75" customHeight="1">
      <c r="A462" s="225"/>
      <c r="B462" s="225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  <c r="AA462" s="225"/>
    </row>
    <row r="463" ht="15.75" customHeight="1">
      <c r="A463" s="225"/>
      <c r="B463" s="225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  <c r="AA463" s="225"/>
    </row>
    <row r="464" ht="15.75" customHeight="1">
      <c r="A464" s="225"/>
      <c r="B464" s="225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  <c r="AA464" s="225"/>
    </row>
    <row r="465" ht="15.75" customHeight="1">
      <c r="A465" s="225"/>
      <c r="B465" s="225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  <c r="AA465" s="225"/>
    </row>
    <row r="466" ht="15.75" customHeight="1">
      <c r="A466" s="225"/>
      <c r="B466" s="225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  <c r="AA466" s="225"/>
    </row>
    <row r="467" ht="15.75" customHeight="1">
      <c r="A467" s="225"/>
      <c r="B467" s="225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  <c r="AA467" s="225"/>
    </row>
    <row r="468" ht="15.75" customHeight="1">
      <c r="A468" s="225"/>
      <c r="B468" s="225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  <c r="AA468" s="225"/>
    </row>
    <row r="469" ht="15.75" customHeight="1">
      <c r="A469" s="225"/>
      <c r="B469" s="225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  <c r="AA469" s="225"/>
    </row>
    <row r="470" ht="15.75" customHeight="1">
      <c r="A470" s="225"/>
      <c r="B470" s="225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  <c r="AA470" s="225"/>
    </row>
    <row r="471" ht="15.75" customHeight="1">
      <c r="A471" s="225"/>
      <c r="B471" s="225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  <c r="AA471" s="225"/>
    </row>
    <row r="472" ht="15.75" customHeight="1">
      <c r="A472" s="225"/>
      <c r="B472" s="225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  <c r="AA472" s="225"/>
    </row>
    <row r="473" ht="15.75" customHeight="1">
      <c r="A473" s="225"/>
      <c r="B473" s="225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  <c r="AA473" s="225"/>
    </row>
    <row r="474" ht="15.75" customHeight="1">
      <c r="A474" s="225"/>
      <c r="B474" s="225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  <c r="AA474" s="225"/>
    </row>
    <row r="475" ht="15.75" customHeight="1">
      <c r="A475" s="225"/>
      <c r="B475" s="225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  <c r="AA475" s="225"/>
    </row>
    <row r="476" ht="15.75" customHeight="1">
      <c r="A476" s="225"/>
      <c r="B476" s="225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  <c r="AA476" s="225"/>
    </row>
    <row r="477" ht="15.75" customHeight="1">
      <c r="A477" s="225"/>
      <c r="B477" s="225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  <c r="AA477" s="225"/>
    </row>
    <row r="478" ht="15.75" customHeight="1">
      <c r="A478" s="225"/>
      <c r="B478" s="225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  <c r="AA478" s="225"/>
    </row>
    <row r="479" ht="15.75" customHeight="1">
      <c r="A479" s="225"/>
      <c r="B479" s="225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  <c r="AA479" s="225"/>
    </row>
    <row r="480" ht="15.75" customHeight="1">
      <c r="A480" s="225"/>
      <c r="B480" s="225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  <c r="AA480" s="225"/>
    </row>
    <row r="481" ht="15.75" customHeight="1">
      <c r="A481" s="225"/>
      <c r="B481" s="225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  <c r="AA481" s="225"/>
    </row>
    <row r="482" ht="15.75" customHeight="1">
      <c r="A482" s="225"/>
      <c r="B482" s="225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  <c r="AA482" s="225"/>
    </row>
    <row r="483" ht="15.75" customHeight="1">
      <c r="A483" s="225"/>
      <c r="B483" s="225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  <c r="AA483" s="225"/>
    </row>
    <row r="484" ht="15.75" customHeight="1">
      <c r="A484" s="225"/>
      <c r="B484" s="225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  <c r="AA484" s="225"/>
    </row>
    <row r="485" ht="15.75" customHeight="1">
      <c r="A485" s="225"/>
      <c r="B485" s="225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  <c r="AA485" s="225"/>
    </row>
    <row r="486" ht="15.75" customHeight="1">
      <c r="A486" s="225"/>
      <c r="B486" s="225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  <c r="AA486" s="225"/>
    </row>
    <row r="487" ht="15.75" customHeight="1">
      <c r="A487" s="225"/>
      <c r="B487" s="225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  <c r="AA487" s="225"/>
    </row>
    <row r="488" ht="15.75" customHeight="1">
      <c r="A488" s="225"/>
      <c r="B488" s="225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  <c r="AA488" s="225"/>
    </row>
    <row r="489" ht="15.75" customHeight="1">
      <c r="A489" s="225"/>
      <c r="B489" s="225"/>
      <c r="C489" s="225"/>
      <c r="D489" s="225"/>
      <c r="E489" s="225"/>
      <c r="F489" s="22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  <c r="AA489" s="225"/>
    </row>
    <row r="490" ht="15.75" customHeight="1">
      <c r="A490" s="225"/>
      <c r="B490" s="225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  <c r="AA490" s="225"/>
    </row>
    <row r="491" ht="15.75" customHeight="1">
      <c r="A491" s="225"/>
      <c r="B491" s="225"/>
      <c r="C491" s="225"/>
      <c r="D491" s="225"/>
      <c r="E491" s="225"/>
      <c r="F491" s="22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  <c r="AA491" s="225"/>
    </row>
    <row r="492" ht="15.75" customHeight="1">
      <c r="A492" s="225"/>
      <c r="B492" s="225"/>
      <c r="C492" s="225"/>
      <c r="D492" s="225"/>
      <c r="E492" s="225"/>
      <c r="F492" s="22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  <c r="AA492" s="225"/>
    </row>
    <row r="493" ht="15.75" customHeight="1">
      <c r="A493" s="225"/>
      <c r="B493" s="225"/>
      <c r="C493" s="225"/>
      <c r="D493" s="225"/>
      <c r="E493" s="225"/>
      <c r="F493" s="22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  <c r="AA493" s="225"/>
    </row>
    <row r="494" ht="15.75" customHeight="1">
      <c r="A494" s="225"/>
      <c r="B494" s="225"/>
      <c r="C494" s="225"/>
      <c r="D494" s="225"/>
      <c r="E494" s="225"/>
      <c r="F494" s="22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  <c r="AA494" s="225"/>
    </row>
    <row r="495" ht="15.75" customHeight="1">
      <c r="A495" s="225"/>
      <c r="B495" s="225"/>
      <c r="C495" s="225"/>
      <c r="D495" s="225"/>
      <c r="E495" s="225"/>
      <c r="F495" s="22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  <c r="AA495" s="225"/>
    </row>
    <row r="496" ht="15.75" customHeight="1">
      <c r="A496" s="225"/>
      <c r="B496" s="225"/>
      <c r="C496" s="225"/>
      <c r="D496" s="225"/>
      <c r="E496" s="225"/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  <c r="AA496" s="225"/>
    </row>
    <row r="497" ht="15.75" customHeight="1">
      <c r="A497" s="225"/>
      <c r="B497" s="225"/>
      <c r="C497" s="225"/>
      <c r="D497" s="225"/>
      <c r="E497" s="225"/>
      <c r="F497" s="22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  <c r="AA497" s="225"/>
    </row>
    <row r="498" ht="15.75" customHeight="1">
      <c r="A498" s="225"/>
      <c r="B498" s="225"/>
      <c r="C498" s="225"/>
      <c r="D498" s="225"/>
      <c r="E498" s="225"/>
      <c r="F498" s="22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  <c r="AA498" s="225"/>
    </row>
    <row r="499" ht="15.75" customHeight="1">
      <c r="A499" s="225"/>
      <c r="B499" s="225"/>
      <c r="C499" s="225"/>
      <c r="D499" s="225"/>
      <c r="E499" s="225"/>
      <c r="F499" s="22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  <c r="AA499" s="225"/>
    </row>
    <row r="500" ht="15.75" customHeight="1">
      <c r="A500" s="225"/>
      <c r="B500" s="225"/>
      <c r="C500" s="225"/>
      <c r="D500" s="225"/>
      <c r="E500" s="225"/>
      <c r="F500" s="22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  <c r="AA500" s="225"/>
    </row>
    <row r="501" ht="15.75" customHeight="1">
      <c r="A501" s="225"/>
      <c r="B501" s="225"/>
      <c r="C501" s="225"/>
      <c r="D501" s="225"/>
      <c r="E501" s="225"/>
      <c r="F501" s="22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  <c r="AA501" s="225"/>
    </row>
    <row r="502" ht="15.75" customHeight="1">
      <c r="A502" s="225"/>
      <c r="B502" s="225"/>
      <c r="C502" s="225"/>
      <c r="D502" s="225"/>
      <c r="E502" s="225"/>
      <c r="F502" s="22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  <c r="AA502" s="225"/>
    </row>
    <row r="503" ht="15.75" customHeight="1">
      <c r="A503" s="225"/>
      <c r="B503" s="225"/>
      <c r="C503" s="225"/>
      <c r="D503" s="225"/>
      <c r="E503" s="225"/>
      <c r="F503" s="22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  <c r="AA503" s="225"/>
    </row>
    <row r="504" ht="15.75" customHeight="1">
      <c r="A504" s="225"/>
      <c r="B504" s="225"/>
      <c r="C504" s="225"/>
      <c r="D504" s="225"/>
      <c r="E504" s="225"/>
      <c r="F504" s="22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  <c r="AA504" s="225"/>
    </row>
    <row r="505" ht="15.75" customHeight="1">
      <c r="A505" s="225"/>
      <c r="B505" s="225"/>
      <c r="C505" s="225"/>
      <c r="D505" s="225"/>
      <c r="E505" s="225"/>
      <c r="F505" s="22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  <c r="AA505" s="225"/>
    </row>
    <row r="506" ht="15.75" customHeight="1">
      <c r="A506" s="225"/>
      <c r="B506" s="225"/>
      <c r="C506" s="225"/>
      <c r="D506" s="225"/>
      <c r="E506" s="225"/>
      <c r="F506" s="22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  <c r="AA506" s="225"/>
    </row>
    <row r="507" ht="15.75" customHeight="1">
      <c r="A507" s="225"/>
      <c r="B507" s="225"/>
      <c r="C507" s="225"/>
      <c r="D507" s="225"/>
      <c r="E507" s="225"/>
      <c r="F507" s="22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  <c r="AA507" s="225"/>
    </row>
    <row r="508" ht="15.75" customHeight="1">
      <c r="A508" s="225"/>
      <c r="B508" s="225"/>
      <c r="C508" s="225"/>
      <c r="D508" s="225"/>
      <c r="E508" s="225"/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  <c r="AA508" s="225"/>
    </row>
    <row r="509" ht="15.75" customHeight="1">
      <c r="A509" s="225"/>
      <c r="B509" s="225"/>
      <c r="C509" s="225"/>
      <c r="D509" s="225"/>
      <c r="E509" s="225"/>
      <c r="F509" s="22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  <c r="AA509" s="225"/>
    </row>
    <row r="510" ht="15.75" customHeight="1">
      <c r="A510" s="225"/>
      <c r="B510" s="225"/>
      <c r="C510" s="225"/>
      <c r="D510" s="225"/>
      <c r="E510" s="225"/>
      <c r="F510" s="22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  <c r="AA510" s="225"/>
    </row>
    <row r="511" ht="15.75" customHeight="1">
      <c r="A511" s="225"/>
      <c r="B511" s="225"/>
      <c r="C511" s="225"/>
      <c r="D511" s="225"/>
      <c r="E511" s="225"/>
      <c r="F511" s="22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  <c r="AA511" s="225"/>
    </row>
    <row r="512" ht="15.75" customHeight="1">
      <c r="A512" s="225"/>
      <c r="B512" s="225"/>
      <c r="C512" s="225"/>
      <c r="D512" s="225"/>
      <c r="E512" s="225"/>
      <c r="F512" s="22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  <c r="AA512" s="225"/>
    </row>
    <row r="513" ht="15.75" customHeight="1">
      <c r="A513" s="225"/>
      <c r="B513" s="225"/>
      <c r="C513" s="225"/>
      <c r="D513" s="225"/>
      <c r="E513" s="225"/>
      <c r="F513" s="22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  <c r="AA513" s="225"/>
    </row>
    <row r="514" ht="15.75" customHeight="1">
      <c r="A514" s="225"/>
      <c r="B514" s="225"/>
      <c r="C514" s="225"/>
      <c r="D514" s="225"/>
      <c r="E514" s="225"/>
      <c r="F514" s="22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  <c r="AA514" s="225"/>
    </row>
    <row r="515" ht="15.75" customHeight="1">
      <c r="A515" s="225"/>
      <c r="B515" s="225"/>
      <c r="C515" s="225"/>
      <c r="D515" s="225"/>
      <c r="E515" s="225"/>
      <c r="F515" s="22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  <c r="AA515" s="225"/>
    </row>
    <row r="516" ht="15.75" customHeight="1">
      <c r="A516" s="225"/>
      <c r="B516" s="225"/>
      <c r="C516" s="225"/>
      <c r="D516" s="225"/>
      <c r="E516" s="225"/>
      <c r="F516" s="22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  <c r="AA516" s="225"/>
    </row>
    <row r="517" ht="15.75" customHeight="1">
      <c r="A517" s="225"/>
      <c r="B517" s="225"/>
      <c r="C517" s="225"/>
      <c r="D517" s="225"/>
      <c r="E517" s="225"/>
      <c r="F517" s="22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  <c r="AA517" s="225"/>
    </row>
    <row r="518" ht="15.75" customHeight="1">
      <c r="A518" s="225"/>
      <c r="B518" s="225"/>
      <c r="C518" s="225"/>
      <c r="D518" s="225"/>
      <c r="E518" s="225"/>
      <c r="F518" s="22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  <c r="AA518" s="225"/>
    </row>
    <row r="519" ht="15.75" customHeight="1">
      <c r="A519" s="225"/>
      <c r="B519" s="225"/>
      <c r="C519" s="225"/>
      <c r="D519" s="225"/>
      <c r="E519" s="225"/>
      <c r="F519" s="22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  <c r="AA519" s="225"/>
    </row>
    <row r="520" ht="15.75" customHeight="1">
      <c r="A520" s="225"/>
      <c r="B520" s="225"/>
      <c r="C520" s="225"/>
      <c r="D520" s="225"/>
      <c r="E520" s="225"/>
      <c r="F520" s="22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  <c r="AA520" s="225"/>
    </row>
    <row r="521" ht="15.75" customHeight="1">
      <c r="A521" s="225"/>
      <c r="B521" s="225"/>
      <c r="C521" s="225"/>
      <c r="D521" s="225"/>
      <c r="E521" s="225"/>
      <c r="F521" s="22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  <c r="AA521" s="225"/>
    </row>
    <row r="522" ht="15.75" customHeight="1">
      <c r="A522" s="225"/>
      <c r="B522" s="225"/>
      <c r="C522" s="225"/>
      <c r="D522" s="225"/>
      <c r="E522" s="225"/>
      <c r="F522" s="22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  <c r="AA522" s="225"/>
    </row>
    <row r="523" ht="15.75" customHeight="1">
      <c r="A523" s="225"/>
      <c r="B523" s="225"/>
      <c r="C523" s="225"/>
      <c r="D523" s="225"/>
      <c r="E523" s="225"/>
      <c r="F523" s="22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  <c r="AA523" s="225"/>
    </row>
    <row r="524" ht="15.75" customHeight="1">
      <c r="A524" s="225"/>
      <c r="B524" s="225"/>
      <c r="C524" s="225"/>
      <c r="D524" s="225"/>
      <c r="E524" s="225"/>
      <c r="F524" s="22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  <c r="AA524" s="225"/>
    </row>
    <row r="525" ht="15.75" customHeight="1">
      <c r="A525" s="225"/>
      <c r="B525" s="225"/>
      <c r="C525" s="225"/>
      <c r="D525" s="225"/>
      <c r="E525" s="225"/>
      <c r="F525" s="22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  <c r="AA525" s="225"/>
    </row>
    <row r="526" ht="15.75" customHeight="1">
      <c r="A526" s="225"/>
      <c r="B526" s="225"/>
      <c r="C526" s="225"/>
      <c r="D526" s="225"/>
      <c r="E526" s="225"/>
      <c r="F526" s="22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  <c r="AA526" s="225"/>
    </row>
    <row r="527" ht="15.75" customHeight="1">
      <c r="A527" s="225"/>
      <c r="B527" s="225"/>
      <c r="C527" s="225"/>
      <c r="D527" s="225"/>
      <c r="E527" s="225"/>
      <c r="F527" s="22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  <c r="AA527" s="225"/>
    </row>
    <row r="528" ht="15.75" customHeight="1">
      <c r="A528" s="225"/>
      <c r="B528" s="225"/>
      <c r="C528" s="225"/>
      <c r="D528" s="225"/>
      <c r="E528" s="225"/>
      <c r="F528" s="22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  <c r="AA528" s="225"/>
    </row>
    <row r="529" ht="15.75" customHeight="1">
      <c r="A529" s="225"/>
      <c r="B529" s="225"/>
      <c r="C529" s="225"/>
      <c r="D529" s="225"/>
      <c r="E529" s="225"/>
      <c r="F529" s="22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  <c r="AA529" s="225"/>
    </row>
    <row r="530" ht="15.75" customHeight="1">
      <c r="A530" s="225"/>
      <c r="B530" s="225"/>
      <c r="C530" s="225"/>
      <c r="D530" s="225"/>
      <c r="E530" s="225"/>
      <c r="F530" s="22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  <c r="AA530" s="225"/>
    </row>
    <row r="531" ht="15.75" customHeight="1">
      <c r="A531" s="225"/>
      <c r="B531" s="225"/>
      <c r="C531" s="225"/>
      <c r="D531" s="225"/>
      <c r="E531" s="225"/>
      <c r="F531" s="22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  <c r="AA531" s="225"/>
    </row>
    <row r="532" ht="15.75" customHeight="1">
      <c r="A532" s="225"/>
      <c r="B532" s="225"/>
      <c r="C532" s="225"/>
      <c r="D532" s="225"/>
      <c r="E532" s="225"/>
      <c r="F532" s="22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  <c r="AA532" s="225"/>
    </row>
    <row r="533" ht="15.75" customHeight="1">
      <c r="A533" s="225"/>
      <c r="B533" s="225"/>
      <c r="C533" s="225"/>
      <c r="D533" s="225"/>
      <c r="E533" s="225"/>
      <c r="F533" s="22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  <c r="AA533" s="225"/>
    </row>
    <row r="534" ht="15.75" customHeight="1">
      <c r="A534" s="225"/>
      <c r="B534" s="225"/>
      <c r="C534" s="225"/>
      <c r="D534" s="225"/>
      <c r="E534" s="225"/>
      <c r="F534" s="22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  <c r="AA534" s="225"/>
    </row>
    <row r="535" ht="15.75" customHeight="1">
      <c r="A535" s="225"/>
      <c r="B535" s="225"/>
      <c r="C535" s="225"/>
      <c r="D535" s="225"/>
      <c r="E535" s="225"/>
      <c r="F535" s="22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  <c r="AA535" s="225"/>
    </row>
    <row r="536" ht="15.75" customHeight="1">
      <c r="A536" s="225"/>
      <c r="B536" s="225"/>
      <c r="C536" s="225"/>
      <c r="D536" s="225"/>
      <c r="E536" s="225"/>
      <c r="F536" s="22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  <c r="AA536" s="225"/>
    </row>
    <row r="537" ht="15.75" customHeight="1">
      <c r="A537" s="225"/>
      <c r="B537" s="225"/>
      <c r="C537" s="225"/>
      <c r="D537" s="225"/>
      <c r="E537" s="225"/>
      <c r="F537" s="22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  <c r="AA537" s="225"/>
    </row>
    <row r="538" ht="15.75" customHeight="1">
      <c r="A538" s="225"/>
      <c r="B538" s="225"/>
      <c r="C538" s="225"/>
      <c r="D538" s="225"/>
      <c r="E538" s="225"/>
      <c r="F538" s="22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  <c r="AA538" s="225"/>
    </row>
    <row r="539" ht="15.75" customHeight="1">
      <c r="A539" s="225"/>
      <c r="B539" s="225"/>
      <c r="C539" s="225"/>
      <c r="D539" s="225"/>
      <c r="E539" s="225"/>
      <c r="F539" s="22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  <c r="AA539" s="225"/>
    </row>
    <row r="540" ht="15.75" customHeight="1">
      <c r="A540" s="225"/>
      <c r="B540" s="225"/>
      <c r="C540" s="225"/>
      <c r="D540" s="225"/>
      <c r="E540" s="225"/>
      <c r="F540" s="22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  <c r="AA540" s="225"/>
    </row>
    <row r="541" ht="15.75" customHeight="1">
      <c r="A541" s="225"/>
      <c r="B541" s="225"/>
      <c r="C541" s="225"/>
      <c r="D541" s="225"/>
      <c r="E541" s="225"/>
      <c r="F541" s="22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  <c r="AA541" s="225"/>
    </row>
    <row r="542" ht="15.75" customHeight="1">
      <c r="A542" s="225"/>
      <c r="B542" s="225"/>
      <c r="C542" s="225"/>
      <c r="D542" s="225"/>
      <c r="E542" s="225"/>
      <c r="F542" s="22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  <c r="AA542" s="225"/>
    </row>
    <row r="543" ht="15.75" customHeight="1">
      <c r="A543" s="225"/>
      <c r="B543" s="225"/>
      <c r="C543" s="225"/>
      <c r="D543" s="225"/>
      <c r="E543" s="225"/>
      <c r="F543" s="22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  <c r="AA543" s="225"/>
    </row>
    <row r="544" ht="15.75" customHeight="1">
      <c r="A544" s="225"/>
      <c r="B544" s="225"/>
      <c r="C544" s="225"/>
      <c r="D544" s="225"/>
      <c r="E544" s="225"/>
      <c r="F544" s="22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  <c r="AA544" s="225"/>
    </row>
    <row r="545" ht="15.75" customHeight="1">
      <c r="A545" s="225"/>
      <c r="B545" s="225"/>
      <c r="C545" s="225"/>
      <c r="D545" s="225"/>
      <c r="E545" s="225"/>
      <c r="F545" s="22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  <c r="AA545" s="225"/>
    </row>
    <row r="546" ht="15.75" customHeight="1">
      <c r="A546" s="225"/>
      <c r="B546" s="225"/>
      <c r="C546" s="225"/>
      <c r="D546" s="225"/>
      <c r="E546" s="225"/>
      <c r="F546" s="22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  <c r="AA546" s="225"/>
    </row>
    <row r="547" ht="15.75" customHeight="1">
      <c r="A547" s="225"/>
      <c r="B547" s="225"/>
      <c r="C547" s="225"/>
      <c r="D547" s="225"/>
      <c r="E547" s="225"/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  <c r="AA547" s="225"/>
    </row>
    <row r="548" ht="15.75" customHeight="1">
      <c r="A548" s="225"/>
      <c r="B548" s="225"/>
      <c r="C548" s="225"/>
      <c r="D548" s="225"/>
      <c r="E548" s="225"/>
      <c r="F548" s="22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  <c r="AA548" s="225"/>
    </row>
    <row r="549" ht="15.75" customHeight="1">
      <c r="A549" s="225"/>
      <c r="B549" s="225"/>
      <c r="C549" s="225"/>
      <c r="D549" s="225"/>
      <c r="E549" s="225"/>
      <c r="F549" s="22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  <c r="AA549" s="225"/>
    </row>
    <row r="550" ht="15.75" customHeight="1">
      <c r="A550" s="225"/>
      <c r="B550" s="225"/>
      <c r="C550" s="225"/>
      <c r="D550" s="225"/>
      <c r="E550" s="225"/>
      <c r="F550" s="22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  <c r="AA550" s="225"/>
    </row>
    <row r="551" ht="15.75" customHeight="1">
      <c r="A551" s="225"/>
      <c r="B551" s="225"/>
      <c r="C551" s="225"/>
      <c r="D551" s="225"/>
      <c r="E551" s="225"/>
      <c r="F551" s="22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  <c r="AA551" s="225"/>
    </row>
    <row r="552" ht="15.75" customHeight="1">
      <c r="A552" s="225"/>
      <c r="B552" s="225"/>
      <c r="C552" s="225"/>
      <c r="D552" s="225"/>
      <c r="E552" s="225"/>
      <c r="F552" s="22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  <c r="AA552" s="225"/>
    </row>
    <row r="553" ht="15.75" customHeight="1">
      <c r="A553" s="225"/>
      <c r="B553" s="225"/>
      <c r="C553" s="225"/>
      <c r="D553" s="225"/>
      <c r="E553" s="225"/>
      <c r="F553" s="22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  <c r="AA553" s="225"/>
    </row>
    <row r="554" ht="15.75" customHeight="1">
      <c r="A554" s="225"/>
      <c r="B554" s="225"/>
      <c r="C554" s="225"/>
      <c r="D554" s="225"/>
      <c r="E554" s="225"/>
      <c r="F554" s="22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  <c r="AA554" s="225"/>
    </row>
    <row r="555" ht="15.75" customHeight="1">
      <c r="A555" s="225"/>
      <c r="B555" s="225"/>
      <c r="C555" s="225"/>
      <c r="D555" s="225"/>
      <c r="E555" s="225"/>
      <c r="F555" s="22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  <c r="AA555" s="225"/>
    </row>
    <row r="556" ht="15.75" customHeight="1">
      <c r="A556" s="225"/>
      <c r="B556" s="225"/>
      <c r="C556" s="225"/>
      <c r="D556" s="225"/>
      <c r="E556" s="225"/>
      <c r="F556" s="22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  <c r="AA556" s="225"/>
    </row>
    <row r="557" ht="15.75" customHeight="1">
      <c r="A557" s="225"/>
      <c r="B557" s="225"/>
      <c r="C557" s="225"/>
      <c r="D557" s="225"/>
      <c r="E557" s="225"/>
      <c r="F557" s="22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  <c r="AA557" s="225"/>
    </row>
    <row r="558" ht="15.75" customHeight="1">
      <c r="A558" s="225"/>
      <c r="B558" s="225"/>
      <c r="C558" s="225"/>
      <c r="D558" s="225"/>
      <c r="E558" s="225"/>
      <c r="F558" s="22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  <c r="AA558" s="225"/>
    </row>
    <row r="559" ht="15.75" customHeight="1">
      <c r="A559" s="225"/>
      <c r="B559" s="225"/>
      <c r="C559" s="225"/>
      <c r="D559" s="225"/>
      <c r="E559" s="225"/>
      <c r="F559" s="22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  <c r="AA559" s="225"/>
    </row>
    <row r="560" ht="15.75" customHeight="1">
      <c r="A560" s="225"/>
      <c r="B560" s="225"/>
      <c r="C560" s="225"/>
      <c r="D560" s="225"/>
      <c r="E560" s="225"/>
      <c r="F560" s="22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  <c r="AA560" s="225"/>
    </row>
    <row r="561" ht="15.75" customHeight="1">
      <c r="A561" s="225"/>
      <c r="B561" s="225"/>
      <c r="C561" s="225"/>
      <c r="D561" s="225"/>
      <c r="E561" s="225"/>
      <c r="F561" s="22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  <c r="AA561" s="225"/>
    </row>
    <row r="562" ht="15.75" customHeight="1">
      <c r="A562" s="225"/>
      <c r="B562" s="225"/>
      <c r="C562" s="225"/>
      <c r="D562" s="225"/>
      <c r="E562" s="225"/>
      <c r="F562" s="22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  <c r="AA562" s="225"/>
    </row>
    <row r="563" ht="15.75" customHeight="1">
      <c r="A563" s="225"/>
      <c r="B563" s="225"/>
      <c r="C563" s="225"/>
      <c r="D563" s="225"/>
      <c r="E563" s="225"/>
      <c r="F563" s="22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  <c r="AA563" s="225"/>
    </row>
    <row r="564" ht="15.75" customHeight="1">
      <c r="A564" s="225"/>
      <c r="B564" s="225"/>
      <c r="C564" s="225"/>
      <c r="D564" s="225"/>
      <c r="E564" s="225"/>
      <c r="F564" s="22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  <c r="AA564" s="225"/>
    </row>
    <row r="565" ht="15.75" customHeight="1">
      <c r="A565" s="225"/>
      <c r="B565" s="225"/>
      <c r="C565" s="225"/>
      <c r="D565" s="225"/>
      <c r="E565" s="225"/>
      <c r="F565" s="22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  <c r="AA565" s="225"/>
    </row>
    <row r="566" ht="15.75" customHeight="1">
      <c r="A566" s="225"/>
      <c r="B566" s="225"/>
      <c r="C566" s="225"/>
      <c r="D566" s="225"/>
      <c r="E566" s="225"/>
      <c r="F566" s="22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  <c r="AA566" s="225"/>
    </row>
    <row r="567" ht="15.75" customHeight="1">
      <c r="A567" s="225"/>
      <c r="B567" s="225"/>
      <c r="C567" s="225"/>
      <c r="D567" s="225"/>
      <c r="E567" s="225"/>
      <c r="F567" s="22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  <c r="AA567" s="225"/>
    </row>
    <row r="568" ht="15.75" customHeight="1">
      <c r="A568" s="225"/>
      <c r="B568" s="225"/>
      <c r="C568" s="225"/>
      <c r="D568" s="225"/>
      <c r="E568" s="225"/>
      <c r="F568" s="22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  <c r="AA568" s="225"/>
    </row>
    <row r="569" ht="15.75" customHeight="1">
      <c r="A569" s="225"/>
      <c r="B569" s="225"/>
      <c r="C569" s="225"/>
      <c r="D569" s="225"/>
      <c r="E569" s="225"/>
      <c r="F569" s="22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  <c r="AA569" s="225"/>
    </row>
    <row r="570" ht="15.75" customHeight="1">
      <c r="A570" s="225"/>
      <c r="B570" s="225"/>
      <c r="C570" s="225"/>
      <c r="D570" s="225"/>
      <c r="E570" s="225"/>
      <c r="F570" s="22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  <c r="AA570" s="225"/>
    </row>
    <row r="571" ht="15.75" customHeight="1">
      <c r="A571" s="225"/>
      <c r="B571" s="225"/>
      <c r="C571" s="225"/>
      <c r="D571" s="225"/>
      <c r="E571" s="225"/>
      <c r="F571" s="22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  <c r="AA571" s="225"/>
    </row>
    <row r="572" ht="15.75" customHeight="1">
      <c r="A572" s="225"/>
      <c r="B572" s="225"/>
      <c r="C572" s="225"/>
      <c r="D572" s="225"/>
      <c r="E572" s="225"/>
      <c r="F572" s="22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  <c r="AA572" s="225"/>
    </row>
    <row r="573" ht="15.75" customHeight="1">
      <c r="A573" s="225"/>
      <c r="B573" s="225"/>
      <c r="C573" s="225"/>
      <c r="D573" s="225"/>
      <c r="E573" s="225"/>
      <c r="F573" s="22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  <c r="AA573" s="225"/>
    </row>
    <row r="574" ht="15.75" customHeight="1">
      <c r="A574" s="225"/>
      <c r="B574" s="225"/>
      <c r="C574" s="225"/>
      <c r="D574" s="225"/>
      <c r="E574" s="225"/>
      <c r="F574" s="22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  <c r="AA574" s="225"/>
    </row>
    <row r="575" ht="15.75" customHeight="1">
      <c r="A575" s="225"/>
      <c r="B575" s="225"/>
      <c r="C575" s="225"/>
      <c r="D575" s="225"/>
      <c r="E575" s="225"/>
      <c r="F575" s="22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  <c r="AA575" s="225"/>
    </row>
    <row r="576" ht="15.75" customHeight="1">
      <c r="A576" s="225"/>
      <c r="B576" s="225"/>
      <c r="C576" s="225"/>
      <c r="D576" s="225"/>
      <c r="E576" s="225"/>
      <c r="F576" s="22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  <c r="AA576" s="225"/>
    </row>
    <row r="577" ht="15.75" customHeight="1">
      <c r="A577" s="225"/>
      <c r="B577" s="225"/>
      <c r="C577" s="225"/>
      <c r="D577" s="225"/>
      <c r="E577" s="225"/>
      <c r="F577" s="22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  <c r="AA577" s="225"/>
    </row>
    <row r="578" ht="15.75" customHeight="1">
      <c r="A578" s="225"/>
      <c r="B578" s="225"/>
      <c r="C578" s="225"/>
      <c r="D578" s="225"/>
      <c r="E578" s="225"/>
      <c r="F578" s="22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  <c r="AA578" s="225"/>
    </row>
    <row r="579" ht="15.75" customHeight="1">
      <c r="A579" s="225"/>
      <c r="B579" s="225"/>
      <c r="C579" s="225"/>
      <c r="D579" s="225"/>
      <c r="E579" s="225"/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  <c r="AA579" s="225"/>
    </row>
    <row r="580" ht="15.75" customHeight="1">
      <c r="A580" s="225"/>
      <c r="B580" s="225"/>
      <c r="C580" s="225"/>
      <c r="D580" s="225"/>
      <c r="E580" s="225"/>
      <c r="F580" s="22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  <c r="AA580" s="225"/>
    </row>
    <row r="581" ht="15.75" customHeight="1">
      <c r="A581" s="225"/>
      <c r="B581" s="225"/>
      <c r="C581" s="225"/>
      <c r="D581" s="225"/>
      <c r="E581" s="225"/>
      <c r="F581" s="22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  <c r="AA581" s="225"/>
    </row>
    <row r="582" ht="15.75" customHeight="1">
      <c r="A582" s="225"/>
      <c r="B582" s="225"/>
      <c r="C582" s="225"/>
      <c r="D582" s="225"/>
      <c r="E582" s="225"/>
      <c r="F582" s="22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  <c r="AA582" s="225"/>
    </row>
    <row r="583" ht="15.75" customHeight="1">
      <c r="A583" s="225"/>
      <c r="B583" s="225"/>
      <c r="C583" s="225"/>
      <c r="D583" s="225"/>
      <c r="E583" s="225"/>
      <c r="F583" s="22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  <c r="AA583" s="225"/>
    </row>
    <row r="584" ht="15.75" customHeight="1">
      <c r="A584" s="225"/>
      <c r="B584" s="225"/>
      <c r="C584" s="225"/>
      <c r="D584" s="225"/>
      <c r="E584" s="225"/>
      <c r="F584" s="22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  <c r="AA584" s="225"/>
    </row>
    <row r="585" ht="15.75" customHeight="1">
      <c r="A585" s="225"/>
      <c r="B585" s="225"/>
      <c r="C585" s="225"/>
      <c r="D585" s="225"/>
      <c r="E585" s="225"/>
      <c r="F585" s="22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  <c r="AA585" s="225"/>
    </row>
    <row r="586" ht="15.75" customHeight="1">
      <c r="A586" s="225"/>
      <c r="B586" s="225"/>
      <c r="C586" s="225"/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  <c r="AA586" s="225"/>
    </row>
    <row r="587" ht="15.75" customHeight="1">
      <c r="A587" s="225"/>
      <c r="B587" s="225"/>
      <c r="C587" s="225"/>
      <c r="D587" s="225"/>
      <c r="E587" s="225"/>
      <c r="F587" s="22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  <c r="AA587" s="225"/>
    </row>
    <row r="588" ht="15.75" customHeight="1">
      <c r="A588" s="225"/>
      <c r="B588" s="225"/>
      <c r="C588" s="225"/>
      <c r="D588" s="225"/>
      <c r="E588" s="225"/>
      <c r="F588" s="22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  <c r="AA588" s="225"/>
    </row>
    <row r="589" ht="15.75" customHeight="1">
      <c r="A589" s="225"/>
      <c r="B589" s="225"/>
      <c r="C589" s="225"/>
      <c r="D589" s="225"/>
      <c r="E589" s="225"/>
      <c r="F589" s="22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  <c r="AA589" s="225"/>
    </row>
    <row r="590" ht="15.75" customHeight="1">
      <c r="A590" s="225"/>
      <c r="B590" s="225"/>
      <c r="C590" s="225"/>
      <c r="D590" s="225"/>
      <c r="E590" s="225"/>
      <c r="F590" s="22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  <c r="AA590" s="225"/>
    </row>
    <row r="591" ht="15.75" customHeight="1">
      <c r="A591" s="225"/>
      <c r="B591" s="225"/>
      <c r="C591" s="225"/>
      <c r="D591" s="225"/>
      <c r="E591" s="225"/>
      <c r="F591" s="22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  <c r="AA591" s="225"/>
    </row>
    <row r="592" ht="15.75" customHeight="1">
      <c r="A592" s="225"/>
      <c r="B592" s="225"/>
      <c r="C592" s="225"/>
      <c r="D592" s="225"/>
      <c r="E592" s="225"/>
      <c r="F592" s="22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  <c r="AA592" s="225"/>
    </row>
    <row r="593" ht="15.75" customHeight="1">
      <c r="A593" s="225"/>
      <c r="B593" s="225"/>
      <c r="C593" s="225"/>
      <c r="D593" s="225"/>
      <c r="E593" s="225"/>
      <c r="F593" s="22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</row>
    <row r="594" ht="15.75" customHeight="1">
      <c r="A594" s="225"/>
      <c r="B594" s="225"/>
      <c r="C594" s="225"/>
      <c r="D594" s="225"/>
      <c r="E594" s="225"/>
      <c r="F594" s="22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  <c r="AA594" s="225"/>
    </row>
    <row r="595" ht="15.75" customHeight="1">
      <c r="A595" s="225"/>
      <c r="B595" s="225"/>
      <c r="C595" s="225"/>
      <c r="D595" s="225"/>
      <c r="E595" s="225"/>
      <c r="F595" s="22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  <c r="AA595" s="225"/>
    </row>
    <row r="596" ht="15.75" customHeight="1">
      <c r="A596" s="225"/>
      <c r="B596" s="225"/>
      <c r="C596" s="225"/>
      <c r="D596" s="225"/>
      <c r="E596" s="225"/>
      <c r="F596" s="22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  <c r="AA596" s="225"/>
    </row>
    <row r="597" ht="15.75" customHeight="1">
      <c r="A597" s="225"/>
      <c r="B597" s="225"/>
      <c r="C597" s="225"/>
      <c r="D597" s="225"/>
      <c r="E597" s="225"/>
      <c r="F597" s="22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  <c r="AA597" s="225"/>
    </row>
    <row r="598" ht="15.75" customHeight="1">
      <c r="A598" s="225"/>
      <c r="B598" s="225"/>
      <c r="C598" s="225"/>
      <c r="D598" s="225"/>
      <c r="E598" s="225"/>
      <c r="F598" s="22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  <c r="AA598" s="225"/>
    </row>
    <row r="599" ht="15.75" customHeight="1">
      <c r="A599" s="225"/>
      <c r="B599" s="225"/>
      <c r="C599" s="225"/>
      <c r="D599" s="225"/>
      <c r="E599" s="225"/>
      <c r="F599" s="22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  <c r="AA599" s="225"/>
    </row>
    <row r="600" ht="15.75" customHeight="1">
      <c r="A600" s="225"/>
      <c r="B600" s="225"/>
      <c r="C600" s="225"/>
      <c r="D600" s="225"/>
      <c r="E600" s="225"/>
      <c r="F600" s="22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  <c r="AA600" s="225"/>
    </row>
    <row r="601" ht="15.75" customHeight="1">
      <c r="A601" s="225"/>
      <c r="B601" s="225"/>
      <c r="C601" s="225"/>
      <c r="D601" s="225"/>
      <c r="E601" s="225"/>
      <c r="F601" s="22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  <c r="AA601" s="225"/>
    </row>
    <row r="602" ht="15.75" customHeight="1">
      <c r="A602" s="225"/>
      <c r="B602" s="225"/>
      <c r="C602" s="225"/>
      <c r="D602" s="225"/>
      <c r="E602" s="225"/>
      <c r="F602" s="22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  <c r="AA602" s="225"/>
    </row>
    <row r="603" ht="15.75" customHeight="1">
      <c r="A603" s="225"/>
      <c r="B603" s="225"/>
      <c r="C603" s="225"/>
      <c r="D603" s="225"/>
      <c r="E603" s="225"/>
      <c r="F603" s="22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  <c r="AA603" s="225"/>
    </row>
    <row r="604" ht="15.75" customHeight="1">
      <c r="A604" s="225"/>
      <c r="B604" s="225"/>
      <c r="C604" s="225"/>
      <c r="D604" s="225"/>
      <c r="E604" s="225"/>
      <c r="F604" s="22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  <c r="AA604" s="225"/>
    </row>
    <row r="605" ht="15.75" customHeight="1">
      <c r="A605" s="225"/>
      <c r="B605" s="225"/>
      <c r="C605" s="225"/>
      <c r="D605" s="225"/>
      <c r="E605" s="225"/>
      <c r="F605" s="22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  <c r="AA605" s="225"/>
    </row>
    <row r="606" ht="15.75" customHeight="1">
      <c r="A606" s="225"/>
      <c r="B606" s="225"/>
      <c r="C606" s="225"/>
      <c r="D606" s="225"/>
      <c r="E606" s="225"/>
      <c r="F606" s="22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  <c r="AA606" s="225"/>
    </row>
    <row r="607" ht="15.75" customHeight="1">
      <c r="A607" s="225"/>
      <c r="B607" s="225"/>
      <c r="C607" s="225"/>
      <c r="D607" s="225"/>
      <c r="E607" s="225"/>
      <c r="F607" s="22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  <c r="AA607" s="225"/>
    </row>
    <row r="608" ht="15.75" customHeight="1">
      <c r="A608" s="225"/>
      <c r="B608" s="225"/>
      <c r="C608" s="225"/>
      <c r="D608" s="225"/>
      <c r="E608" s="225"/>
      <c r="F608" s="22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  <c r="AA608" s="225"/>
    </row>
    <row r="609" ht="15.75" customHeight="1">
      <c r="A609" s="225"/>
      <c r="B609" s="225"/>
      <c r="C609" s="225"/>
      <c r="D609" s="225"/>
      <c r="E609" s="225"/>
      <c r="F609" s="22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  <c r="AA609" s="225"/>
    </row>
    <row r="610" ht="15.75" customHeight="1">
      <c r="A610" s="225"/>
      <c r="B610" s="225"/>
      <c r="C610" s="225"/>
      <c r="D610" s="225"/>
      <c r="E610" s="225"/>
      <c r="F610" s="22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  <c r="AA610" s="225"/>
    </row>
    <row r="611" ht="15.75" customHeight="1">
      <c r="A611" s="225"/>
      <c r="B611" s="225"/>
      <c r="C611" s="225"/>
      <c r="D611" s="225"/>
      <c r="E611" s="225"/>
      <c r="F611" s="22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  <c r="AA611" s="225"/>
    </row>
    <row r="612" ht="15.75" customHeight="1">
      <c r="A612" s="225"/>
      <c r="B612" s="225"/>
      <c r="C612" s="225"/>
      <c r="D612" s="225"/>
      <c r="E612" s="225"/>
      <c r="F612" s="22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  <c r="AA612" s="225"/>
    </row>
    <row r="613" ht="15.75" customHeight="1">
      <c r="A613" s="225"/>
      <c r="B613" s="225"/>
      <c r="C613" s="225"/>
      <c r="D613" s="225"/>
      <c r="E613" s="225"/>
      <c r="F613" s="22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  <c r="AA613" s="225"/>
    </row>
    <row r="614" ht="15.75" customHeight="1">
      <c r="A614" s="225"/>
      <c r="B614" s="225"/>
      <c r="C614" s="225"/>
      <c r="D614" s="225"/>
      <c r="E614" s="225"/>
      <c r="F614" s="22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  <c r="AA614" s="225"/>
    </row>
    <row r="615" ht="15.75" customHeight="1">
      <c r="A615" s="225"/>
      <c r="B615" s="225"/>
      <c r="C615" s="225"/>
      <c r="D615" s="225"/>
      <c r="E615" s="225"/>
      <c r="F615" s="22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  <c r="AA615" s="225"/>
    </row>
    <row r="616" ht="15.75" customHeight="1">
      <c r="A616" s="225"/>
      <c r="B616" s="225"/>
      <c r="C616" s="225"/>
      <c r="D616" s="225"/>
      <c r="E616" s="225"/>
      <c r="F616" s="22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  <c r="AA616" s="225"/>
    </row>
    <row r="617" ht="15.75" customHeight="1">
      <c r="A617" s="225"/>
      <c r="B617" s="225"/>
      <c r="C617" s="225"/>
      <c r="D617" s="225"/>
      <c r="E617" s="225"/>
      <c r="F617" s="22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  <c r="AA617" s="225"/>
    </row>
    <row r="618" ht="15.75" customHeight="1">
      <c r="A618" s="225"/>
      <c r="B618" s="225"/>
      <c r="C618" s="225"/>
      <c r="D618" s="225"/>
      <c r="E618" s="225"/>
      <c r="F618" s="22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  <c r="AA618" s="225"/>
    </row>
    <row r="619" ht="15.75" customHeight="1">
      <c r="A619" s="225"/>
      <c r="B619" s="225"/>
      <c r="C619" s="225"/>
      <c r="D619" s="225"/>
      <c r="E619" s="225"/>
      <c r="F619" s="22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  <c r="AA619" s="225"/>
    </row>
    <row r="620" ht="15.75" customHeight="1">
      <c r="A620" s="225"/>
      <c r="B620" s="225"/>
      <c r="C620" s="225"/>
      <c r="D620" s="225"/>
      <c r="E620" s="225"/>
      <c r="F620" s="22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  <c r="AA620" s="225"/>
    </row>
    <row r="621" ht="15.75" customHeight="1">
      <c r="A621" s="225"/>
      <c r="B621" s="225"/>
      <c r="C621" s="225"/>
      <c r="D621" s="225"/>
      <c r="E621" s="225"/>
      <c r="F621" s="22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  <c r="AA621" s="225"/>
    </row>
    <row r="622" ht="15.75" customHeight="1">
      <c r="A622" s="225"/>
      <c r="B622" s="225"/>
      <c r="C622" s="225"/>
      <c r="D622" s="225"/>
      <c r="E622" s="225"/>
      <c r="F622" s="22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  <c r="AA622" s="225"/>
    </row>
    <row r="623" ht="15.75" customHeight="1">
      <c r="A623" s="225"/>
      <c r="B623" s="225"/>
      <c r="C623" s="225"/>
      <c r="D623" s="225"/>
      <c r="E623" s="225"/>
      <c r="F623" s="22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  <c r="AA623" s="225"/>
    </row>
    <row r="624" ht="15.75" customHeight="1">
      <c r="A624" s="225"/>
      <c r="B624" s="225"/>
      <c r="C624" s="225"/>
      <c r="D624" s="225"/>
      <c r="E624" s="225"/>
      <c r="F624" s="22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  <c r="AA624" s="225"/>
    </row>
    <row r="625" ht="15.75" customHeight="1">
      <c r="A625" s="225"/>
      <c r="B625" s="225"/>
      <c r="C625" s="225"/>
      <c r="D625" s="225"/>
      <c r="E625" s="225"/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  <c r="AA625" s="225"/>
    </row>
    <row r="626" ht="15.75" customHeight="1">
      <c r="A626" s="225"/>
      <c r="B626" s="225"/>
      <c r="C626" s="225"/>
      <c r="D626" s="225"/>
      <c r="E626" s="225"/>
      <c r="F626" s="22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  <c r="AA626" s="225"/>
    </row>
    <row r="627" ht="15.75" customHeight="1">
      <c r="A627" s="225"/>
      <c r="B627" s="225"/>
      <c r="C627" s="225"/>
      <c r="D627" s="225"/>
      <c r="E627" s="225"/>
      <c r="F627" s="22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  <c r="AA627" s="225"/>
    </row>
    <row r="628" ht="15.75" customHeight="1">
      <c r="A628" s="225"/>
      <c r="B628" s="225"/>
      <c r="C628" s="225"/>
      <c r="D628" s="225"/>
      <c r="E628" s="225"/>
      <c r="F628" s="22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  <c r="AA628" s="225"/>
    </row>
    <row r="629" ht="15.75" customHeight="1">
      <c r="A629" s="225"/>
      <c r="B629" s="225"/>
      <c r="C629" s="225"/>
      <c r="D629" s="225"/>
      <c r="E629" s="225"/>
      <c r="F629" s="22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  <c r="AA629" s="225"/>
    </row>
    <row r="630" ht="15.75" customHeight="1">
      <c r="A630" s="225"/>
      <c r="B630" s="225"/>
      <c r="C630" s="225"/>
      <c r="D630" s="225"/>
      <c r="E630" s="225"/>
      <c r="F630" s="22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  <c r="AA630" s="225"/>
    </row>
    <row r="631" ht="15.75" customHeight="1">
      <c r="A631" s="225"/>
      <c r="B631" s="225"/>
      <c r="C631" s="225"/>
      <c r="D631" s="225"/>
      <c r="E631" s="225"/>
      <c r="F631" s="22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  <c r="AA631" s="225"/>
    </row>
    <row r="632" ht="15.75" customHeight="1">
      <c r="A632" s="225"/>
      <c r="B632" s="225"/>
      <c r="C632" s="225"/>
      <c r="D632" s="225"/>
      <c r="E632" s="225"/>
      <c r="F632" s="22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  <c r="AA632" s="225"/>
    </row>
    <row r="633" ht="15.75" customHeight="1">
      <c r="A633" s="225"/>
      <c r="B633" s="225"/>
      <c r="C633" s="225"/>
      <c r="D633" s="225"/>
      <c r="E633" s="225"/>
      <c r="F633" s="22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  <c r="AA633" s="225"/>
    </row>
    <row r="634" ht="15.75" customHeight="1">
      <c r="A634" s="225"/>
      <c r="B634" s="225"/>
      <c r="C634" s="225"/>
      <c r="D634" s="225"/>
      <c r="E634" s="225"/>
      <c r="F634" s="22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  <c r="AA634" s="225"/>
    </row>
    <row r="635" ht="15.75" customHeight="1">
      <c r="A635" s="225"/>
      <c r="B635" s="225"/>
      <c r="C635" s="225"/>
      <c r="D635" s="225"/>
      <c r="E635" s="225"/>
      <c r="F635" s="22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  <c r="AA635" s="225"/>
    </row>
    <row r="636" ht="15.75" customHeight="1">
      <c r="A636" s="225"/>
      <c r="B636" s="225"/>
      <c r="C636" s="225"/>
      <c r="D636" s="225"/>
      <c r="E636" s="225"/>
      <c r="F636" s="22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  <c r="AA636" s="225"/>
    </row>
    <row r="637" ht="15.75" customHeight="1">
      <c r="A637" s="225"/>
      <c r="B637" s="225"/>
      <c r="C637" s="225"/>
      <c r="D637" s="225"/>
      <c r="E637" s="225"/>
      <c r="F637" s="22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  <c r="AA637" s="225"/>
    </row>
    <row r="638" ht="15.75" customHeight="1">
      <c r="A638" s="225"/>
      <c r="B638" s="225"/>
      <c r="C638" s="225"/>
      <c r="D638" s="225"/>
      <c r="E638" s="225"/>
      <c r="F638" s="22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  <c r="AA638" s="225"/>
    </row>
    <row r="639" ht="15.75" customHeight="1">
      <c r="A639" s="225"/>
      <c r="B639" s="225"/>
      <c r="C639" s="225"/>
      <c r="D639" s="225"/>
      <c r="E639" s="225"/>
      <c r="F639" s="22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  <c r="AA639" s="225"/>
    </row>
    <row r="640" ht="15.75" customHeight="1">
      <c r="A640" s="225"/>
      <c r="B640" s="225"/>
      <c r="C640" s="225"/>
      <c r="D640" s="225"/>
      <c r="E640" s="225"/>
      <c r="F640" s="22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  <c r="AA640" s="225"/>
    </row>
    <row r="641" ht="15.75" customHeight="1">
      <c r="A641" s="225"/>
      <c r="B641" s="225"/>
      <c r="C641" s="225"/>
      <c r="D641" s="225"/>
      <c r="E641" s="225"/>
      <c r="F641" s="22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  <c r="AA641" s="225"/>
    </row>
    <row r="642" ht="15.75" customHeight="1">
      <c r="A642" s="225"/>
      <c r="B642" s="225"/>
      <c r="C642" s="225"/>
      <c r="D642" s="225"/>
      <c r="E642" s="225"/>
      <c r="F642" s="22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  <c r="AA642" s="225"/>
    </row>
    <row r="643" ht="15.75" customHeight="1">
      <c r="A643" s="225"/>
      <c r="B643" s="225"/>
      <c r="C643" s="225"/>
      <c r="D643" s="225"/>
      <c r="E643" s="225"/>
      <c r="F643" s="22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  <c r="AA643" s="225"/>
    </row>
    <row r="644" ht="15.75" customHeight="1">
      <c r="A644" s="225"/>
      <c r="B644" s="225"/>
      <c r="C644" s="225"/>
      <c r="D644" s="225"/>
      <c r="E644" s="225"/>
      <c r="F644" s="22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  <c r="AA644" s="225"/>
    </row>
    <row r="645" ht="15.75" customHeight="1">
      <c r="A645" s="225"/>
      <c r="B645" s="225"/>
      <c r="C645" s="225"/>
      <c r="D645" s="225"/>
      <c r="E645" s="225"/>
      <c r="F645" s="22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  <c r="AA645" s="225"/>
    </row>
    <row r="646" ht="15.75" customHeight="1">
      <c r="A646" s="225"/>
      <c r="B646" s="225"/>
      <c r="C646" s="225"/>
      <c r="D646" s="225"/>
      <c r="E646" s="225"/>
      <c r="F646" s="22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  <c r="AA646" s="225"/>
    </row>
    <row r="647" ht="15.75" customHeight="1">
      <c r="A647" s="225"/>
      <c r="B647" s="225"/>
      <c r="C647" s="225"/>
      <c r="D647" s="225"/>
      <c r="E647" s="225"/>
      <c r="F647" s="22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  <c r="AA647" s="225"/>
    </row>
    <row r="648" ht="15.75" customHeight="1">
      <c r="A648" s="225"/>
      <c r="B648" s="225"/>
      <c r="C648" s="225"/>
      <c r="D648" s="225"/>
      <c r="E648" s="225"/>
      <c r="F648" s="22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  <c r="AA648" s="225"/>
    </row>
    <row r="649" ht="15.75" customHeight="1">
      <c r="A649" s="225"/>
      <c r="B649" s="225"/>
      <c r="C649" s="225"/>
      <c r="D649" s="225"/>
      <c r="E649" s="225"/>
      <c r="F649" s="22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  <c r="AA649" s="225"/>
    </row>
    <row r="650" ht="15.75" customHeight="1">
      <c r="A650" s="225"/>
      <c r="B650" s="225"/>
      <c r="C650" s="225"/>
      <c r="D650" s="225"/>
      <c r="E650" s="225"/>
      <c r="F650" s="22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  <c r="AA650" s="225"/>
    </row>
    <row r="651" ht="15.75" customHeight="1">
      <c r="A651" s="225"/>
      <c r="B651" s="225"/>
      <c r="C651" s="225"/>
      <c r="D651" s="225"/>
      <c r="E651" s="225"/>
      <c r="F651" s="22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  <c r="AA651" s="225"/>
    </row>
    <row r="652" ht="15.75" customHeight="1">
      <c r="A652" s="225"/>
      <c r="B652" s="225"/>
      <c r="C652" s="225"/>
      <c r="D652" s="225"/>
      <c r="E652" s="225"/>
      <c r="F652" s="22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  <c r="AA652" s="225"/>
    </row>
    <row r="653" ht="15.75" customHeight="1">
      <c r="A653" s="225"/>
      <c r="B653" s="225"/>
      <c r="C653" s="225"/>
      <c r="D653" s="225"/>
      <c r="E653" s="225"/>
      <c r="F653" s="22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  <c r="AA653" s="225"/>
    </row>
    <row r="654" ht="15.75" customHeight="1">
      <c r="A654" s="225"/>
      <c r="B654" s="225"/>
      <c r="C654" s="225"/>
      <c r="D654" s="225"/>
      <c r="E654" s="225"/>
      <c r="F654" s="22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  <c r="AA654" s="225"/>
    </row>
    <row r="655" ht="15.75" customHeight="1">
      <c r="A655" s="225"/>
      <c r="B655" s="225"/>
      <c r="C655" s="225"/>
      <c r="D655" s="225"/>
      <c r="E655" s="225"/>
      <c r="F655" s="22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  <c r="AA655" s="225"/>
    </row>
    <row r="656" ht="15.75" customHeight="1">
      <c r="A656" s="225"/>
      <c r="B656" s="225"/>
      <c r="C656" s="225"/>
      <c r="D656" s="225"/>
      <c r="E656" s="225"/>
      <c r="F656" s="22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  <c r="AA656" s="225"/>
    </row>
    <row r="657" ht="15.75" customHeight="1">
      <c r="A657" s="225"/>
      <c r="B657" s="225"/>
      <c r="C657" s="225"/>
      <c r="D657" s="225"/>
      <c r="E657" s="225"/>
      <c r="F657" s="22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  <c r="AA657" s="225"/>
    </row>
    <row r="658" ht="15.75" customHeight="1">
      <c r="A658" s="225"/>
      <c r="B658" s="225"/>
      <c r="C658" s="225"/>
      <c r="D658" s="225"/>
      <c r="E658" s="225"/>
      <c r="F658" s="22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  <c r="AA658" s="225"/>
    </row>
    <row r="659" ht="15.75" customHeight="1">
      <c r="A659" s="225"/>
      <c r="B659" s="225"/>
      <c r="C659" s="225"/>
      <c r="D659" s="225"/>
      <c r="E659" s="225"/>
      <c r="F659" s="22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  <c r="AA659" s="225"/>
    </row>
    <row r="660" ht="15.75" customHeight="1">
      <c r="A660" s="225"/>
      <c r="B660" s="225"/>
      <c r="C660" s="225"/>
      <c r="D660" s="225"/>
      <c r="E660" s="225"/>
      <c r="F660" s="22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  <c r="AA660" s="225"/>
    </row>
    <row r="661" ht="15.75" customHeight="1">
      <c r="A661" s="225"/>
      <c r="B661" s="225"/>
      <c r="C661" s="225"/>
      <c r="D661" s="225"/>
      <c r="E661" s="225"/>
      <c r="F661" s="22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  <c r="AA661" s="225"/>
    </row>
    <row r="662" ht="15.75" customHeight="1">
      <c r="A662" s="225"/>
      <c r="B662" s="225"/>
      <c r="C662" s="225"/>
      <c r="D662" s="225"/>
      <c r="E662" s="225"/>
      <c r="F662" s="22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  <c r="AA662" s="225"/>
    </row>
    <row r="663" ht="15.75" customHeight="1">
      <c r="A663" s="225"/>
      <c r="B663" s="225"/>
      <c r="C663" s="225"/>
      <c r="D663" s="225"/>
      <c r="E663" s="225"/>
      <c r="F663" s="22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  <c r="AA663" s="225"/>
    </row>
    <row r="664" ht="15.75" customHeight="1">
      <c r="A664" s="225"/>
      <c r="B664" s="225"/>
      <c r="C664" s="225"/>
      <c r="D664" s="225"/>
      <c r="E664" s="225"/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  <c r="AA664" s="225"/>
    </row>
    <row r="665" ht="15.75" customHeight="1">
      <c r="A665" s="225"/>
      <c r="B665" s="225"/>
      <c r="C665" s="225"/>
      <c r="D665" s="225"/>
      <c r="E665" s="225"/>
      <c r="F665" s="22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  <c r="AA665" s="225"/>
    </row>
    <row r="666" ht="15.75" customHeight="1">
      <c r="A666" s="225"/>
      <c r="B666" s="225"/>
      <c r="C666" s="225"/>
      <c r="D666" s="225"/>
      <c r="E666" s="225"/>
      <c r="F666" s="22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  <c r="AA666" s="225"/>
    </row>
    <row r="667" ht="15.75" customHeight="1">
      <c r="A667" s="225"/>
      <c r="B667" s="225"/>
      <c r="C667" s="225"/>
      <c r="D667" s="225"/>
      <c r="E667" s="225"/>
      <c r="F667" s="22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  <c r="AA667" s="225"/>
    </row>
    <row r="668" ht="15.75" customHeight="1">
      <c r="A668" s="225"/>
      <c r="B668" s="225"/>
      <c r="C668" s="225"/>
      <c r="D668" s="225"/>
      <c r="E668" s="225"/>
      <c r="F668" s="22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  <c r="AA668" s="225"/>
    </row>
    <row r="669" ht="15.75" customHeight="1">
      <c r="A669" s="225"/>
      <c r="B669" s="225"/>
      <c r="C669" s="225"/>
      <c r="D669" s="225"/>
      <c r="E669" s="225"/>
      <c r="F669" s="22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  <c r="AA669" s="225"/>
    </row>
    <row r="670" ht="15.75" customHeight="1">
      <c r="A670" s="225"/>
      <c r="B670" s="225"/>
      <c r="C670" s="225"/>
      <c r="D670" s="225"/>
      <c r="E670" s="225"/>
      <c r="F670" s="22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  <c r="AA670" s="225"/>
    </row>
    <row r="671" ht="15.75" customHeight="1">
      <c r="A671" s="225"/>
      <c r="B671" s="225"/>
      <c r="C671" s="225"/>
      <c r="D671" s="225"/>
      <c r="E671" s="225"/>
      <c r="F671" s="22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  <c r="AA671" s="225"/>
    </row>
    <row r="672" ht="15.75" customHeight="1">
      <c r="A672" s="225"/>
      <c r="B672" s="225"/>
      <c r="C672" s="225"/>
      <c r="D672" s="225"/>
      <c r="E672" s="225"/>
      <c r="F672" s="22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  <c r="AA672" s="225"/>
    </row>
    <row r="673" ht="15.75" customHeight="1">
      <c r="A673" s="225"/>
      <c r="B673" s="225"/>
      <c r="C673" s="225"/>
      <c r="D673" s="225"/>
      <c r="E673" s="225"/>
      <c r="F673" s="22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  <c r="AA673" s="225"/>
    </row>
    <row r="674" ht="15.75" customHeight="1">
      <c r="A674" s="225"/>
      <c r="B674" s="225"/>
      <c r="C674" s="225"/>
      <c r="D674" s="225"/>
      <c r="E674" s="225"/>
      <c r="F674" s="22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  <c r="AA674" s="225"/>
    </row>
    <row r="675" ht="15.75" customHeight="1">
      <c r="A675" s="225"/>
      <c r="B675" s="225"/>
      <c r="C675" s="225"/>
      <c r="D675" s="225"/>
      <c r="E675" s="225"/>
      <c r="F675" s="22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  <c r="AA675" s="225"/>
    </row>
    <row r="676" ht="15.75" customHeight="1">
      <c r="A676" s="225"/>
      <c r="B676" s="225"/>
      <c r="C676" s="225"/>
      <c r="D676" s="225"/>
      <c r="E676" s="225"/>
      <c r="F676" s="22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  <c r="AA676" s="225"/>
    </row>
    <row r="677" ht="15.75" customHeight="1">
      <c r="A677" s="225"/>
      <c r="B677" s="225"/>
      <c r="C677" s="225"/>
      <c r="D677" s="225"/>
      <c r="E677" s="225"/>
      <c r="F677" s="22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  <c r="AA677" s="225"/>
    </row>
    <row r="678" ht="15.75" customHeight="1">
      <c r="A678" s="225"/>
      <c r="B678" s="225"/>
      <c r="C678" s="225"/>
      <c r="D678" s="225"/>
      <c r="E678" s="225"/>
      <c r="F678" s="22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  <c r="AA678" s="225"/>
    </row>
    <row r="679" ht="15.75" customHeight="1">
      <c r="A679" s="225"/>
      <c r="B679" s="225"/>
      <c r="C679" s="225"/>
      <c r="D679" s="225"/>
      <c r="E679" s="225"/>
      <c r="F679" s="22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  <c r="AA679" s="225"/>
    </row>
    <row r="680" ht="15.75" customHeight="1">
      <c r="A680" s="225"/>
      <c r="B680" s="225"/>
      <c r="C680" s="225"/>
      <c r="D680" s="225"/>
      <c r="E680" s="225"/>
      <c r="F680" s="22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  <c r="AA680" s="225"/>
    </row>
    <row r="681" ht="15.75" customHeight="1">
      <c r="A681" s="225"/>
      <c r="B681" s="225"/>
      <c r="C681" s="225"/>
      <c r="D681" s="225"/>
      <c r="E681" s="225"/>
      <c r="F681" s="22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  <c r="AA681" s="225"/>
    </row>
    <row r="682" ht="15.75" customHeight="1">
      <c r="A682" s="225"/>
      <c r="B682" s="225"/>
      <c r="C682" s="225"/>
      <c r="D682" s="225"/>
      <c r="E682" s="225"/>
      <c r="F682" s="22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  <c r="AA682" s="225"/>
    </row>
    <row r="683" ht="15.75" customHeight="1">
      <c r="A683" s="225"/>
      <c r="B683" s="225"/>
      <c r="C683" s="225"/>
      <c r="D683" s="225"/>
      <c r="E683" s="225"/>
      <c r="F683" s="22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  <c r="AA683" s="225"/>
    </row>
    <row r="684" ht="15.75" customHeight="1">
      <c r="A684" s="225"/>
      <c r="B684" s="225"/>
      <c r="C684" s="225"/>
      <c r="D684" s="225"/>
      <c r="E684" s="225"/>
      <c r="F684" s="22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  <c r="AA684" s="225"/>
    </row>
    <row r="685" ht="15.75" customHeight="1">
      <c r="A685" s="225"/>
      <c r="B685" s="225"/>
      <c r="C685" s="225"/>
      <c r="D685" s="225"/>
      <c r="E685" s="225"/>
      <c r="F685" s="22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  <c r="AA685" s="225"/>
    </row>
    <row r="686" ht="15.75" customHeight="1">
      <c r="A686" s="225"/>
      <c r="B686" s="225"/>
      <c r="C686" s="225"/>
      <c r="D686" s="225"/>
      <c r="E686" s="225"/>
      <c r="F686" s="22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  <c r="AA686" s="225"/>
    </row>
    <row r="687" ht="15.75" customHeight="1">
      <c r="A687" s="225"/>
      <c r="B687" s="225"/>
      <c r="C687" s="225"/>
      <c r="D687" s="225"/>
      <c r="E687" s="225"/>
      <c r="F687" s="22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  <c r="AA687" s="225"/>
    </row>
    <row r="688" ht="15.75" customHeight="1">
      <c r="A688" s="225"/>
      <c r="B688" s="225"/>
      <c r="C688" s="225"/>
      <c r="D688" s="225"/>
      <c r="E688" s="225"/>
      <c r="F688" s="22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  <c r="AA688" s="225"/>
    </row>
    <row r="689" ht="15.75" customHeight="1">
      <c r="A689" s="225"/>
      <c r="B689" s="225"/>
      <c r="C689" s="225"/>
      <c r="D689" s="225"/>
      <c r="E689" s="225"/>
      <c r="F689" s="22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  <c r="AA689" s="225"/>
    </row>
    <row r="690" ht="15.75" customHeight="1">
      <c r="A690" s="225"/>
      <c r="B690" s="225"/>
      <c r="C690" s="225"/>
      <c r="D690" s="225"/>
      <c r="E690" s="225"/>
      <c r="F690" s="22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  <c r="AA690" s="225"/>
    </row>
    <row r="691" ht="15.75" customHeight="1">
      <c r="A691" s="225"/>
      <c r="B691" s="225"/>
      <c r="C691" s="225"/>
      <c r="D691" s="225"/>
      <c r="E691" s="225"/>
      <c r="F691" s="22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  <c r="AA691" s="225"/>
    </row>
    <row r="692" ht="15.75" customHeight="1">
      <c r="A692" s="225"/>
      <c r="B692" s="225"/>
      <c r="C692" s="225"/>
      <c r="D692" s="225"/>
      <c r="E692" s="225"/>
      <c r="F692" s="22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  <c r="AA692" s="225"/>
    </row>
    <row r="693" ht="15.75" customHeight="1">
      <c r="A693" s="225"/>
      <c r="B693" s="225"/>
      <c r="C693" s="225"/>
      <c r="D693" s="225"/>
      <c r="E693" s="225"/>
      <c r="F693" s="22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  <c r="AA693" s="225"/>
    </row>
    <row r="694" ht="15.75" customHeight="1">
      <c r="A694" s="225"/>
      <c r="B694" s="225"/>
      <c r="C694" s="225"/>
      <c r="D694" s="225"/>
      <c r="E694" s="225"/>
      <c r="F694" s="22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  <c r="AA694" s="225"/>
    </row>
    <row r="695" ht="15.75" customHeight="1">
      <c r="A695" s="225"/>
      <c r="B695" s="225"/>
      <c r="C695" s="225"/>
      <c r="D695" s="225"/>
      <c r="E695" s="225"/>
      <c r="F695" s="22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  <c r="AA695" s="225"/>
    </row>
    <row r="696" ht="15.75" customHeight="1">
      <c r="A696" s="225"/>
      <c r="B696" s="225"/>
      <c r="C696" s="225"/>
      <c r="D696" s="225"/>
      <c r="E696" s="225"/>
      <c r="F696" s="22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  <c r="AA696" s="225"/>
    </row>
    <row r="697" ht="15.75" customHeight="1">
      <c r="A697" s="225"/>
      <c r="B697" s="225"/>
      <c r="C697" s="225"/>
      <c r="D697" s="225"/>
      <c r="E697" s="225"/>
      <c r="F697" s="22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  <c r="AA697" s="225"/>
    </row>
    <row r="698" ht="15.75" customHeight="1">
      <c r="A698" s="225"/>
      <c r="B698" s="225"/>
      <c r="C698" s="225"/>
      <c r="D698" s="225"/>
      <c r="E698" s="225"/>
      <c r="F698" s="22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  <c r="AA698" s="225"/>
    </row>
    <row r="699" ht="15.75" customHeight="1">
      <c r="A699" s="225"/>
      <c r="B699" s="225"/>
      <c r="C699" s="225"/>
      <c r="D699" s="225"/>
      <c r="E699" s="225"/>
      <c r="F699" s="22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  <c r="AA699" s="225"/>
    </row>
    <row r="700" ht="15.75" customHeight="1">
      <c r="A700" s="225"/>
      <c r="B700" s="225"/>
      <c r="C700" s="225"/>
      <c r="D700" s="225"/>
      <c r="E700" s="225"/>
      <c r="F700" s="22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  <c r="AA700" s="225"/>
    </row>
    <row r="701" ht="15.75" customHeight="1">
      <c r="A701" s="225"/>
      <c r="B701" s="225"/>
      <c r="C701" s="225"/>
      <c r="D701" s="225"/>
      <c r="E701" s="225"/>
      <c r="F701" s="22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  <c r="AA701" s="225"/>
    </row>
    <row r="702" ht="15.75" customHeight="1">
      <c r="A702" s="225"/>
      <c r="B702" s="225"/>
      <c r="C702" s="225"/>
      <c r="D702" s="225"/>
      <c r="E702" s="225"/>
      <c r="F702" s="22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  <c r="AA702" s="225"/>
    </row>
    <row r="703" ht="15.75" customHeight="1">
      <c r="A703" s="225"/>
      <c r="B703" s="225"/>
      <c r="C703" s="225"/>
      <c r="D703" s="225"/>
      <c r="E703" s="225"/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  <c r="AA703" s="225"/>
    </row>
    <row r="704" ht="15.75" customHeight="1">
      <c r="A704" s="225"/>
      <c r="B704" s="225"/>
      <c r="C704" s="225"/>
      <c r="D704" s="225"/>
      <c r="E704" s="225"/>
      <c r="F704" s="22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  <c r="AA704" s="225"/>
    </row>
    <row r="705" ht="15.75" customHeight="1">
      <c r="A705" s="225"/>
      <c r="B705" s="225"/>
      <c r="C705" s="225"/>
      <c r="D705" s="225"/>
      <c r="E705" s="225"/>
      <c r="F705" s="22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  <c r="AA705" s="225"/>
    </row>
    <row r="706" ht="15.75" customHeight="1">
      <c r="A706" s="225"/>
      <c r="B706" s="225"/>
      <c r="C706" s="225"/>
      <c r="D706" s="225"/>
      <c r="E706" s="225"/>
      <c r="F706" s="22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  <c r="AA706" s="225"/>
    </row>
    <row r="707" ht="15.75" customHeight="1">
      <c r="A707" s="225"/>
      <c r="B707" s="225"/>
      <c r="C707" s="225"/>
      <c r="D707" s="225"/>
      <c r="E707" s="225"/>
      <c r="F707" s="22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  <c r="AA707" s="225"/>
    </row>
    <row r="708" ht="15.75" customHeight="1">
      <c r="A708" s="225"/>
      <c r="B708" s="225"/>
      <c r="C708" s="225"/>
      <c r="D708" s="225"/>
      <c r="E708" s="225"/>
      <c r="F708" s="22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  <c r="AA708" s="225"/>
    </row>
    <row r="709" ht="15.75" customHeight="1">
      <c r="A709" s="225"/>
      <c r="B709" s="225"/>
      <c r="C709" s="225"/>
      <c r="D709" s="225"/>
      <c r="E709" s="225"/>
      <c r="F709" s="22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  <c r="AA709" s="225"/>
    </row>
    <row r="710" ht="15.75" customHeight="1">
      <c r="A710" s="225"/>
      <c r="B710" s="225"/>
      <c r="C710" s="225"/>
      <c r="D710" s="225"/>
      <c r="E710" s="225"/>
      <c r="F710" s="22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  <c r="AA710" s="225"/>
    </row>
    <row r="711" ht="15.75" customHeight="1">
      <c r="A711" s="225"/>
      <c r="B711" s="225"/>
      <c r="C711" s="225"/>
      <c r="D711" s="225"/>
      <c r="E711" s="225"/>
      <c r="F711" s="22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  <c r="AA711" s="225"/>
    </row>
    <row r="712" ht="15.75" customHeight="1">
      <c r="A712" s="225"/>
      <c r="B712" s="225"/>
      <c r="C712" s="225"/>
      <c r="D712" s="225"/>
      <c r="E712" s="225"/>
      <c r="F712" s="22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  <c r="AA712" s="225"/>
    </row>
    <row r="713" ht="15.75" customHeight="1">
      <c r="A713" s="225"/>
      <c r="B713" s="225"/>
      <c r="C713" s="225"/>
      <c r="D713" s="225"/>
      <c r="E713" s="225"/>
      <c r="F713" s="22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  <c r="AA713" s="225"/>
    </row>
    <row r="714" ht="15.75" customHeight="1">
      <c r="A714" s="225"/>
      <c r="B714" s="225"/>
      <c r="C714" s="225"/>
      <c r="D714" s="225"/>
      <c r="E714" s="225"/>
      <c r="F714" s="22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  <c r="AA714" s="225"/>
    </row>
    <row r="715" ht="15.75" customHeight="1">
      <c r="A715" s="225"/>
      <c r="B715" s="225"/>
      <c r="C715" s="225"/>
      <c r="D715" s="225"/>
      <c r="E715" s="225"/>
      <c r="F715" s="22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  <c r="AA715" s="225"/>
    </row>
    <row r="716" ht="15.75" customHeight="1">
      <c r="A716" s="225"/>
      <c r="B716" s="225"/>
      <c r="C716" s="225"/>
      <c r="D716" s="225"/>
      <c r="E716" s="225"/>
      <c r="F716" s="22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  <c r="AA716" s="225"/>
    </row>
    <row r="717" ht="15.75" customHeight="1">
      <c r="A717" s="225"/>
      <c r="B717" s="225"/>
      <c r="C717" s="225"/>
      <c r="D717" s="225"/>
      <c r="E717" s="225"/>
      <c r="F717" s="22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  <c r="AA717" s="225"/>
    </row>
    <row r="718" ht="15.75" customHeight="1">
      <c r="A718" s="225"/>
      <c r="B718" s="225"/>
      <c r="C718" s="225"/>
      <c r="D718" s="225"/>
      <c r="E718" s="225"/>
      <c r="F718" s="22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  <c r="AA718" s="225"/>
    </row>
    <row r="719" ht="15.75" customHeight="1">
      <c r="A719" s="225"/>
      <c r="B719" s="225"/>
      <c r="C719" s="225"/>
      <c r="D719" s="225"/>
      <c r="E719" s="225"/>
      <c r="F719" s="22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  <c r="AA719" s="225"/>
    </row>
    <row r="720" ht="15.75" customHeight="1">
      <c r="A720" s="225"/>
      <c r="B720" s="225"/>
      <c r="C720" s="225"/>
      <c r="D720" s="225"/>
      <c r="E720" s="225"/>
      <c r="F720" s="22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  <c r="AA720" s="225"/>
    </row>
    <row r="721" ht="15.75" customHeight="1">
      <c r="A721" s="225"/>
      <c r="B721" s="225"/>
      <c r="C721" s="225"/>
      <c r="D721" s="225"/>
      <c r="E721" s="225"/>
      <c r="F721" s="22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  <c r="AA721" s="225"/>
    </row>
    <row r="722" ht="15.75" customHeight="1">
      <c r="A722" s="225"/>
      <c r="B722" s="225"/>
      <c r="C722" s="225"/>
      <c r="D722" s="225"/>
      <c r="E722" s="225"/>
      <c r="F722" s="22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  <c r="AA722" s="225"/>
    </row>
    <row r="723" ht="15.75" customHeight="1">
      <c r="A723" s="225"/>
      <c r="B723" s="225"/>
      <c r="C723" s="225"/>
      <c r="D723" s="225"/>
      <c r="E723" s="225"/>
      <c r="F723" s="22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  <c r="AA723" s="225"/>
    </row>
    <row r="724" ht="15.75" customHeight="1">
      <c r="A724" s="225"/>
      <c r="B724" s="225"/>
      <c r="C724" s="225"/>
      <c r="D724" s="225"/>
      <c r="E724" s="225"/>
      <c r="F724" s="22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  <c r="AA724" s="225"/>
    </row>
    <row r="725" ht="15.75" customHeight="1">
      <c r="A725" s="225"/>
      <c r="B725" s="225"/>
      <c r="C725" s="225"/>
      <c r="D725" s="225"/>
      <c r="E725" s="225"/>
      <c r="F725" s="22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  <c r="AA725" s="225"/>
    </row>
    <row r="726" ht="15.75" customHeight="1">
      <c r="A726" s="225"/>
      <c r="B726" s="225"/>
      <c r="C726" s="225"/>
      <c r="D726" s="225"/>
      <c r="E726" s="225"/>
      <c r="F726" s="22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  <c r="AA726" s="225"/>
    </row>
    <row r="727" ht="15.75" customHeight="1">
      <c r="A727" s="225"/>
      <c r="B727" s="225"/>
      <c r="C727" s="225"/>
      <c r="D727" s="225"/>
      <c r="E727" s="225"/>
      <c r="F727" s="22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  <c r="AA727" s="225"/>
    </row>
    <row r="728" ht="15.75" customHeight="1">
      <c r="A728" s="225"/>
      <c r="B728" s="225"/>
      <c r="C728" s="225"/>
      <c r="D728" s="225"/>
      <c r="E728" s="225"/>
      <c r="F728" s="22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  <c r="AA728" s="225"/>
    </row>
    <row r="729" ht="15.75" customHeight="1">
      <c r="A729" s="225"/>
      <c r="B729" s="225"/>
      <c r="C729" s="225"/>
      <c r="D729" s="225"/>
      <c r="E729" s="225"/>
      <c r="F729" s="22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  <c r="AA729" s="225"/>
    </row>
    <row r="730" ht="15.75" customHeight="1">
      <c r="A730" s="225"/>
      <c r="B730" s="225"/>
      <c r="C730" s="225"/>
      <c r="D730" s="225"/>
      <c r="E730" s="225"/>
      <c r="F730" s="22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  <c r="AA730" s="225"/>
    </row>
    <row r="731" ht="15.75" customHeight="1">
      <c r="A731" s="225"/>
      <c r="B731" s="225"/>
      <c r="C731" s="225"/>
      <c r="D731" s="225"/>
      <c r="E731" s="225"/>
      <c r="F731" s="22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  <c r="AA731" s="225"/>
    </row>
    <row r="732" ht="15.75" customHeight="1">
      <c r="A732" s="225"/>
      <c r="B732" s="225"/>
      <c r="C732" s="225"/>
      <c r="D732" s="225"/>
      <c r="E732" s="225"/>
      <c r="F732" s="22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  <c r="AA732" s="225"/>
    </row>
    <row r="733" ht="15.75" customHeight="1">
      <c r="A733" s="225"/>
      <c r="B733" s="225"/>
      <c r="C733" s="225"/>
      <c r="D733" s="225"/>
      <c r="E733" s="225"/>
      <c r="F733" s="22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  <c r="AA733" s="225"/>
    </row>
    <row r="734" ht="15.75" customHeight="1">
      <c r="A734" s="225"/>
      <c r="B734" s="225"/>
      <c r="C734" s="225"/>
      <c r="D734" s="225"/>
      <c r="E734" s="225"/>
      <c r="F734" s="22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  <c r="AA734" s="225"/>
    </row>
    <row r="735" ht="15.75" customHeight="1">
      <c r="A735" s="225"/>
      <c r="B735" s="225"/>
      <c r="C735" s="225"/>
      <c r="D735" s="225"/>
      <c r="E735" s="225"/>
      <c r="F735" s="22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  <c r="AA735" s="225"/>
    </row>
    <row r="736" ht="15.75" customHeight="1">
      <c r="A736" s="225"/>
      <c r="B736" s="225"/>
      <c r="C736" s="225"/>
      <c r="D736" s="225"/>
      <c r="E736" s="225"/>
      <c r="F736" s="22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  <c r="AA736" s="225"/>
    </row>
    <row r="737" ht="15.75" customHeight="1">
      <c r="A737" s="225"/>
      <c r="B737" s="225"/>
      <c r="C737" s="225"/>
      <c r="D737" s="225"/>
      <c r="E737" s="225"/>
      <c r="F737" s="22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  <c r="AA737" s="225"/>
    </row>
    <row r="738" ht="15.75" customHeight="1">
      <c r="A738" s="225"/>
      <c r="B738" s="225"/>
      <c r="C738" s="225"/>
      <c r="D738" s="225"/>
      <c r="E738" s="225"/>
      <c r="F738" s="22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  <c r="AA738" s="225"/>
    </row>
    <row r="739" ht="15.75" customHeight="1">
      <c r="A739" s="225"/>
      <c r="B739" s="225"/>
      <c r="C739" s="225"/>
      <c r="D739" s="225"/>
      <c r="E739" s="225"/>
      <c r="F739" s="22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  <c r="AA739" s="225"/>
    </row>
    <row r="740" ht="15.75" customHeight="1">
      <c r="A740" s="225"/>
      <c r="B740" s="225"/>
      <c r="C740" s="225"/>
      <c r="D740" s="225"/>
      <c r="E740" s="225"/>
      <c r="F740" s="22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  <c r="AA740" s="225"/>
    </row>
    <row r="741" ht="15.75" customHeight="1">
      <c r="A741" s="225"/>
      <c r="B741" s="225"/>
      <c r="C741" s="225"/>
      <c r="D741" s="225"/>
      <c r="E741" s="225"/>
      <c r="F741" s="22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  <c r="AA741" s="225"/>
    </row>
    <row r="742" ht="15.75" customHeight="1">
      <c r="A742" s="225"/>
      <c r="B742" s="225"/>
      <c r="C742" s="225"/>
      <c r="D742" s="225"/>
      <c r="E742" s="225"/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  <c r="AA742" s="225"/>
    </row>
    <row r="743" ht="15.75" customHeight="1">
      <c r="A743" s="225"/>
      <c r="B743" s="225"/>
      <c r="C743" s="225"/>
      <c r="D743" s="225"/>
      <c r="E743" s="225"/>
      <c r="F743" s="22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  <c r="AA743" s="225"/>
    </row>
    <row r="744" ht="15.75" customHeight="1">
      <c r="A744" s="225"/>
      <c r="B744" s="225"/>
      <c r="C744" s="225"/>
      <c r="D744" s="225"/>
      <c r="E744" s="225"/>
      <c r="F744" s="22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  <c r="AA744" s="225"/>
    </row>
    <row r="745" ht="15.75" customHeight="1">
      <c r="A745" s="225"/>
      <c r="B745" s="225"/>
      <c r="C745" s="225"/>
      <c r="D745" s="225"/>
      <c r="E745" s="225"/>
      <c r="F745" s="22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  <c r="AA745" s="225"/>
    </row>
    <row r="746" ht="15.75" customHeight="1">
      <c r="A746" s="225"/>
      <c r="B746" s="225"/>
      <c r="C746" s="225"/>
      <c r="D746" s="225"/>
      <c r="E746" s="225"/>
      <c r="F746" s="22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  <c r="AA746" s="225"/>
    </row>
    <row r="747" ht="15.75" customHeight="1">
      <c r="A747" s="225"/>
      <c r="B747" s="225"/>
      <c r="C747" s="225"/>
      <c r="D747" s="225"/>
      <c r="E747" s="225"/>
      <c r="F747" s="22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  <c r="AA747" s="225"/>
    </row>
    <row r="748" ht="15.75" customHeight="1">
      <c r="A748" s="225"/>
      <c r="B748" s="225"/>
      <c r="C748" s="225"/>
      <c r="D748" s="225"/>
      <c r="E748" s="225"/>
      <c r="F748" s="22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  <c r="AA748" s="225"/>
    </row>
    <row r="749" ht="15.75" customHeight="1">
      <c r="A749" s="225"/>
      <c r="B749" s="225"/>
      <c r="C749" s="225"/>
      <c r="D749" s="225"/>
      <c r="E749" s="225"/>
      <c r="F749" s="22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  <c r="AA749" s="225"/>
    </row>
    <row r="750" ht="15.75" customHeight="1">
      <c r="A750" s="225"/>
      <c r="B750" s="225"/>
      <c r="C750" s="225"/>
      <c r="D750" s="225"/>
      <c r="E750" s="225"/>
      <c r="F750" s="22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  <c r="AA750" s="225"/>
    </row>
    <row r="751" ht="15.75" customHeight="1">
      <c r="A751" s="225"/>
      <c r="B751" s="225"/>
      <c r="C751" s="225"/>
      <c r="D751" s="225"/>
      <c r="E751" s="225"/>
      <c r="F751" s="22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  <c r="AA751" s="225"/>
    </row>
    <row r="752" ht="15.75" customHeight="1">
      <c r="A752" s="225"/>
      <c r="B752" s="225"/>
      <c r="C752" s="225"/>
      <c r="D752" s="225"/>
      <c r="E752" s="225"/>
      <c r="F752" s="22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  <c r="AA752" s="225"/>
    </row>
    <row r="753" ht="15.75" customHeight="1">
      <c r="A753" s="225"/>
      <c r="B753" s="225"/>
      <c r="C753" s="225"/>
      <c r="D753" s="225"/>
      <c r="E753" s="225"/>
      <c r="F753" s="22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  <c r="AA753" s="225"/>
    </row>
    <row r="754" ht="15.75" customHeight="1">
      <c r="A754" s="225"/>
      <c r="B754" s="225"/>
      <c r="C754" s="225"/>
      <c r="D754" s="225"/>
      <c r="E754" s="225"/>
      <c r="F754" s="22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  <c r="AA754" s="225"/>
    </row>
    <row r="755" ht="15.75" customHeight="1">
      <c r="A755" s="225"/>
      <c r="B755" s="225"/>
      <c r="C755" s="225"/>
      <c r="D755" s="225"/>
      <c r="E755" s="225"/>
      <c r="F755" s="22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  <c r="AA755" s="225"/>
    </row>
    <row r="756" ht="15.75" customHeight="1">
      <c r="A756" s="225"/>
      <c r="B756" s="225"/>
      <c r="C756" s="225"/>
      <c r="D756" s="225"/>
      <c r="E756" s="225"/>
      <c r="F756" s="22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  <c r="AA756" s="225"/>
    </row>
    <row r="757" ht="15.75" customHeight="1">
      <c r="A757" s="225"/>
      <c r="B757" s="225"/>
      <c r="C757" s="225"/>
      <c r="D757" s="225"/>
      <c r="E757" s="225"/>
      <c r="F757" s="22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  <c r="AA757" s="225"/>
    </row>
    <row r="758" ht="15.75" customHeight="1">
      <c r="A758" s="225"/>
      <c r="B758" s="225"/>
      <c r="C758" s="225"/>
      <c r="D758" s="225"/>
      <c r="E758" s="225"/>
      <c r="F758" s="22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  <c r="AA758" s="225"/>
    </row>
    <row r="759" ht="15.75" customHeight="1">
      <c r="A759" s="225"/>
      <c r="B759" s="225"/>
      <c r="C759" s="225"/>
      <c r="D759" s="225"/>
      <c r="E759" s="225"/>
      <c r="F759" s="22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  <c r="AA759" s="225"/>
    </row>
    <row r="760" ht="15.75" customHeight="1">
      <c r="A760" s="225"/>
      <c r="B760" s="225"/>
      <c r="C760" s="225"/>
      <c r="D760" s="225"/>
      <c r="E760" s="225"/>
      <c r="F760" s="22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  <c r="AA760" s="225"/>
    </row>
    <row r="761" ht="15.75" customHeight="1">
      <c r="A761" s="225"/>
      <c r="B761" s="225"/>
      <c r="C761" s="225"/>
      <c r="D761" s="225"/>
      <c r="E761" s="225"/>
      <c r="F761" s="22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  <c r="AA761" s="225"/>
    </row>
    <row r="762" ht="15.75" customHeight="1">
      <c r="A762" s="225"/>
      <c r="B762" s="225"/>
      <c r="C762" s="225"/>
      <c r="D762" s="225"/>
      <c r="E762" s="225"/>
      <c r="F762" s="22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  <c r="AA762" s="225"/>
    </row>
    <row r="763" ht="15.75" customHeight="1">
      <c r="A763" s="225"/>
      <c r="B763" s="225"/>
      <c r="C763" s="225"/>
      <c r="D763" s="225"/>
      <c r="E763" s="225"/>
      <c r="F763" s="22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  <c r="AA763" s="225"/>
    </row>
    <row r="764" ht="15.75" customHeight="1">
      <c r="A764" s="225"/>
      <c r="B764" s="225"/>
      <c r="C764" s="225"/>
      <c r="D764" s="225"/>
      <c r="E764" s="225"/>
      <c r="F764" s="22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  <c r="AA764" s="225"/>
    </row>
    <row r="765" ht="15.75" customHeight="1">
      <c r="A765" s="225"/>
      <c r="B765" s="225"/>
      <c r="C765" s="225"/>
      <c r="D765" s="225"/>
      <c r="E765" s="225"/>
      <c r="F765" s="22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  <c r="AA765" s="225"/>
    </row>
    <row r="766" ht="15.75" customHeight="1">
      <c r="A766" s="225"/>
      <c r="B766" s="225"/>
      <c r="C766" s="225"/>
      <c r="D766" s="225"/>
      <c r="E766" s="225"/>
      <c r="F766" s="22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  <c r="AA766" s="225"/>
    </row>
    <row r="767" ht="15.75" customHeight="1">
      <c r="A767" s="225"/>
      <c r="B767" s="225"/>
      <c r="C767" s="225"/>
      <c r="D767" s="225"/>
      <c r="E767" s="225"/>
      <c r="F767" s="22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  <c r="AA767" s="225"/>
    </row>
    <row r="768" ht="15.75" customHeight="1">
      <c r="A768" s="225"/>
      <c r="B768" s="225"/>
      <c r="C768" s="225"/>
      <c r="D768" s="225"/>
      <c r="E768" s="225"/>
      <c r="F768" s="22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  <c r="AA768" s="225"/>
    </row>
    <row r="769" ht="15.75" customHeight="1">
      <c r="A769" s="225"/>
      <c r="B769" s="225"/>
      <c r="C769" s="225"/>
      <c r="D769" s="225"/>
      <c r="E769" s="225"/>
      <c r="F769" s="22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  <c r="AA769" s="225"/>
    </row>
    <row r="770" ht="15.75" customHeight="1">
      <c r="A770" s="225"/>
      <c r="B770" s="225"/>
      <c r="C770" s="225"/>
      <c r="D770" s="225"/>
      <c r="E770" s="225"/>
      <c r="F770" s="22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  <c r="AA770" s="225"/>
    </row>
    <row r="771" ht="15.75" customHeight="1">
      <c r="A771" s="225"/>
      <c r="B771" s="225"/>
      <c r="C771" s="225"/>
      <c r="D771" s="225"/>
      <c r="E771" s="225"/>
      <c r="F771" s="22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  <c r="AA771" s="225"/>
    </row>
    <row r="772" ht="15.75" customHeight="1">
      <c r="A772" s="225"/>
      <c r="B772" s="225"/>
      <c r="C772" s="225"/>
      <c r="D772" s="225"/>
      <c r="E772" s="225"/>
      <c r="F772" s="22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  <c r="AA772" s="225"/>
    </row>
    <row r="773" ht="15.75" customHeight="1">
      <c r="A773" s="225"/>
      <c r="B773" s="225"/>
      <c r="C773" s="225"/>
      <c r="D773" s="225"/>
      <c r="E773" s="225"/>
      <c r="F773" s="22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  <c r="AA773" s="225"/>
    </row>
    <row r="774" ht="15.75" customHeight="1">
      <c r="A774" s="225"/>
      <c r="B774" s="225"/>
      <c r="C774" s="225"/>
      <c r="D774" s="225"/>
      <c r="E774" s="225"/>
      <c r="F774" s="22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  <c r="AA774" s="225"/>
    </row>
    <row r="775" ht="15.75" customHeight="1">
      <c r="A775" s="225"/>
      <c r="B775" s="225"/>
      <c r="C775" s="225"/>
      <c r="D775" s="225"/>
      <c r="E775" s="225"/>
      <c r="F775" s="22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  <c r="AA775" s="225"/>
    </row>
    <row r="776" ht="15.75" customHeight="1">
      <c r="A776" s="225"/>
      <c r="B776" s="225"/>
      <c r="C776" s="225"/>
      <c r="D776" s="225"/>
      <c r="E776" s="225"/>
      <c r="F776" s="22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  <c r="AA776" s="225"/>
    </row>
    <row r="777" ht="15.75" customHeight="1">
      <c r="A777" s="225"/>
      <c r="B777" s="225"/>
      <c r="C777" s="225"/>
      <c r="D777" s="225"/>
      <c r="E777" s="225"/>
      <c r="F777" s="22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  <c r="AA777" s="225"/>
    </row>
    <row r="778" ht="15.75" customHeight="1">
      <c r="A778" s="225"/>
      <c r="B778" s="225"/>
      <c r="C778" s="225"/>
      <c r="D778" s="225"/>
      <c r="E778" s="225"/>
      <c r="F778" s="22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  <c r="AA778" s="225"/>
    </row>
    <row r="779" ht="15.75" customHeight="1">
      <c r="A779" s="225"/>
      <c r="B779" s="225"/>
      <c r="C779" s="225"/>
      <c r="D779" s="225"/>
      <c r="E779" s="225"/>
      <c r="F779" s="22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  <c r="AA779" s="225"/>
    </row>
    <row r="780" ht="15.75" customHeight="1">
      <c r="A780" s="225"/>
      <c r="B780" s="225"/>
      <c r="C780" s="225"/>
      <c r="D780" s="225"/>
      <c r="E780" s="225"/>
      <c r="F780" s="22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  <c r="AA780" s="225"/>
    </row>
    <row r="781" ht="15.75" customHeight="1">
      <c r="A781" s="225"/>
      <c r="B781" s="225"/>
      <c r="C781" s="225"/>
      <c r="D781" s="225"/>
      <c r="E781" s="225"/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  <c r="AA781" s="225"/>
    </row>
    <row r="782" ht="15.75" customHeight="1">
      <c r="A782" s="225"/>
      <c r="B782" s="225"/>
      <c r="C782" s="225"/>
      <c r="D782" s="225"/>
      <c r="E782" s="225"/>
      <c r="F782" s="22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  <c r="AA782" s="225"/>
    </row>
    <row r="783" ht="15.75" customHeight="1">
      <c r="A783" s="225"/>
      <c r="B783" s="225"/>
      <c r="C783" s="225"/>
      <c r="D783" s="225"/>
      <c r="E783" s="225"/>
      <c r="F783" s="22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  <c r="AA783" s="225"/>
    </row>
    <row r="784" ht="15.75" customHeight="1">
      <c r="A784" s="225"/>
      <c r="B784" s="225"/>
      <c r="C784" s="225"/>
      <c r="D784" s="225"/>
      <c r="E784" s="225"/>
      <c r="F784" s="22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  <c r="AA784" s="225"/>
    </row>
    <row r="785" ht="15.75" customHeight="1">
      <c r="A785" s="225"/>
      <c r="B785" s="225"/>
      <c r="C785" s="225"/>
      <c r="D785" s="225"/>
      <c r="E785" s="225"/>
      <c r="F785" s="22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  <c r="AA785" s="225"/>
    </row>
    <row r="786" ht="15.75" customHeight="1">
      <c r="A786" s="225"/>
      <c r="B786" s="225"/>
      <c r="C786" s="225"/>
      <c r="D786" s="225"/>
      <c r="E786" s="225"/>
      <c r="F786" s="22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  <c r="AA786" s="225"/>
    </row>
    <row r="787" ht="15.75" customHeight="1">
      <c r="A787" s="225"/>
      <c r="B787" s="225"/>
      <c r="C787" s="225"/>
      <c r="D787" s="225"/>
      <c r="E787" s="225"/>
      <c r="F787" s="22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  <c r="AA787" s="225"/>
    </row>
    <row r="788" ht="15.75" customHeight="1">
      <c r="A788" s="225"/>
      <c r="B788" s="225"/>
      <c r="C788" s="225"/>
      <c r="D788" s="225"/>
      <c r="E788" s="225"/>
      <c r="F788" s="22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  <c r="AA788" s="225"/>
    </row>
    <row r="789" ht="15.75" customHeight="1">
      <c r="A789" s="225"/>
      <c r="B789" s="225"/>
      <c r="C789" s="225"/>
      <c r="D789" s="225"/>
      <c r="E789" s="225"/>
      <c r="F789" s="22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  <c r="AA789" s="225"/>
    </row>
    <row r="790" ht="15.75" customHeight="1">
      <c r="A790" s="225"/>
      <c r="B790" s="225"/>
      <c r="C790" s="225"/>
      <c r="D790" s="225"/>
      <c r="E790" s="225"/>
      <c r="F790" s="22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  <c r="AA790" s="225"/>
    </row>
    <row r="791" ht="15.75" customHeight="1">
      <c r="A791" s="225"/>
      <c r="B791" s="225"/>
      <c r="C791" s="225"/>
      <c r="D791" s="225"/>
      <c r="E791" s="225"/>
      <c r="F791" s="22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  <c r="AA791" s="225"/>
    </row>
    <row r="792" ht="15.75" customHeight="1">
      <c r="A792" s="225"/>
      <c r="B792" s="225"/>
      <c r="C792" s="225"/>
      <c r="D792" s="225"/>
      <c r="E792" s="225"/>
      <c r="F792" s="22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  <c r="AA792" s="225"/>
    </row>
    <row r="793" ht="15.75" customHeight="1">
      <c r="A793" s="225"/>
      <c r="B793" s="225"/>
      <c r="C793" s="225"/>
      <c r="D793" s="225"/>
      <c r="E793" s="225"/>
      <c r="F793" s="22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  <c r="AA793" s="225"/>
    </row>
    <row r="794" ht="15.75" customHeight="1">
      <c r="A794" s="225"/>
      <c r="B794" s="225"/>
      <c r="C794" s="225"/>
      <c r="D794" s="225"/>
      <c r="E794" s="225"/>
      <c r="F794" s="22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  <c r="AA794" s="225"/>
    </row>
    <row r="795" ht="15.75" customHeight="1">
      <c r="A795" s="225"/>
      <c r="B795" s="225"/>
      <c r="C795" s="225"/>
      <c r="D795" s="225"/>
      <c r="E795" s="225"/>
      <c r="F795" s="22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  <c r="AA795" s="225"/>
    </row>
    <row r="796" ht="15.75" customHeight="1">
      <c r="A796" s="225"/>
      <c r="B796" s="225"/>
      <c r="C796" s="225"/>
      <c r="D796" s="225"/>
      <c r="E796" s="225"/>
      <c r="F796" s="22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  <c r="AA796" s="225"/>
    </row>
    <row r="797" ht="15.75" customHeight="1">
      <c r="A797" s="225"/>
      <c r="B797" s="225"/>
      <c r="C797" s="225"/>
      <c r="D797" s="225"/>
      <c r="E797" s="225"/>
      <c r="F797" s="22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  <c r="AA797" s="225"/>
    </row>
    <row r="798" ht="15.75" customHeight="1">
      <c r="A798" s="225"/>
      <c r="B798" s="225"/>
      <c r="C798" s="225"/>
      <c r="D798" s="225"/>
      <c r="E798" s="225"/>
      <c r="F798" s="22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  <c r="AA798" s="225"/>
    </row>
    <row r="799" ht="15.75" customHeight="1">
      <c r="A799" s="225"/>
      <c r="B799" s="225"/>
      <c r="C799" s="225"/>
      <c r="D799" s="225"/>
      <c r="E799" s="225"/>
      <c r="F799" s="22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  <c r="AA799" s="225"/>
    </row>
    <row r="800" ht="15.75" customHeight="1">
      <c r="A800" s="225"/>
      <c r="B800" s="225"/>
      <c r="C800" s="225"/>
      <c r="D800" s="225"/>
      <c r="E800" s="225"/>
      <c r="F800" s="22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  <c r="AA800" s="225"/>
    </row>
    <row r="801" ht="15.75" customHeight="1">
      <c r="A801" s="225"/>
      <c r="B801" s="225"/>
      <c r="C801" s="225"/>
      <c r="D801" s="225"/>
      <c r="E801" s="225"/>
      <c r="F801" s="22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  <c r="AA801" s="225"/>
    </row>
    <row r="802" ht="15.75" customHeight="1">
      <c r="A802" s="225"/>
      <c r="B802" s="225"/>
      <c r="C802" s="225"/>
      <c r="D802" s="225"/>
      <c r="E802" s="225"/>
      <c r="F802" s="22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  <c r="AA802" s="225"/>
    </row>
    <row r="803" ht="15.75" customHeight="1">
      <c r="A803" s="225"/>
      <c r="B803" s="225"/>
      <c r="C803" s="225"/>
      <c r="D803" s="225"/>
      <c r="E803" s="225"/>
      <c r="F803" s="22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  <c r="AA803" s="225"/>
    </row>
    <row r="804" ht="15.75" customHeight="1">
      <c r="A804" s="225"/>
      <c r="B804" s="225"/>
      <c r="C804" s="225"/>
      <c r="D804" s="225"/>
      <c r="E804" s="225"/>
      <c r="F804" s="22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  <c r="AA804" s="225"/>
    </row>
    <row r="805" ht="15.75" customHeight="1">
      <c r="A805" s="225"/>
      <c r="B805" s="225"/>
      <c r="C805" s="225"/>
      <c r="D805" s="225"/>
      <c r="E805" s="225"/>
      <c r="F805" s="22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  <c r="AA805" s="225"/>
    </row>
    <row r="806" ht="15.75" customHeight="1">
      <c r="A806" s="225"/>
      <c r="B806" s="225"/>
      <c r="C806" s="225"/>
      <c r="D806" s="225"/>
      <c r="E806" s="225"/>
      <c r="F806" s="22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  <c r="AA806" s="225"/>
    </row>
    <row r="807" ht="15.75" customHeight="1">
      <c r="A807" s="225"/>
      <c r="B807" s="225"/>
      <c r="C807" s="225"/>
      <c r="D807" s="225"/>
      <c r="E807" s="225"/>
      <c r="F807" s="22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  <c r="AA807" s="225"/>
    </row>
    <row r="808" ht="15.75" customHeight="1">
      <c r="A808" s="225"/>
      <c r="B808" s="225"/>
      <c r="C808" s="225"/>
      <c r="D808" s="225"/>
      <c r="E808" s="225"/>
      <c r="F808" s="22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  <c r="AA808" s="225"/>
    </row>
    <row r="809" ht="15.75" customHeight="1">
      <c r="A809" s="225"/>
      <c r="B809" s="225"/>
      <c r="C809" s="225"/>
      <c r="D809" s="225"/>
      <c r="E809" s="225"/>
      <c r="F809" s="22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  <c r="AA809" s="225"/>
    </row>
    <row r="810" ht="15.75" customHeight="1">
      <c r="A810" s="225"/>
      <c r="B810" s="225"/>
      <c r="C810" s="225"/>
      <c r="D810" s="225"/>
      <c r="E810" s="225"/>
      <c r="F810" s="22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  <c r="AA810" s="225"/>
    </row>
    <row r="811" ht="15.75" customHeight="1">
      <c r="A811" s="225"/>
      <c r="B811" s="225"/>
      <c r="C811" s="225"/>
      <c r="D811" s="225"/>
      <c r="E811" s="225"/>
      <c r="F811" s="22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  <c r="AA811" s="225"/>
    </row>
    <row r="812" ht="15.75" customHeight="1">
      <c r="A812" s="225"/>
      <c r="B812" s="225"/>
      <c r="C812" s="225"/>
      <c r="D812" s="225"/>
      <c r="E812" s="225"/>
      <c r="F812" s="22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  <c r="AA812" s="225"/>
    </row>
    <row r="813" ht="15.75" customHeight="1">
      <c r="A813" s="225"/>
      <c r="B813" s="225"/>
      <c r="C813" s="225"/>
      <c r="D813" s="225"/>
      <c r="E813" s="225"/>
      <c r="F813" s="22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  <c r="AA813" s="225"/>
    </row>
    <row r="814" ht="15.75" customHeight="1">
      <c r="A814" s="225"/>
      <c r="B814" s="225"/>
      <c r="C814" s="225"/>
      <c r="D814" s="225"/>
      <c r="E814" s="225"/>
      <c r="F814" s="22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  <c r="AA814" s="225"/>
    </row>
    <row r="815" ht="15.75" customHeight="1">
      <c r="A815" s="225"/>
      <c r="B815" s="225"/>
      <c r="C815" s="225"/>
      <c r="D815" s="225"/>
      <c r="E815" s="225"/>
      <c r="F815" s="22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  <c r="AA815" s="225"/>
    </row>
    <row r="816" ht="15.75" customHeight="1">
      <c r="A816" s="225"/>
      <c r="B816" s="225"/>
      <c r="C816" s="225"/>
      <c r="D816" s="225"/>
      <c r="E816" s="225"/>
      <c r="F816" s="22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  <c r="AA816" s="225"/>
    </row>
    <row r="817" ht="15.75" customHeight="1">
      <c r="A817" s="225"/>
      <c r="B817" s="225"/>
      <c r="C817" s="225"/>
      <c r="D817" s="225"/>
      <c r="E817" s="225"/>
      <c r="F817" s="22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  <c r="AA817" s="225"/>
    </row>
    <row r="818" ht="15.75" customHeight="1">
      <c r="A818" s="225"/>
      <c r="B818" s="225"/>
      <c r="C818" s="225"/>
      <c r="D818" s="225"/>
      <c r="E818" s="225"/>
      <c r="F818" s="22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  <c r="AA818" s="225"/>
    </row>
    <row r="819" ht="15.75" customHeight="1">
      <c r="A819" s="225"/>
      <c r="B819" s="225"/>
      <c r="C819" s="225"/>
      <c r="D819" s="225"/>
      <c r="E819" s="225"/>
      <c r="F819" s="22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  <c r="AA819" s="225"/>
    </row>
    <row r="820" ht="15.75" customHeight="1">
      <c r="A820" s="225"/>
      <c r="B820" s="225"/>
      <c r="C820" s="225"/>
      <c r="D820" s="225"/>
      <c r="E820" s="225"/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  <c r="AA820" s="225"/>
    </row>
    <row r="821" ht="15.75" customHeight="1">
      <c r="A821" s="225"/>
      <c r="B821" s="225"/>
      <c r="C821" s="225"/>
      <c r="D821" s="225"/>
      <c r="E821" s="225"/>
      <c r="F821" s="22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  <c r="AA821" s="225"/>
    </row>
    <row r="822" ht="15.75" customHeight="1">
      <c r="A822" s="225"/>
      <c r="B822" s="225"/>
      <c r="C822" s="225"/>
      <c r="D822" s="225"/>
      <c r="E822" s="225"/>
      <c r="F822" s="22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  <c r="AA822" s="225"/>
    </row>
    <row r="823" ht="15.75" customHeight="1">
      <c r="A823" s="225"/>
      <c r="B823" s="225"/>
      <c r="C823" s="225"/>
      <c r="D823" s="225"/>
      <c r="E823" s="225"/>
      <c r="F823" s="22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  <c r="AA823" s="225"/>
    </row>
    <row r="824" ht="15.75" customHeight="1">
      <c r="A824" s="225"/>
      <c r="B824" s="225"/>
      <c r="C824" s="225"/>
      <c r="D824" s="225"/>
      <c r="E824" s="225"/>
      <c r="F824" s="22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  <c r="AA824" s="225"/>
    </row>
    <row r="825" ht="15.75" customHeight="1">
      <c r="A825" s="225"/>
      <c r="B825" s="225"/>
      <c r="C825" s="225"/>
      <c r="D825" s="225"/>
      <c r="E825" s="225"/>
      <c r="F825" s="22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  <c r="AA825" s="225"/>
    </row>
    <row r="826" ht="15.75" customHeight="1">
      <c r="A826" s="225"/>
      <c r="B826" s="225"/>
      <c r="C826" s="225"/>
      <c r="D826" s="225"/>
      <c r="E826" s="225"/>
      <c r="F826" s="22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  <c r="AA826" s="225"/>
    </row>
    <row r="827" ht="15.75" customHeight="1">
      <c r="A827" s="225"/>
      <c r="B827" s="225"/>
      <c r="C827" s="225"/>
      <c r="D827" s="225"/>
      <c r="E827" s="225"/>
      <c r="F827" s="22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  <c r="AA827" s="225"/>
    </row>
    <row r="828" ht="15.75" customHeight="1">
      <c r="A828" s="225"/>
      <c r="B828" s="225"/>
      <c r="C828" s="225"/>
      <c r="D828" s="225"/>
      <c r="E828" s="225"/>
      <c r="F828" s="22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  <c r="AA828" s="225"/>
    </row>
    <row r="829" ht="15.75" customHeight="1">
      <c r="A829" s="225"/>
      <c r="B829" s="225"/>
      <c r="C829" s="225"/>
      <c r="D829" s="225"/>
      <c r="E829" s="225"/>
      <c r="F829" s="22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  <c r="AA829" s="225"/>
    </row>
    <row r="830" ht="15.75" customHeight="1">
      <c r="A830" s="225"/>
      <c r="B830" s="225"/>
      <c r="C830" s="225"/>
      <c r="D830" s="225"/>
      <c r="E830" s="225"/>
      <c r="F830" s="22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  <c r="AA830" s="225"/>
    </row>
    <row r="831" ht="15.75" customHeight="1">
      <c r="A831" s="225"/>
      <c r="B831" s="225"/>
      <c r="C831" s="225"/>
      <c r="D831" s="225"/>
      <c r="E831" s="225"/>
      <c r="F831" s="22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  <c r="AA831" s="225"/>
    </row>
    <row r="832" ht="15.75" customHeight="1">
      <c r="A832" s="225"/>
      <c r="B832" s="225"/>
      <c r="C832" s="225"/>
      <c r="D832" s="225"/>
      <c r="E832" s="225"/>
      <c r="F832" s="22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  <c r="AA832" s="225"/>
    </row>
    <row r="833" ht="15.75" customHeight="1">
      <c r="A833" s="225"/>
      <c r="B833" s="225"/>
      <c r="C833" s="225"/>
      <c r="D833" s="225"/>
      <c r="E833" s="225"/>
      <c r="F833" s="22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  <c r="AA833" s="225"/>
    </row>
    <row r="834" ht="15.75" customHeight="1">
      <c r="A834" s="225"/>
      <c r="B834" s="225"/>
      <c r="C834" s="225"/>
      <c r="D834" s="225"/>
      <c r="E834" s="225"/>
      <c r="F834" s="22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  <c r="AA834" s="225"/>
    </row>
    <row r="835" ht="15.75" customHeight="1">
      <c r="A835" s="225"/>
      <c r="B835" s="225"/>
      <c r="C835" s="225"/>
      <c r="D835" s="225"/>
      <c r="E835" s="225"/>
      <c r="F835" s="22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  <c r="AA835" s="225"/>
    </row>
    <row r="836" ht="15.75" customHeight="1">
      <c r="A836" s="225"/>
      <c r="B836" s="225"/>
      <c r="C836" s="225"/>
      <c r="D836" s="225"/>
      <c r="E836" s="225"/>
      <c r="F836" s="22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  <c r="AA836" s="225"/>
    </row>
    <row r="837" ht="15.75" customHeight="1">
      <c r="A837" s="225"/>
      <c r="B837" s="225"/>
      <c r="C837" s="225"/>
      <c r="D837" s="225"/>
      <c r="E837" s="225"/>
      <c r="F837" s="22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  <c r="AA837" s="225"/>
    </row>
    <row r="838" ht="15.75" customHeight="1">
      <c r="A838" s="225"/>
      <c r="B838" s="225"/>
      <c r="C838" s="225"/>
      <c r="D838" s="225"/>
      <c r="E838" s="225"/>
      <c r="F838" s="22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  <c r="AA838" s="225"/>
    </row>
    <row r="839" ht="15.75" customHeight="1">
      <c r="A839" s="225"/>
      <c r="B839" s="225"/>
      <c r="C839" s="225"/>
      <c r="D839" s="225"/>
      <c r="E839" s="225"/>
      <c r="F839" s="22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  <c r="AA839" s="225"/>
    </row>
    <row r="840" ht="15.75" customHeight="1">
      <c r="A840" s="225"/>
      <c r="B840" s="225"/>
      <c r="C840" s="225"/>
      <c r="D840" s="225"/>
      <c r="E840" s="225"/>
      <c r="F840" s="22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  <c r="AA840" s="225"/>
    </row>
    <row r="841" ht="15.75" customHeight="1">
      <c r="A841" s="225"/>
      <c r="B841" s="225"/>
      <c r="C841" s="225"/>
      <c r="D841" s="225"/>
      <c r="E841" s="225"/>
      <c r="F841" s="22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  <c r="AA841" s="225"/>
    </row>
    <row r="842" ht="15.75" customHeight="1">
      <c r="A842" s="225"/>
      <c r="B842" s="225"/>
      <c r="C842" s="225"/>
      <c r="D842" s="225"/>
      <c r="E842" s="225"/>
      <c r="F842" s="22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  <c r="AA842" s="225"/>
    </row>
    <row r="843" ht="15.75" customHeight="1">
      <c r="A843" s="225"/>
      <c r="B843" s="225"/>
      <c r="C843" s="225"/>
      <c r="D843" s="225"/>
      <c r="E843" s="225"/>
      <c r="F843" s="22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  <c r="AA843" s="225"/>
    </row>
    <row r="844" ht="15.75" customHeight="1">
      <c r="A844" s="225"/>
      <c r="B844" s="225"/>
      <c r="C844" s="225"/>
      <c r="D844" s="225"/>
      <c r="E844" s="225"/>
      <c r="F844" s="22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  <c r="AA844" s="225"/>
    </row>
    <row r="845" ht="15.75" customHeight="1">
      <c r="A845" s="225"/>
      <c r="B845" s="225"/>
      <c r="C845" s="225"/>
      <c r="D845" s="225"/>
      <c r="E845" s="225"/>
      <c r="F845" s="22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  <c r="AA845" s="225"/>
    </row>
    <row r="846" ht="15.75" customHeight="1">
      <c r="A846" s="225"/>
      <c r="B846" s="225"/>
      <c r="C846" s="225"/>
      <c r="D846" s="225"/>
      <c r="E846" s="225"/>
      <c r="F846" s="22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  <c r="AA846" s="225"/>
    </row>
    <row r="847" ht="15.75" customHeight="1">
      <c r="A847" s="225"/>
      <c r="B847" s="225"/>
      <c r="C847" s="225"/>
      <c r="D847" s="225"/>
      <c r="E847" s="225"/>
      <c r="F847" s="22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  <c r="AA847" s="225"/>
    </row>
    <row r="848" ht="15.75" customHeight="1">
      <c r="A848" s="225"/>
      <c r="B848" s="225"/>
      <c r="C848" s="225"/>
      <c r="D848" s="225"/>
      <c r="E848" s="225"/>
      <c r="F848" s="22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  <c r="AA848" s="225"/>
    </row>
    <row r="849" ht="15.75" customHeight="1">
      <c r="A849" s="225"/>
      <c r="B849" s="225"/>
      <c r="C849" s="225"/>
      <c r="D849" s="225"/>
      <c r="E849" s="225"/>
      <c r="F849" s="22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  <c r="AA849" s="225"/>
    </row>
    <row r="850" ht="15.75" customHeight="1">
      <c r="A850" s="225"/>
      <c r="B850" s="225"/>
      <c r="C850" s="225"/>
      <c r="D850" s="225"/>
      <c r="E850" s="225"/>
      <c r="F850" s="22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  <c r="AA850" s="225"/>
    </row>
    <row r="851" ht="15.75" customHeight="1">
      <c r="A851" s="225"/>
      <c r="B851" s="225"/>
      <c r="C851" s="225"/>
      <c r="D851" s="225"/>
      <c r="E851" s="225"/>
      <c r="F851" s="22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  <c r="AA851" s="225"/>
    </row>
    <row r="852" ht="15.75" customHeight="1">
      <c r="A852" s="225"/>
      <c r="B852" s="225"/>
      <c r="C852" s="225"/>
      <c r="D852" s="225"/>
      <c r="E852" s="225"/>
      <c r="F852" s="22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  <c r="AA852" s="225"/>
    </row>
    <row r="853" ht="15.75" customHeight="1">
      <c r="A853" s="225"/>
      <c r="B853" s="225"/>
      <c r="C853" s="225"/>
      <c r="D853" s="225"/>
      <c r="E853" s="225"/>
      <c r="F853" s="22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  <c r="AA853" s="225"/>
    </row>
    <row r="854" ht="15.75" customHeight="1">
      <c r="A854" s="225"/>
      <c r="B854" s="225"/>
      <c r="C854" s="225"/>
      <c r="D854" s="225"/>
      <c r="E854" s="225"/>
      <c r="F854" s="22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  <c r="AA854" s="225"/>
    </row>
    <row r="855" ht="15.75" customHeight="1">
      <c r="A855" s="225"/>
      <c r="B855" s="225"/>
      <c r="C855" s="225"/>
      <c r="D855" s="225"/>
      <c r="E855" s="225"/>
      <c r="F855" s="22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  <c r="AA855" s="225"/>
    </row>
    <row r="856" ht="15.75" customHeight="1">
      <c r="A856" s="225"/>
      <c r="B856" s="225"/>
      <c r="C856" s="225"/>
      <c r="D856" s="225"/>
      <c r="E856" s="225"/>
      <c r="F856" s="22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  <c r="AA856" s="225"/>
    </row>
    <row r="857" ht="15.75" customHeight="1">
      <c r="A857" s="225"/>
      <c r="B857" s="225"/>
      <c r="C857" s="225"/>
      <c r="D857" s="225"/>
      <c r="E857" s="225"/>
      <c r="F857" s="22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  <c r="AA857" s="225"/>
    </row>
    <row r="858" ht="15.75" customHeight="1">
      <c r="A858" s="225"/>
      <c r="B858" s="225"/>
      <c r="C858" s="225"/>
      <c r="D858" s="225"/>
      <c r="E858" s="225"/>
      <c r="F858" s="22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  <c r="AA858" s="225"/>
    </row>
    <row r="859" ht="15.75" customHeight="1">
      <c r="A859" s="225"/>
      <c r="B859" s="225"/>
      <c r="C859" s="225"/>
      <c r="D859" s="225"/>
      <c r="E859" s="225"/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  <c r="AA859" s="225"/>
    </row>
    <row r="860" ht="15.75" customHeight="1">
      <c r="A860" s="225"/>
      <c r="B860" s="225"/>
      <c r="C860" s="225"/>
      <c r="D860" s="225"/>
      <c r="E860" s="225"/>
      <c r="F860" s="22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  <c r="AA860" s="225"/>
    </row>
    <row r="861" ht="15.75" customHeight="1">
      <c r="A861" s="225"/>
      <c r="B861" s="225"/>
      <c r="C861" s="225"/>
      <c r="D861" s="225"/>
      <c r="E861" s="225"/>
      <c r="F861" s="22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  <c r="AA861" s="225"/>
    </row>
    <row r="862" ht="15.75" customHeight="1">
      <c r="A862" s="225"/>
      <c r="B862" s="225"/>
      <c r="C862" s="225"/>
      <c r="D862" s="225"/>
      <c r="E862" s="225"/>
      <c r="F862" s="22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  <c r="AA862" s="225"/>
    </row>
    <row r="863" ht="15.75" customHeight="1">
      <c r="A863" s="225"/>
      <c r="B863" s="225"/>
      <c r="C863" s="225"/>
      <c r="D863" s="225"/>
      <c r="E863" s="225"/>
      <c r="F863" s="22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  <c r="AA863" s="225"/>
    </row>
    <row r="864" ht="15.75" customHeight="1">
      <c r="A864" s="225"/>
      <c r="B864" s="225"/>
      <c r="C864" s="225"/>
      <c r="D864" s="225"/>
      <c r="E864" s="225"/>
      <c r="F864" s="22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  <c r="AA864" s="225"/>
    </row>
    <row r="865" ht="15.75" customHeight="1">
      <c r="A865" s="225"/>
      <c r="B865" s="225"/>
      <c r="C865" s="225"/>
      <c r="D865" s="225"/>
      <c r="E865" s="225"/>
      <c r="F865" s="22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  <c r="AA865" s="225"/>
    </row>
    <row r="866" ht="15.75" customHeight="1">
      <c r="A866" s="225"/>
      <c r="B866" s="225"/>
      <c r="C866" s="225"/>
      <c r="D866" s="225"/>
      <c r="E866" s="225"/>
      <c r="F866" s="22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  <c r="AA866" s="225"/>
    </row>
    <row r="867" ht="15.75" customHeight="1">
      <c r="A867" s="225"/>
      <c r="B867" s="225"/>
      <c r="C867" s="225"/>
      <c r="D867" s="225"/>
      <c r="E867" s="225"/>
      <c r="F867" s="22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  <c r="AA867" s="225"/>
    </row>
    <row r="868" ht="15.75" customHeight="1">
      <c r="A868" s="225"/>
      <c r="B868" s="225"/>
      <c r="C868" s="225"/>
      <c r="D868" s="225"/>
      <c r="E868" s="225"/>
      <c r="F868" s="22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  <c r="AA868" s="225"/>
    </row>
    <row r="869" ht="15.75" customHeight="1">
      <c r="A869" s="225"/>
      <c r="B869" s="225"/>
      <c r="C869" s="225"/>
      <c r="D869" s="225"/>
      <c r="E869" s="225"/>
      <c r="F869" s="22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  <c r="AA869" s="225"/>
    </row>
    <row r="870" ht="15.75" customHeight="1">
      <c r="A870" s="225"/>
      <c r="B870" s="225"/>
      <c r="C870" s="225"/>
      <c r="D870" s="225"/>
      <c r="E870" s="225"/>
      <c r="F870" s="22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  <c r="AA870" s="225"/>
    </row>
    <row r="871" ht="15.75" customHeight="1">
      <c r="A871" s="225"/>
      <c r="B871" s="225"/>
      <c r="C871" s="225"/>
      <c r="D871" s="225"/>
      <c r="E871" s="225"/>
      <c r="F871" s="22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  <c r="AA871" s="225"/>
    </row>
    <row r="872" ht="15.75" customHeight="1">
      <c r="A872" s="225"/>
      <c r="B872" s="225"/>
      <c r="C872" s="225"/>
      <c r="D872" s="225"/>
      <c r="E872" s="225"/>
      <c r="F872" s="22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  <c r="AA872" s="225"/>
    </row>
    <row r="873" ht="15.75" customHeight="1">
      <c r="A873" s="225"/>
      <c r="B873" s="225"/>
      <c r="C873" s="225"/>
      <c r="D873" s="225"/>
      <c r="E873" s="225"/>
      <c r="F873" s="22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  <c r="AA873" s="225"/>
    </row>
    <row r="874" ht="15.75" customHeight="1">
      <c r="A874" s="225"/>
      <c r="B874" s="225"/>
      <c r="C874" s="225"/>
      <c r="D874" s="225"/>
      <c r="E874" s="225"/>
      <c r="F874" s="22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  <c r="AA874" s="225"/>
    </row>
    <row r="875" ht="15.75" customHeight="1">
      <c r="A875" s="225"/>
      <c r="B875" s="225"/>
      <c r="C875" s="225"/>
      <c r="D875" s="225"/>
      <c r="E875" s="225"/>
      <c r="F875" s="22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  <c r="AA875" s="225"/>
    </row>
    <row r="876" ht="15.75" customHeight="1">
      <c r="A876" s="225"/>
      <c r="B876" s="225"/>
      <c r="C876" s="225"/>
      <c r="D876" s="225"/>
      <c r="E876" s="225"/>
      <c r="F876" s="22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  <c r="AA876" s="225"/>
    </row>
    <row r="877" ht="15.75" customHeight="1">
      <c r="A877" s="225"/>
      <c r="B877" s="225"/>
      <c r="C877" s="225"/>
      <c r="D877" s="225"/>
      <c r="E877" s="225"/>
      <c r="F877" s="22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  <c r="AA877" s="225"/>
    </row>
    <row r="878" ht="15.75" customHeight="1">
      <c r="A878" s="225"/>
      <c r="B878" s="225"/>
      <c r="C878" s="225"/>
      <c r="D878" s="225"/>
      <c r="E878" s="225"/>
      <c r="F878" s="22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  <c r="AA878" s="225"/>
    </row>
    <row r="879" ht="15.75" customHeight="1">
      <c r="A879" s="225"/>
      <c r="B879" s="225"/>
      <c r="C879" s="225"/>
      <c r="D879" s="225"/>
      <c r="E879" s="225"/>
      <c r="F879" s="22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  <c r="AA879" s="225"/>
    </row>
    <row r="880" ht="15.75" customHeight="1">
      <c r="A880" s="225"/>
      <c r="B880" s="225"/>
      <c r="C880" s="225"/>
      <c r="D880" s="225"/>
      <c r="E880" s="225"/>
      <c r="F880" s="22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  <c r="AA880" s="225"/>
    </row>
    <row r="881" ht="15.75" customHeight="1">
      <c r="A881" s="225"/>
      <c r="B881" s="225"/>
      <c r="C881" s="225"/>
      <c r="D881" s="225"/>
      <c r="E881" s="225"/>
      <c r="F881" s="22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  <c r="AA881" s="225"/>
    </row>
    <row r="882" ht="15.75" customHeight="1">
      <c r="A882" s="225"/>
      <c r="B882" s="225"/>
      <c r="C882" s="225"/>
      <c r="D882" s="225"/>
      <c r="E882" s="225"/>
      <c r="F882" s="22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  <c r="AA882" s="225"/>
    </row>
    <row r="883" ht="15.75" customHeight="1">
      <c r="A883" s="225"/>
      <c r="B883" s="225"/>
      <c r="C883" s="225"/>
      <c r="D883" s="225"/>
      <c r="E883" s="225"/>
      <c r="F883" s="22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  <c r="AA883" s="225"/>
    </row>
    <row r="884" ht="15.75" customHeight="1">
      <c r="A884" s="225"/>
      <c r="B884" s="225"/>
      <c r="C884" s="225"/>
      <c r="D884" s="225"/>
      <c r="E884" s="225"/>
      <c r="F884" s="22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  <c r="AA884" s="225"/>
    </row>
    <row r="885" ht="15.75" customHeight="1">
      <c r="A885" s="225"/>
      <c r="B885" s="225"/>
      <c r="C885" s="225"/>
      <c r="D885" s="225"/>
      <c r="E885" s="225"/>
      <c r="F885" s="22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  <c r="AA885" s="225"/>
    </row>
    <row r="886" ht="15.75" customHeight="1">
      <c r="A886" s="225"/>
      <c r="B886" s="225"/>
      <c r="C886" s="225"/>
      <c r="D886" s="225"/>
      <c r="E886" s="225"/>
      <c r="F886" s="22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  <c r="AA886" s="225"/>
    </row>
    <row r="887" ht="15.75" customHeight="1">
      <c r="A887" s="225"/>
      <c r="B887" s="225"/>
      <c r="C887" s="225"/>
      <c r="D887" s="225"/>
      <c r="E887" s="225"/>
      <c r="F887" s="22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  <c r="AA887" s="225"/>
    </row>
    <row r="888" ht="15.75" customHeight="1">
      <c r="A888" s="225"/>
      <c r="B888" s="225"/>
      <c r="C888" s="225"/>
      <c r="D888" s="225"/>
      <c r="E888" s="225"/>
      <c r="F888" s="22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  <c r="AA888" s="225"/>
    </row>
    <row r="889" ht="15.75" customHeight="1">
      <c r="A889" s="225"/>
      <c r="B889" s="225"/>
      <c r="C889" s="225"/>
      <c r="D889" s="225"/>
      <c r="E889" s="225"/>
      <c r="F889" s="22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  <c r="AA889" s="225"/>
    </row>
    <row r="890" ht="15.75" customHeight="1">
      <c r="A890" s="225"/>
      <c r="B890" s="225"/>
      <c r="C890" s="225"/>
      <c r="D890" s="225"/>
      <c r="E890" s="225"/>
      <c r="F890" s="22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  <c r="AA890" s="225"/>
    </row>
    <row r="891" ht="15.75" customHeight="1">
      <c r="A891" s="225"/>
      <c r="B891" s="225"/>
      <c r="C891" s="225"/>
      <c r="D891" s="225"/>
      <c r="E891" s="225"/>
      <c r="F891" s="22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  <c r="AA891" s="225"/>
    </row>
    <row r="892" ht="15.75" customHeight="1">
      <c r="A892" s="225"/>
      <c r="B892" s="225"/>
      <c r="C892" s="225"/>
      <c r="D892" s="225"/>
      <c r="E892" s="225"/>
      <c r="F892" s="22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  <c r="AA892" s="225"/>
    </row>
    <row r="893" ht="15.75" customHeight="1">
      <c r="A893" s="225"/>
      <c r="B893" s="225"/>
      <c r="C893" s="225"/>
      <c r="D893" s="225"/>
      <c r="E893" s="225"/>
      <c r="F893" s="22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  <c r="AA893" s="225"/>
    </row>
    <row r="894" ht="15.75" customHeight="1">
      <c r="A894" s="225"/>
      <c r="B894" s="225"/>
      <c r="C894" s="225"/>
      <c r="D894" s="225"/>
      <c r="E894" s="225"/>
      <c r="F894" s="22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  <c r="AA894" s="225"/>
    </row>
    <row r="895" ht="15.75" customHeight="1">
      <c r="A895" s="225"/>
      <c r="B895" s="225"/>
      <c r="C895" s="225"/>
      <c r="D895" s="225"/>
      <c r="E895" s="225"/>
      <c r="F895" s="22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  <c r="AA895" s="225"/>
    </row>
    <row r="896" ht="15.75" customHeight="1">
      <c r="A896" s="225"/>
      <c r="B896" s="225"/>
      <c r="C896" s="225"/>
      <c r="D896" s="225"/>
      <c r="E896" s="225"/>
      <c r="F896" s="22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  <c r="AA896" s="225"/>
    </row>
    <row r="897" ht="15.75" customHeight="1">
      <c r="A897" s="225"/>
      <c r="B897" s="225"/>
      <c r="C897" s="225"/>
      <c r="D897" s="225"/>
      <c r="E897" s="225"/>
      <c r="F897" s="22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  <c r="AA897" s="225"/>
    </row>
    <row r="898" ht="15.75" customHeight="1">
      <c r="A898" s="225"/>
      <c r="B898" s="225"/>
      <c r="C898" s="225"/>
      <c r="D898" s="225"/>
      <c r="E898" s="225"/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  <c r="AA898" s="225"/>
    </row>
    <row r="899" ht="15.75" customHeight="1">
      <c r="A899" s="225"/>
      <c r="B899" s="225"/>
      <c r="C899" s="225"/>
      <c r="D899" s="225"/>
      <c r="E899" s="225"/>
      <c r="F899" s="22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  <c r="AA899" s="225"/>
    </row>
    <row r="900" ht="15.75" customHeight="1">
      <c r="A900" s="225"/>
      <c r="B900" s="225"/>
      <c r="C900" s="225"/>
      <c r="D900" s="225"/>
      <c r="E900" s="225"/>
      <c r="F900" s="22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  <c r="AA900" s="225"/>
    </row>
    <row r="901" ht="15.75" customHeight="1">
      <c r="A901" s="225"/>
      <c r="B901" s="225"/>
      <c r="C901" s="225"/>
      <c r="D901" s="225"/>
      <c r="E901" s="225"/>
      <c r="F901" s="22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  <c r="AA901" s="225"/>
    </row>
    <row r="902" ht="15.75" customHeight="1">
      <c r="A902" s="225"/>
      <c r="B902" s="225"/>
      <c r="C902" s="225"/>
      <c r="D902" s="225"/>
      <c r="E902" s="225"/>
      <c r="F902" s="22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  <c r="AA902" s="225"/>
    </row>
    <row r="903" ht="15.75" customHeight="1">
      <c r="A903" s="225"/>
      <c r="B903" s="225"/>
      <c r="C903" s="225"/>
      <c r="D903" s="225"/>
      <c r="E903" s="225"/>
      <c r="F903" s="22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  <c r="AA903" s="225"/>
    </row>
    <row r="904" ht="15.75" customHeight="1">
      <c r="A904" s="225"/>
      <c r="B904" s="225"/>
      <c r="C904" s="225"/>
      <c r="D904" s="225"/>
      <c r="E904" s="225"/>
      <c r="F904" s="22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  <c r="AA904" s="225"/>
    </row>
    <row r="905" ht="15.75" customHeight="1">
      <c r="A905" s="225"/>
      <c r="B905" s="225"/>
      <c r="C905" s="225"/>
      <c r="D905" s="225"/>
      <c r="E905" s="225"/>
      <c r="F905" s="22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  <c r="AA905" s="225"/>
    </row>
    <row r="906" ht="15.75" customHeight="1">
      <c r="A906" s="225"/>
      <c r="B906" s="225"/>
      <c r="C906" s="225"/>
      <c r="D906" s="225"/>
      <c r="E906" s="225"/>
      <c r="F906" s="22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  <c r="AA906" s="225"/>
    </row>
    <row r="907" ht="15.75" customHeight="1">
      <c r="A907" s="225"/>
      <c r="B907" s="225"/>
      <c r="C907" s="225"/>
      <c r="D907" s="225"/>
      <c r="E907" s="225"/>
      <c r="F907" s="22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  <c r="AA907" s="225"/>
    </row>
    <row r="908" ht="15.75" customHeight="1">
      <c r="A908" s="225"/>
      <c r="B908" s="225"/>
      <c r="C908" s="225"/>
      <c r="D908" s="225"/>
      <c r="E908" s="225"/>
      <c r="F908" s="22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  <c r="AA908" s="225"/>
    </row>
    <row r="909" ht="15.75" customHeight="1">
      <c r="A909" s="225"/>
      <c r="B909" s="225"/>
      <c r="C909" s="225"/>
      <c r="D909" s="225"/>
      <c r="E909" s="225"/>
      <c r="F909" s="22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  <c r="AA909" s="225"/>
    </row>
    <row r="910" ht="15.75" customHeight="1">
      <c r="A910" s="225"/>
      <c r="B910" s="225"/>
      <c r="C910" s="225"/>
      <c r="D910" s="225"/>
      <c r="E910" s="225"/>
      <c r="F910" s="22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  <c r="AA910" s="225"/>
    </row>
    <row r="911" ht="15.75" customHeight="1">
      <c r="A911" s="225"/>
      <c r="B911" s="225"/>
      <c r="C911" s="225"/>
      <c r="D911" s="225"/>
      <c r="E911" s="225"/>
      <c r="F911" s="22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  <c r="AA911" s="225"/>
    </row>
    <row r="912" ht="15.75" customHeight="1">
      <c r="A912" s="225"/>
      <c r="B912" s="225"/>
      <c r="C912" s="225"/>
      <c r="D912" s="225"/>
      <c r="E912" s="225"/>
      <c r="F912" s="22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  <c r="AA912" s="225"/>
    </row>
    <row r="913" ht="15.75" customHeight="1">
      <c r="A913" s="225"/>
      <c r="B913" s="225"/>
      <c r="C913" s="225"/>
      <c r="D913" s="225"/>
      <c r="E913" s="225"/>
      <c r="F913" s="22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  <c r="AA913" s="225"/>
    </row>
    <row r="914" ht="15.75" customHeight="1">
      <c r="A914" s="225"/>
      <c r="B914" s="225"/>
      <c r="C914" s="225"/>
      <c r="D914" s="225"/>
      <c r="E914" s="225"/>
      <c r="F914" s="22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  <c r="AA914" s="225"/>
    </row>
    <row r="915" ht="15.75" customHeight="1">
      <c r="A915" s="225"/>
      <c r="B915" s="225"/>
      <c r="C915" s="225"/>
      <c r="D915" s="225"/>
      <c r="E915" s="225"/>
      <c r="F915" s="22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  <c r="AA915" s="225"/>
    </row>
    <row r="916" ht="15.75" customHeight="1">
      <c r="A916" s="225"/>
      <c r="B916" s="225"/>
      <c r="C916" s="225"/>
      <c r="D916" s="225"/>
      <c r="E916" s="225"/>
      <c r="F916" s="22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  <c r="AA916" s="225"/>
    </row>
    <row r="917" ht="15.75" customHeight="1">
      <c r="A917" s="225"/>
      <c r="B917" s="225"/>
      <c r="C917" s="225"/>
      <c r="D917" s="225"/>
      <c r="E917" s="225"/>
      <c r="F917" s="22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  <c r="AA917" s="225"/>
    </row>
    <row r="918" ht="15.75" customHeight="1">
      <c r="A918" s="225"/>
      <c r="B918" s="225"/>
      <c r="C918" s="225"/>
      <c r="D918" s="225"/>
      <c r="E918" s="225"/>
      <c r="F918" s="22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  <c r="AA918" s="225"/>
    </row>
    <row r="919" ht="15.75" customHeight="1">
      <c r="A919" s="225"/>
      <c r="B919" s="225"/>
      <c r="C919" s="225"/>
      <c r="D919" s="225"/>
      <c r="E919" s="225"/>
      <c r="F919" s="22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  <c r="AA919" s="225"/>
    </row>
    <row r="920" ht="15.75" customHeight="1">
      <c r="A920" s="225"/>
      <c r="B920" s="225"/>
      <c r="C920" s="225"/>
      <c r="D920" s="225"/>
      <c r="E920" s="225"/>
      <c r="F920" s="22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  <c r="AA920" s="225"/>
    </row>
    <row r="921" ht="15.75" customHeight="1">
      <c r="A921" s="225"/>
      <c r="B921" s="225"/>
      <c r="C921" s="225"/>
      <c r="D921" s="225"/>
      <c r="E921" s="225"/>
      <c r="F921" s="22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  <c r="AA921" s="225"/>
    </row>
    <row r="922" ht="15.75" customHeight="1">
      <c r="A922" s="225"/>
      <c r="B922" s="225"/>
      <c r="C922" s="225"/>
      <c r="D922" s="225"/>
      <c r="E922" s="225"/>
      <c r="F922" s="22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  <c r="AA922" s="225"/>
    </row>
    <row r="923" ht="15.75" customHeight="1">
      <c r="A923" s="225"/>
      <c r="B923" s="225"/>
      <c r="C923" s="225"/>
      <c r="D923" s="225"/>
      <c r="E923" s="225"/>
      <c r="F923" s="22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  <c r="AA923" s="225"/>
    </row>
    <row r="924" ht="15.75" customHeight="1">
      <c r="A924" s="225"/>
      <c r="B924" s="225"/>
      <c r="C924" s="225"/>
      <c r="D924" s="225"/>
      <c r="E924" s="225"/>
      <c r="F924" s="22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  <c r="AA924" s="225"/>
    </row>
    <row r="925" ht="15.75" customHeight="1">
      <c r="A925" s="225"/>
      <c r="B925" s="225"/>
      <c r="C925" s="225"/>
      <c r="D925" s="225"/>
      <c r="E925" s="225"/>
      <c r="F925" s="22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  <c r="AA925" s="225"/>
    </row>
    <row r="926" ht="15.75" customHeight="1">
      <c r="A926" s="225"/>
      <c r="B926" s="225"/>
      <c r="C926" s="225"/>
      <c r="D926" s="225"/>
      <c r="E926" s="225"/>
      <c r="F926" s="22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  <c r="AA926" s="225"/>
    </row>
    <row r="927" ht="15.75" customHeight="1">
      <c r="A927" s="225"/>
      <c r="B927" s="225"/>
      <c r="C927" s="225"/>
      <c r="D927" s="225"/>
      <c r="E927" s="225"/>
      <c r="F927" s="22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  <c r="AA927" s="225"/>
    </row>
    <row r="928" ht="15.75" customHeight="1">
      <c r="A928" s="225"/>
      <c r="B928" s="225"/>
      <c r="C928" s="225"/>
      <c r="D928" s="225"/>
      <c r="E928" s="225"/>
      <c r="F928" s="22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  <c r="AA928" s="225"/>
    </row>
    <row r="929" ht="15.75" customHeight="1">
      <c r="A929" s="225"/>
      <c r="B929" s="225"/>
      <c r="C929" s="225"/>
      <c r="D929" s="225"/>
      <c r="E929" s="225"/>
      <c r="F929" s="22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  <c r="AA929" s="225"/>
    </row>
    <row r="930" ht="15.75" customHeight="1">
      <c r="A930" s="225"/>
      <c r="B930" s="225"/>
      <c r="C930" s="225"/>
      <c r="D930" s="225"/>
      <c r="E930" s="225"/>
      <c r="F930" s="22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  <c r="AA930" s="225"/>
    </row>
    <row r="931" ht="15.75" customHeight="1">
      <c r="A931" s="225"/>
      <c r="B931" s="225"/>
      <c r="C931" s="225"/>
      <c r="D931" s="225"/>
      <c r="E931" s="225"/>
      <c r="F931" s="22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  <c r="AA931" s="225"/>
    </row>
    <row r="932" ht="15.75" customHeight="1">
      <c r="A932" s="225"/>
      <c r="B932" s="225"/>
      <c r="C932" s="225"/>
      <c r="D932" s="225"/>
      <c r="E932" s="225"/>
      <c r="F932" s="22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  <c r="AA932" s="225"/>
    </row>
    <row r="933" ht="15.75" customHeight="1">
      <c r="A933" s="225"/>
      <c r="B933" s="225"/>
      <c r="C933" s="225"/>
      <c r="D933" s="225"/>
      <c r="E933" s="225"/>
      <c r="F933" s="22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  <c r="AA933" s="225"/>
    </row>
    <row r="934" ht="15.75" customHeight="1">
      <c r="A934" s="225"/>
      <c r="B934" s="225"/>
      <c r="C934" s="225"/>
      <c r="D934" s="225"/>
      <c r="E934" s="225"/>
      <c r="F934" s="22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  <c r="AA934" s="225"/>
    </row>
    <row r="935" ht="15.75" customHeight="1">
      <c r="A935" s="225"/>
      <c r="B935" s="225"/>
      <c r="C935" s="225"/>
      <c r="D935" s="225"/>
      <c r="E935" s="225"/>
      <c r="F935" s="22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  <c r="AA935" s="225"/>
    </row>
    <row r="936" ht="15.75" customHeight="1">
      <c r="A936" s="225"/>
      <c r="B936" s="225"/>
      <c r="C936" s="225"/>
      <c r="D936" s="225"/>
      <c r="E936" s="225"/>
      <c r="F936" s="22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  <c r="AA936" s="225"/>
    </row>
    <row r="937" ht="15.75" customHeight="1">
      <c r="A937" s="225"/>
      <c r="B937" s="225"/>
      <c r="C937" s="225"/>
      <c r="D937" s="225"/>
      <c r="E937" s="225"/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  <c r="AA937" s="225"/>
    </row>
    <row r="938" ht="15.75" customHeight="1">
      <c r="A938" s="225"/>
      <c r="B938" s="225"/>
      <c r="C938" s="225"/>
      <c r="D938" s="225"/>
      <c r="E938" s="225"/>
      <c r="F938" s="22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  <c r="AA938" s="225"/>
    </row>
    <row r="939" ht="15.75" customHeight="1">
      <c r="A939" s="225"/>
      <c r="B939" s="225"/>
      <c r="C939" s="225"/>
      <c r="D939" s="225"/>
      <c r="E939" s="225"/>
      <c r="F939" s="22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  <c r="AA939" s="225"/>
    </row>
    <row r="940" ht="15.75" customHeight="1">
      <c r="A940" s="225"/>
      <c r="B940" s="225"/>
      <c r="C940" s="225"/>
      <c r="D940" s="225"/>
      <c r="E940" s="225"/>
      <c r="F940" s="22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  <c r="AA940" s="225"/>
    </row>
    <row r="941" ht="15.75" customHeight="1">
      <c r="A941" s="225"/>
      <c r="B941" s="225"/>
      <c r="C941" s="225"/>
      <c r="D941" s="225"/>
      <c r="E941" s="225"/>
      <c r="F941" s="22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  <c r="AA941" s="225"/>
    </row>
    <row r="942" ht="15.75" customHeight="1">
      <c r="A942" s="225"/>
      <c r="B942" s="225"/>
      <c r="C942" s="225"/>
      <c r="D942" s="225"/>
      <c r="E942" s="225"/>
      <c r="F942" s="22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  <c r="AA942" s="225"/>
    </row>
    <row r="943" ht="15.75" customHeight="1">
      <c r="A943" s="225"/>
      <c r="B943" s="225"/>
      <c r="C943" s="225"/>
      <c r="D943" s="225"/>
      <c r="E943" s="225"/>
      <c r="F943" s="22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  <c r="AA943" s="225"/>
    </row>
    <row r="944" ht="15.75" customHeight="1">
      <c r="A944" s="225"/>
      <c r="B944" s="225"/>
      <c r="C944" s="225"/>
      <c r="D944" s="225"/>
      <c r="E944" s="225"/>
      <c r="F944" s="22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  <c r="AA944" s="225"/>
    </row>
    <row r="945" ht="15.75" customHeight="1">
      <c r="A945" s="225"/>
      <c r="B945" s="225"/>
      <c r="C945" s="225"/>
      <c r="D945" s="225"/>
      <c r="E945" s="225"/>
      <c r="F945" s="22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  <c r="AA945" s="225"/>
    </row>
    <row r="946" ht="15.75" customHeight="1">
      <c r="A946" s="225"/>
      <c r="B946" s="225"/>
      <c r="C946" s="225"/>
      <c r="D946" s="225"/>
      <c r="E946" s="225"/>
      <c r="F946" s="22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  <c r="AA946" s="225"/>
    </row>
    <row r="947" ht="15.75" customHeight="1">
      <c r="A947" s="225"/>
      <c r="B947" s="225"/>
      <c r="C947" s="225"/>
      <c r="D947" s="225"/>
      <c r="E947" s="225"/>
      <c r="F947" s="22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  <c r="AA947" s="225"/>
    </row>
    <row r="948" ht="15.75" customHeight="1">
      <c r="A948" s="225"/>
      <c r="B948" s="225"/>
      <c r="C948" s="225"/>
      <c r="D948" s="225"/>
      <c r="E948" s="225"/>
      <c r="F948" s="22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  <c r="AA948" s="225"/>
    </row>
    <row r="949" ht="15.75" customHeight="1">
      <c r="A949" s="225"/>
      <c r="B949" s="225"/>
      <c r="C949" s="225"/>
      <c r="D949" s="225"/>
      <c r="E949" s="225"/>
      <c r="F949" s="22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  <c r="AA949" s="225"/>
    </row>
    <row r="950" ht="15.75" customHeight="1">
      <c r="A950" s="225"/>
      <c r="B950" s="225"/>
      <c r="C950" s="225"/>
      <c r="D950" s="225"/>
      <c r="E950" s="225"/>
      <c r="F950" s="22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  <c r="AA950" s="225"/>
    </row>
    <row r="951" ht="15.75" customHeight="1">
      <c r="A951" s="225"/>
      <c r="B951" s="225"/>
      <c r="C951" s="225"/>
      <c r="D951" s="225"/>
      <c r="E951" s="225"/>
      <c r="F951" s="22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  <c r="AA951" s="225"/>
    </row>
    <row r="952" ht="15.75" customHeight="1">
      <c r="A952" s="225"/>
      <c r="B952" s="225"/>
      <c r="C952" s="225"/>
      <c r="D952" s="225"/>
      <c r="E952" s="225"/>
      <c r="F952" s="22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  <c r="AA952" s="225"/>
    </row>
    <row r="953" ht="15.75" customHeight="1">
      <c r="A953" s="225"/>
      <c r="B953" s="225"/>
      <c r="C953" s="225"/>
      <c r="D953" s="225"/>
      <c r="E953" s="225"/>
      <c r="F953" s="22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  <c r="AA953" s="225"/>
    </row>
    <row r="954" ht="15.75" customHeight="1">
      <c r="A954" s="225"/>
      <c r="B954" s="225"/>
      <c r="C954" s="225"/>
      <c r="D954" s="225"/>
      <c r="E954" s="225"/>
      <c r="F954" s="22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  <c r="AA954" s="225"/>
    </row>
    <row r="955" ht="15.75" customHeight="1">
      <c r="A955" s="225"/>
      <c r="B955" s="225"/>
      <c r="C955" s="225"/>
      <c r="D955" s="225"/>
      <c r="E955" s="225"/>
      <c r="F955" s="22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  <c r="AA955" s="225"/>
    </row>
    <row r="956" ht="15.75" customHeight="1">
      <c r="A956" s="225"/>
      <c r="B956" s="225"/>
      <c r="C956" s="225"/>
      <c r="D956" s="225"/>
      <c r="E956" s="225"/>
      <c r="F956" s="22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  <c r="AA956" s="225"/>
    </row>
    <row r="957" ht="15.75" customHeight="1">
      <c r="A957" s="225"/>
      <c r="B957" s="225"/>
      <c r="C957" s="225"/>
      <c r="D957" s="225"/>
      <c r="E957" s="225"/>
      <c r="F957" s="22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  <c r="AA957" s="225"/>
    </row>
    <row r="958" ht="15.75" customHeight="1">
      <c r="A958" s="225"/>
      <c r="B958" s="225"/>
      <c r="C958" s="225"/>
      <c r="D958" s="225"/>
      <c r="E958" s="225"/>
      <c r="F958" s="22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  <c r="AA958" s="225"/>
    </row>
    <row r="959" ht="15.75" customHeight="1">
      <c r="A959" s="225"/>
      <c r="B959" s="225"/>
      <c r="C959" s="225"/>
      <c r="D959" s="225"/>
      <c r="E959" s="225"/>
      <c r="F959" s="22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  <c r="AA959" s="225"/>
    </row>
    <row r="960" ht="15.75" customHeight="1">
      <c r="A960" s="225"/>
      <c r="B960" s="225"/>
      <c r="C960" s="225"/>
      <c r="D960" s="225"/>
      <c r="E960" s="225"/>
      <c r="F960" s="22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  <c r="AA960" s="225"/>
    </row>
    <row r="961" ht="15.75" customHeight="1">
      <c r="A961" s="225"/>
      <c r="B961" s="225"/>
      <c r="C961" s="225"/>
      <c r="D961" s="225"/>
      <c r="E961" s="225"/>
      <c r="F961" s="22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  <c r="AA961" s="225"/>
    </row>
    <row r="962" ht="15.75" customHeight="1">
      <c r="A962" s="225"/>
      <c r="B962" s="225"/>
      <c r="C962" s="225"/>
      <c r="D962" s="225"/>
      <c r="E962" s="225"/>
      <c r="F962" s="22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  <c r="AA962" s="225"/>
    </row>
    <row r="963" ht="15.75" customHeight="1">
      <c r="A963" s="225"/>
      <c r="B963" s="225"/>
      <c r="C963" s="225"/>
      <c r="D963" s="225"/>
      <c r="E963" s="225"/>
      <c r="F963" s="22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  <c r="AA963" s="225"/>
    </row>
    <row r="964" ht="15.75" customHeight="1">
      <c r="A964" s="225"/>
      <c r="B964" s="225"/>
      <c r="C964" s="225"/>
      <c r="D964" s="225"/>
      <c r="E964" s="225"/>
      <c r="F964" s="22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  <c r="AA964" s="225"/>
    </row>
    <row r="965" ht="15.75" customHeight="1">
      <c r="A965" s="225"/>
      <c r="B965" s="225"/>
      <c r="C965" s="225"/>
      <c r="D965" s="225"/>
      <c r="E965" s="225"/>
      <c r="F965" s="22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  <c r="AA965" s="225"/>
    </row>
    <row r="966" ht="15.75" customHeight="1">
      <c r="A966" s="225"/>
      <c r="B966" s="225"/>
      <c r="C966" s="225"/>
      <c r="D966" s="225"/>
      <c r="E966" s="225"/>
      <c r="F966" s="22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  <c r="AA966" s="225"/>
    </row>
    <row r="967" ht="15.75" customHeight="1">
      <c r="A967" s="225"/>
      <c r="B967" s="225"/>
      <c r="C967" s="225"/>
      <c r="D967" s="225"/>
      <c r="E967" s="225"/>
      <c r="F967" s="22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  <c r="AA967" s="225"/>
    </row>
    <row r="968" ht="15.75" customHeight="1">
      <c r="A968" s="225"/>
      <c r="B968" s="225"/>
      <c r="C968" s="225"/>
      <c r="D968" s="225"/>
      <c r="E968" s="225"/>
      <c r="F968" s="22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  <c r="AA968" s="225"/>
    </row>
    <row r="969" ht="15.75" customHeight="1">
      <c r="A969" s="225"/>
      <c r="B969" s="225"/>
      <c r="C969" s="225"/>
      <c r="D969" s="225"/>
      <c r="E969" s="225"/>
      <c r="F969" s="22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  <c r="AA969" s="225"/>
    </row>
    <row r="970" ht="15.75" customHeight="1">
      <c r="A970" s="225"/>
      <c r="B970" s="225"/>
      <c r="C970" s="225"/>
      <c r="D970" s="225"/>
      <c r="E970" s="225"/>
      <c r="F970" s="22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  <c r="AA970" s="225"/>
    </row>
    <row r="971" ht="15.75" customHeight="1">
      <c r="A971" s="225"/>
      <c r="B971" s="225"/>
      <c r="C971" s="225"/>
      <c r="D971" s="225"/>
      <c r="E971" s="225"/>
      <c r="F971" s="22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  <c r="AA971" s="225"/>
    </row>
    <row r="972" ht="15.75" customHeight="1">
      <c r="A972" s="225"/>
      <c r="B972" s="225"/>
      <c r="C972" s="225"/>
      <c r="D972" s="225"/>
      <c r="E972" s="225"/>
      <c r="F972" s="22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  <c r="AA972" s="225"/>
    </row>
    <row r="973" ht="15.75" customHeight="1">
      <c r="A973" s="225"/>
      <c r="B973" s="225"/>
      <c r="C973" s="225"/>
      <c r="D973" s="225"/>
      <c r="E973" s="225"/>
      <c r="F973" s="22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  <c r="AA973" s="225"/>
    </row>
  </sheetData>
  <mergeCells count="2">
    <mergeCell ref="G2:J2"/>
    <mergeCell ref="G32:I3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0.75"/>
    <col customWidth="1" min="9" max="9" width="18.0"/>
  </cols>
  <sheetData>
    <row r="1" ht="15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5.75" customHeight="1">
      <c r="A2" s="84"/>
      <c r="B2" s="298" t="s">
        <v>193</v>
      </c>
      <c r="C2" s="109"/>
      <c r="D2" s="109"/>
      <c r="E2" s="109"/>
      <c r="F2" s="109"/>
      <c r="G2" s="110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5.75" customHeight="1">
      <c r="A3" s="84"/>
      <c r="B3" s="299" t="s">
        <v>194</v>
      </c>
      <c r="C3" s="300" t="s">
        <v>195</v>
      </c>
      <c r="D3" s="301" t="s">
        <v>196</v>
      </c>
      <c r="E3" s="301" t="s">
        <v>197</v>
      </c>
      <c r="F3" s="302" t="s">
        <v>198</v>
      </c>
      <c r="G3" s="302" t="s">
        <v>147</v>
      </c>
      <c r="H3" s="180"/>
      <c r="I3" s="180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15.75" customHeight="1">
      <c r="A4" s="84"/>
      <c r="B4" s="303" t="s">
        <v>199</v>
      </c>
      <c r="C4" s="304">
        <f>'Cash Report'!D64</f>
        <v>67365732.29</v>
      </c>
      <c r="D4" s="305">
        <v>0.0</v>
      </c>
      <c r="E4" s="306">
        <v>0.0</v>
      </c>
      <c r="F4" s="307">
        <v>1.0</v>
      </c>
      <c r="G4" s="304">
        <f>C4*F4</f>
        <v>67365732.29</v>
      </c>
      <c r="H4" s="308"/>
      <c r="I4" s="180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15.75" customHeight="1">
      <c r="A5" s="84"/>
      <c r="B5" s="303" t="s">
        <v>200</v>
      </c>
      <c r="C5" s="304">
        <v>0.0</v>
      </c>
      <c r="D5" s="309">
        <f>'Cash Report'!D65</f>
        <v>272109.11</v>
      </c>
      <c r="E5" s="310">
        <v>0.0</v>
      </c>
      <c r="F5" s="311">
        <f>'Cash Report'!$E$31</f>
        <v>1343.51</v>
      </c>
      <c r="G5" s="304">
        <f>'Cash Report'!J39</f>
        <v>365581310.4</v>
      </c>
      <c r="H5" s="209"/>
      <c r="I5" s="180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15.75" customHeight="1">
      <c r="A6" s="84"/>
      <c r="B6" s="303" t="s">
        <v>201</v>
      </c>
      <c r="C6" s="304">
        <v>0.0</v>
      </c>
      <c r="D6" s="309">
        <v>0.0</v>
      </c>
      <c r="E6" s="310">
        <f>'Cash Report'!D66</f>
        <v>2525</v>
      </c>
      <c r="F6" s="312">
        <f>'Cash Report'!E30</f>
        <v>1810.4</v>
      </c>
      <c r="G6" s="304">
        <f>'Cash Report'!F66</f>
        <v>4571260</v>
      </c>
      <c r="H6" s="313"/>
      <c r="I6" s="180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15.75" customHeight="1">
      <c r="A7" s="84"/>
      <c r="B7" s="314" t="s">
        <v>202</v>
      </c>
      <c r="C7" s="304">
        <v>0.0</v>
      </c>
      <c r="D7" s="309">
        <f>'Breakdown of Income and Expendi'!H29</f>
        <v>768.94</v>
      </c>
      <c r="E7" s="310">
        <v>0.0</v>
      </c>
      <c r="F7" s="311">
        <f>'Cash Report'!$E$31</f>
        <v>1343.51</v>
      </c>
      <c r="G7" s="304">
        <f>D7*F7</f>
        <v>1033078.579</v>
      </c>
      <c r="H7" s="313"/>
      <c r="I7" s="180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15.75" customHeight="1">
      <c r="A8" s="84"/>
      <c r="B8" s="315" t="s">
        <v>140</v>
      </c>
      <c r="C8" s="316">
        <f t="shared" ref="C8:E8" si="1">SUM(C4:C7)</f>
        <v>67365732.29</v>
      </c>
      <c r="D8" s="317">
        <f t="shared" si="1"/>
        <v>272878.05</v>
      </c>
      <c r="E8" s="318">
        <f t="shared" si="1"/>
        <v>2525</v>
      </c>
      <c r="F8" s="302"/>
      <c r="G8" s="319">
        <f>SUM(G4:G7)</f>
        <v>438551381.2</v>
      </c>
      <c r="H8" s="50"/>
      <c r="I8" s="180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15.75" customHeight="1">
      <c r="A9" s="84"/>
      <c r="B9" s="84"/>
      <c r="C9" s="84"/>
      <c r="D9" s="84"/>
      <c r="E9" s="84"/>
      <c r="F9" s="84"/>
      <c r="G9" s="320"/>
      <c r="H9" s="321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5.75" customHeight="1">
      <c r="A10" s="84"/>
      <c r="B10" s="84"/>
      <c r="C10" s="322"/>
      <c r="D10" s="84"/>
      <c r="E10" s="322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15.75" customHeight="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15.75" customHeight="1">
      <c r="A12" s="84"/>
      <c r="B12" s="323" t="s">
        <v>203</v>
      </c>
      <c r="C12" s="109"/>
      <c r="D12" s="109"/>
      <c r="E12" s="109"/>
      <c r="F12" s="109"/>
      <c r="G12" s="109"/>
      <c r="H12" s="110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15.75" customHeight="1">
      <c r="A13" s="84"/>
      <c r="B13" s="324" t="s">
        <v>204</v>
      </c>
      <c r="C13" s="325" t="s">
        <v>205</v>
      </c>
      <c r="D13" s="325" t="s">
        <v>206</v>
      </c>
      <c r="E13" s="325" t="s">
        <v>4</v>
      </c>
      <c r="F13" s="325" t="s">
        <v>126</v>
      </c>
      <c r="G13" s="302" t="s">
        <v>207</v>
      </c>
      <c r="H13" s="325" t="s">
        <v>208</v>
      </c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15.75" customHeight="1">
      <c r="A14" s="84"/>
      <c r="B14" s="326" t="s">
        <v>209</v>
      </c>
      <c r="C14" s="327">
        <f>59500-59500</f>
        <v>0</v>
      </c>
      <c r="D14" s="328">
        <v>689.68</v>
      </c>
      <c r="E14" s="327">
        <f t="shared" ref="E14:E19" si="2">SUM(C14:D14)</f>
        <v>689.68</v>
      </c>
      <c r="F14" s="329" t="s">
        <v>128</v>
      </c>
      <c r="G14" s="303" t="s">
        <v>210</v>
      </c>
      <c r="H14" s="329"/>
      <c r="I14" s="330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15.75" customHeight="1">
      <c r="A15" s="84"/>
      <c r="B15" s="326" t="s">
        <v>211</v>
      </c>
      <c r="C15" s="309">
        <f>752544.4-123000-60000</f>
        <v>569544.4</v>
      </c>
      <c r="D15" s="328">
        <v>131209.01</v>
      </c>
      <c r="E15" s="327">
        <f t="shared" si="2"/>
        <v>700753.41</v>
      </c>
      <c r="F15" s="329" t="s">
        <v>128</v>
      </c>
      <c r="G15" s="303" t="s">
        <v>210</v>
      </c>
      <c r="H15" s="329"/>
      <c r="I15" s="330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331"/>
      <c r="B16" s="326" t="s">
        <v>212</v>
      </c>
      <c r="C16" s="332">
        <v>111975.34870967735</v>
      </c>
      <c r="D16" s="328">
        <v>1089.64</v>
      </c>
      <c r="E16" s="327">
        <f t="shared" si="2"/>
        <v>113064.9887</v>
      </c>
      <c r="F16" s="329" t="s">
        <v>128</v>
      </c>
      <c r="G16" s="303" t="s">
        <v>210</v>
      </c>
      <c r="H16" s="333"/>
      <c r="I16" s="330"/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</row>
    <row r="17" ht="30.0" customHeight="1">
      <c r="A17" s="331"/>
      <c r="B17" s="334" t="s">
        <v>213</v>
      </c>
      <c r="C17" s="335">
        <v>45314.87</v>
      </c>
      <c r="D17" s="328">
        <v>32146.39</v>
      </c>
      <c r="E17" s="327">
        <f t="shared" si="2"/>
        <v>77461.26</v>
      </c>
      <c r="F17" s="336" t="s">
        <v>128</v>
      </c>
      <c r="G17" s="303" t="s">
        <v>210</v>
      </c>
      <c r="H17" s="337" t="s">
        <v>214</v>
      </c>
      <c r="I17" s="338"/>
      <c r="J17" s="331"/>
      <c r="K17" s="331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</row>
    <row r="18" ht="15.75" customHeight="1">
      <c r="A18" s="84"/>
      <c r="B18" s="326" t="s">
        <v>215</v>
      </c>
      <c r="C18" s="339">
        <v>528300.0</v>
      </c>
      <c r="D18" s="340">
        <v>0.0</v>
      </c>
      <c r="E18" s="327">
        <f t="shared" si="2"/>
        <v>528300</v>
      </c>
      <c r="F18" s="341"/>
      <c r="G18" s="303"/>
      <c r="H18" s="329"/>
      <c r="I18" s="338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5.75" customHeight="1">
      <c r="A19" s="84"/>
      <c r="B19" s="326" t="s">
        <v>216</v>
      </c>
      <c r="C19" s="327">
        <v>769.0</v>
      </c>
      <c r="D19" s="309">
        <v>0.0</v>
      </c>
      <c r="E19" s="327">
        <f t="shared" si="2"/>
        <v>769</v>
      </c>
      <c r="F19" s="329" t="s">
        <v>128</v>
      </c>
      <c r="G19" s="303" t="s">
        <v>128</v>
      </c>
      <c r="H19" s="329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15.75" customHeight="1">
      <c r="A20" s="84"/>
      <c r="B20" s="326"/>
      <c r="C20" s="342">
        <f t="shared" ref="C20:E20" si="3">SUM(C14:C19)</f>
        <v>1255903.619</v>
      </c>
      <c r="D20" s="342">
        <f t="shared" si="3"/>
        <v>165134.72</v>
      </c>
      <c r="E20" s="343">
        <f t="shared" si="3"/>
        <v>1421038.339</v>
      </c>
      <c r="F20" s="303"/>
      <c r="G20" s="344"/>
      <c r="H20" s="344"/>
      <c r="I20" s="321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15.75" customHeight="1">
      <c r="A21" s="84"/>
      <c r="B21" s="84"/>
      <c r="C21" s="84"/>
      <c r="D21" s="84"/>
      <c r="E21" s="345"/>
      <c r="F21" s="322"/>
      <c r="G21" s="345"/>
      <c r="H21" s="346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15.75" customHeight="1">
      <c r="A22" s="84"/>
      <c r="B22" s="84"/>
      <c r="C22" s="84"/>
      <c r="D22" s="84"/>
      <c r="E22" s="84"/>
      <c r="F22" s="84"/>
      <c r="G22" s="84"/>
      <c r="H22" s="84"/>
      <c r="I22" s="347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15.75" customHeight="1">
      <c r="A23" s="84"/>
      <c r="B23" s="323" t="s">
        <v>217</v>
      </c>
      <c r="C23" s="109"/>
      <c r="D23" s="109"/>
      <c r="E23" s="109"/>
      <c r="F23" s="109"/>
      <c r="G23" s="109"/>
      <c r="H23" s="110"/>
      <c r="I23" s="347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15.75" customHeight="1">
      <c r="A24" s="84"/>
      <c r="B24" s="302" t="s">
        <v>204</v>
      </c>
      <c r="C24" s="302" t="s">
        <v>205</v>
      </c>
      <c r="D24" s="302" t="s">
        <v>206</v>
      </c>
      <c r="E24" s="302" t="s">
        <v>4</v>
      </c>
      <c r="F24" s="302" t="s">
        <v>126</v>
      </c>
      <c r="G24" s="302" t="s">
        <v>207</v>
      </c>
      <c r="H24" s="302" t="s">
        <v>208</v>
      </c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15.75" customHeight="1">
      <c r="A25" s="84"/>
      <c r="B25" s="303" t="s">
        <v>218</v>
      </c>
      <c r="C25" s="340">
        <v>38400.0</v>
      </c>
      <c r="D25" s="348">
        <v>2412.3500000000004</v>
      </c>
      <c r="E25" s="349">
        <f>C25+D25</f>
        <v>40812.35</v>
      </c>
      <c r="F25" s="350" t="s">
        <v>128</v>
      </c>
      <c r="G25" s="303" t="s">
        <v>210</v>
      </c>
      <c r="H25" s="351" t="s">
        <v>219</v>
      </c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15.75" customHeight="1">
      <c r="A26" s="84"/>
      <c r="B26" s="352" t="s">
        <v>220</v>
      </c>
      <c r="C26" s="353">
        <f t="shared" ref="C26:E26" si="4">SUM(C25)</f>
        <v>38400</v>
      </c>
      <c r="D26" s="353">
        <f t="shared" si="4"/>
        <v>2412.35</v>
      </c>
      <c r="E26" s="354">
        <f t="shared" si="4"/>
        <v>40812.35</v>
      </c>
      <c r="F26" s="344"/>
      <c r="G26" s="344"/>
      <c r="H26" s="355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5.75" customHeight="1">
      <c r="A27" s="84"/>
      <c r="B27" s="84"/>
      <c r="C27" s="84"/>
      <c r="D27" s="84"/>
      <c r="E27" s="84"/>
      <c r="F27" s="356"/>
      <c r="G27" s="345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15.75" customHeight="1">
      <c r="A28" s="84"/>
      <c r="B28" s="84"/>
      <c r="C28" s="84"/>
      <c r="D28" s="357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15.75" customHeight="1">
      <c r="A29" s="84"/>
      <c r="B29" s="323" t="s">
        <v>221</v>
      </c>
      <c r="C29" s="109"/>
      <c r="D29" s="109"/>
      <c r="E29" s="109"/>
      <c r="F29" s="109"/>
      <c r="G29" s="109"/>
      <c r="H29" s="358"/>
      <c r="I29" s="321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15.75" customHeight="1">
      <c r="A30" s="84"/>
      <c r="B30" s="324" t="s">
        <v>204</v>
      </c>
      <c r="C30" s="325" t="s">
        <v>205</v>
      </c>
      <c r="D30" s="325" t="s">
        <v>206</v>
      </c>
      <c r="E30" s="325" t="s">
        <v>4</v>
      </c>
      <c r="F30" s="302" t="s">
        <v>126</v>
      </c>
      <c r="G30" s="302" t="s">
        <v>207</v>
      </c>
      <c r="H30" s="302" t="s">
        <v>208</v>
      </c>
      <c r="I30" s="321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5.75" customHeight="1">
      <c r="A31" s="84"/>
      <c r="B31" s="326" t="s">
        <v>222</v>
      </c>
      <c r="C31" s="359">
        <v>0.0</v>
      </c>
      <c r="D31" s="360">
        <v>9255303.43</v>
      </c>
      <c r="E31" s="361">
        <f t="shared" ref="E31:E32" si="5">C31+D31</f>
        <v>9255303.43</v>
      </c>
      <c r="F31" s="362" t="s">
        <v>128</v>
      </c>
      <c r="G31" s="303" t="s">
        <v>210</v>
      </c>
      <c r="H31" s="303"/>
      <c r="I31" s="321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5.75" customHeight="1">
      <c r="A32" s="84"/>
      <c r="B32" s="363" t="s">
        <v>119</v>
      </c>
      <c r="C32" s="359">
        <v>5000000.0</v>
      </c>
      <c r="D32" s="364">
        <v>2786750.58</v>
      </c>
      <c r="E32" s="361">
        <f t="shared" si="5"/>
        <v>7786750.58</v>
      </c>
      <c r="F32" s="362" t="s">
        <v>128</v>
      </c>
      <c r="G32" s="303" t="s">
        <v>210</v>
      </c>
      <c r="H32" s="303"/>
      <c r="I32" s="365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5.75" customHeight="1">
      <c r="A33" s="84"/>
      <c r="B33" s="352" t="s">
        <v>223</v>
      </c>
      <c r="C33" s="319">
        <f t="shared" ref="C33:E33" si="6">SUM(C31:C32)</f>
        <v>5000000</v>
      </c>
      <c r="D33" s="319">
        <f t="shared" si="6"/>
        <v>12042054.01</v>
      </c>
      <c r="E33" s="319">
        <f t="shared" si="6"/>
        <v>17042054.01</v>
      </c>
      <c r="F33" s="303"/>
      <c r="G33" s="303"/>
      <c r="H33" s="303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15.7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15.75" customHeight="1">
      <c r="A35" s="84"/>
      <c r="B35" s="84"/>
      <c r="C35" s="84"/>
      <c r="D35" s="50"/>
      <c r="E35" s="84"/>
      <c r="F35" s="366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15.75" customHeight="1">
      <c r="A36" s="84"/>
      <c r="B36" s="298" t="s">
        <v>224</v>
      </c>
      <c r="C36" s="109"/>
      <c r="D36" s="109"/>
      <c r="E36" s="109"/>
      <c r="F36" s="109"/>
      <c r="G36" s="109"/>
      <c r="H36" s="358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15.75" customHeight="1">
      <c r="A37" s="84"/>
      <c r="B37" s="367" t="s">
        <v>225</v>
      </c>
      <c r="C37" s="184"/>
      <c r="D37" s="184"/>
      <c r="E37" s="184"/>
      <c r="F37" s="185"/>
      <c r="G37" s="368">
        <v>44531.0</v>
      </c>
      <c r="H37" s="303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15.75" customHeight="1">
      <c r="A38" s="84"/>
      <c r="B38" s="367" t="s">
        <v>226</v>
      </c>
      <c r="C38" s="184"/>
      <c r="D38" s="184"/>
      <c r="E38" s="184"/>
      <c r="F38" s="185"/>
      <c r="G38" s="369">
        <v>2.028E7</v>
      </c>
      <c r="H38" s="303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15.75" customHeight="1">
      <c r="A39" s="84"/>
      <c r="B39" s="367" t="s">
        <v>227</v>
      </c>
      <c r="C39" s="184"/>
      <c r="D39" s="184"/>
      <c r="E39" s="184"/>
      <c r="F39" s="185"/>
      <c r="G39" s="369">
        <v>9.3795E7</v>
      </c>
      <c r="H39" s="303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15.75" customHeight="1">
      <c r="A40" s="84"/>
      <c r="B40" s="84"/>
      <c r="C40" s="84"/>
      <c r="D40" s="84"/>
      <c r="E40" s="84"/>
      <c r="F40" s="338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15.7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15.7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ht="15.7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ht="15.7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ht="15.7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ht="15.7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ht="15.7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ht="15.7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ht="15.7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ht="15.7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15.7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15.7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ht="15.7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ht="15.7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ht="15.7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ht="15.7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ht="15.7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ht="15.7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15.7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15.7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15.7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15.7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15.7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15.7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15.7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15.7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15.7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15.7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15.7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15.7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5.7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5.7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5.7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15.7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15.7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15.7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15.7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15.7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15.7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15.7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15.7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15.7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15.7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15.7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15.7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ht="15.7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ht="15.7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ht="15.7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15.7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5.7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5.7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5.7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5.7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5.7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5.7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ht="15.7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ht="15.7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ht="15.7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ht="15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ht="15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ht="15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ht="15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ht="15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15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ht="15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ht="15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ht="15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ht="15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15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ht="15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ht="15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ht="15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ht="15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ht="15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ht="15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ht="15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ht="15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ht="15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ht="15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ht="15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ht="15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ht="15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ht="15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ht="15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ht="15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ht="15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ht="15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ht="15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ht="15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ht="15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15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ht="15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ht="15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ht="15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ht="15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ht="15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ht="15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ht="15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ht="15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ht="15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ht="15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ht="15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ht="15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ht="15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ht="15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ht="15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ht="15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ht="15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ht="15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ht="15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ht="15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ht="15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ht="15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ht="15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ht="15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ht="15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15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ht="15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ht="15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ht="15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ht="15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ht="15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15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ht="15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ht="15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ht="15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ht="15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ht="15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ht="15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ht="15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ht="15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ht="15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ht="15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ht="15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ht="15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ht="15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ht="15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ht="15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ht="15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ht="15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ht="15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ht="15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ht="15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ht="15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ht="15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ht="15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ht="15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ht="15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ht="15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ht="15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ht="15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ht="15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ht="15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ht="15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ht="15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ht="15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ht="15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ht="15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ht="15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ht="15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ht="15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ht="15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B2:G2"/>
    <mergeCell ref="B12:H12"/>
    <mergeCell ref="B23:H23"/>
    <mergeCell ref="B29:H29"/>
    <mergeCell ref="B36:H36"/>
    <mergeCell ref="B37:F37"/>
    <mergeCell ref="B38:F38"/>
    <mergeCell ref="B39:F3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2.25"/>
  </cols>
  <sheetData>
    <row r="1">
      <c r="A1" s="22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</row>
    <row r="2">
      <c r="A2" s="225"/>
      <c r="B2" s="370" t="s">
        <v>228</v>
      </c>
      <c r="C2" s="109"/>
      <c r="D2" s="109"/>
      <c r="E2" s="109"/>
      <c r="F2" s="110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</row>
    <row r="3">
      <c r="A3" s="225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</row>
    <row r="4">
      <c r="A4" s="225"/>
      <c r="B4" s="371" t="s">
        <v>229</v>
      </c>
      <c r="C4" s="371" t="s">
        <v>165</v>
      </c>
      <c r="D4" s="371" t="s">
        <v>230</v>
      </c>
      <c r="E4" s="371" t="s">
        <v>231</v>
      </c>
      <c r="F4" s="371" t="s">
        <v>232</v>
      </c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</row>
    <row r="5">
      <c r="A5" s="225"/>
      <c r="B5" s="372">
        <v>45788.0</v>
      </c>
      <c r="C5" s="373" t="s">
        <v>233</v>
      </c>
      <c r="D5" s="374"/>
      <c r="E5" s="375"/>
      <c r="F5" s="376">
        <v>4646.0</v>
      </c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</row>
    <row r="6">
      <c r="A6" s="225"/>
      <c r="B6" s="377">
        <v>45819.0</v>
      </c>
      <c r="C6" s="374" t="s">
        <v>234</v>
      </c>
      <c r="D6" s="378">
        <v>20000.0</v>
      </c>
      <c r="E6" s="379"/>
      <c r="F6" s="380">
        <f t="shared" ref="F6:F46" si="1">F5+D6-E6</f>
        <v>24646</v>
      </c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</row>
    <row r="7">
      <c r="A7" s="225"/>
      <c r="B7" s="377">
        <v>45819.0</v>
      </c>
      <c r="C7" s="374" t="s">
        <v>235</v>
      </c>
      <c r="D7" s="381"/>
      <c r="E7" s="378">
        <v>2000.0</v>
      </c>
      <c r="F7" s="380">
        <f t="shared" si="1"/>
        <v>22646</v>
      </c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</row>
    <row r="8">
      <c r="A8" s="225"/>
      <c r="B8" s="377">
        <v>45819.0</v>
      </c>
      <c r="C8" s="374" t="s">
        <v>236</v>
      </c>
      <c r="D8" s="381"/>
      <c r="E8" s="378">
        <v>2000.0</v>
      </c>
      <c r="F8" s="380">
        <f t="shared" si="1"/>
        <v>20646</v>
      </c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</row>
    <row r="9">
      <c r="A9" s="225"/>
      <c r="B9" s="377">
        <v>45819.0</v>
      </c>
      <c r="C9" s="374" t="s">
        <v>237</v>
      </c>
      <c r="D9" s="381"/>
      <c r="E9" s="378">
        <v>2000.0</v>
      </c>
      <c r="F9" s="380">
        <f t="shared" si="1"/>
        <v>18646</v>
      </c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</row>
    <row r="10">
      <c r="A10" s="225"/>
      <c r="B10" s="377">
        <v>45819.0</v>
      </c>
      <c r="C10" s="374" t="s">
        <v>238</v>
      </c>
      <c r="D10" s="381"/>
      <c r="E10" s="378">
        <v>3250.0</v>
      </c>
      <c r="F10" s="380">
        <f t="shared" si="1"/>
        <v>15396</v>
      </c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</row>
    <row r="11">
      <c r="A11" s="225"/>
      <c r="B11" s="377">
        <v>45819.0</v>
      </c>
      <c r="C11" s="374" t="s">
        <v>239</v>
      </c>
      <c r="D11" s="380">
        <v>500.0</v>
      </c>
      <c r="E11" s="382"/>
      <c r="F11" s="380">
        <f t="shared" si="1"/>
        <v>15896</v>
      </c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</row>
    <row r="12">
      <c r="A12" s="225"/>
      <c r="B12" s="377">
        <v>45819.0</v>
      </c>
      <c r="C12" s="374" t="s">
        <v>240</v>
      </c>
      <c r="D12" s="381"/>
      <c r="E12" s="383">
        <v>700.0</v>
      </c>
      <c r="F12" s="380">
        <f t="shared" si="1"/>
        <v>15196</v>
      </c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</row>
    <row r="13">
      <c r="A13" s="225"/>
      <c r="B13" s="377">
        <v>45819.0</v>
      </c>
      <c r="C13" s="374" t="s">
        <v>241</v>
      </c>
      <c r="D13" s="381"/>
      <c r="E13" s="384">
        <v>1620.0</v>
      </c>
      <c r="F13" s="380">
        <f t="shared" si="1"/>
        <v>13576</v>
      </c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</row>
    <row r="14">
      <c r="A14" s="225"/>
      <c r="B14" s="377">
        <v>45819.0</v>
      </c>
      <c r="C14" s="374" t="s">
        <v>242</v>
      </c>
      <c r="D14" s="381"/>
      <c r="E14" s="383">
        <v>3000.0</v>
      </c>
      <c r="F14" s="380">
        <f t="shared" si="1"/>
        <v>10576</v>
      </c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</row>
    <row r="15">
      <c r="A15" s="225"/>
      <c r="B15" s="385" t="s">
        <v>243</v>
      </c>
      <c r="C15" s="374" t="s">
        <v>244</v>
      </c>
      <c r="D15" s="381"/>
      <c r="E15" s="380">
        <v>1120.0</v>
      </c>
      <c r="F15" s="380">
        <f t="shared" si="1"/>
        <v>9456</v>
      </c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</row>
    <row r="16">
      <c r="A16" s="225"/>
      <c r="B16" s="385" t="s">
        <v>243</v>
      </c>
      <c r="C16" s="374" t="s">
        <v>245</v>
      </c>
      <c r="D16" s="381"/>
      <c r="E16" s="383">
        <v>890.0</v>
      </c>
      <c r="F16" s="380">
        <f t="shared" si="1"/>
        <v>8566</v>
      </c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</row>
    <row r="17">
      <c r="A17" s="225"/>
      <c r="B17" s="385" t="s">
        <v>243</v>
      </c>
      <c r="C17" s="374" t="s">
        <v>246</v>
      </c>
      <c r="D17" s="381"/>
      <c r="E17" s="383">
        <v>890.0</v>
      </c>
      <c r="F17" s="380">
        <f t="shared" si="1"/>
        <v>7676</v>
      </c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</row>
    <row r="18">
      <c r="A18" s="225"/>
      <c r="B18" s="385" t="s">
        <v>247</v>
      </c>
      <c r="C18" s="374" t="s">
        <v>248</v>
      </c>
      <c r="D18" s="381"/>
      <c r="E18" s="375">
        <v>2000.0</v>
      </c>
      <c r="F18" s="380">
        <f t="shared" si="1"/>
        <v>5676</v>
      </c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</row>
    <row r="19">
      <c r="A19" s="225"/>
      <c r="B19" s="385" t="s">
        <v>247</v>
      </c>
      <c r="C19" s="374" t="s">
        <v>249</v>
      </c>
      <c r="D19" s="375">
        <v>420.0</v>
      </c>
      <c r="E19" s="379"/>
      <c r="F19" s="380">
        <f t="shared" si="1"/>
        <v>6096</v>
      </c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</row>
    <row r="20">
      <c r="A20" s="225"/>
      <c r="B20" s="385" t="s">
        <v>250</v>
      </c>
      <c r="C20" s="374" t="s">
        <v>251</v>
      </c>
      <c r="D20" s="375">
        <v>310.0</v>
      </c>
      <c r="E20" s="374"/>
      <c r="F20" s="380">
        <f t="shared" si="1"/>
        <v>6406</v>
      </c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</row>
    <row r="21">
      <c r="A21" s="225"/>
      <c r="B21" s="377">
        <v>45669.0</v>
      </c>
      <c r="C21" s="374" t="s">
        <v>252</v>
      </c>
      <c r="D21" s="381"/>
      <c r="E21" s="380">
        <v>1000.0</v>
      </c>
      <c r="F21" s="380">
        <f t="shared" si="1"/>
        <v>5406</v>
      </c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</row>
    <row r="22">
      <c r="A22" s="225"/>
      <c r="B22" s="377">
        <v>45881.0</v>
      </c>
      <c r="C22" s="374" t="s">
        <v>253</v>
      </c>
      <c r="D22" s="380">
        <v>10000.0</v>
      </c>
      <c r="E22" s="382"/>
      <c r="F22" s="380">
        <f t="shared" si="1"/>
        <v>15406</v>
      </c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</row>
    <row r="23">
      <c r="A23" s="225"/>
      <c r="B23" s="385" t="s">
        <v>254</v>
      </c>
      <c r="C23" s="374" t="s">
        <v>255</v>
      </c>
      <c r="D23" s="381"/>
      <c r="E23" s="375">
        <v>2000.0</v>
      </c>
      <c r="F23" s="380">
        <f t="shared" si="1"/>
        <v>13406</v>
      </c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</row>
    <row r="24">
      <c r="A24" s="225"/>
      <c r="B24" s="385" t="s">
        <v>254</v>
      </c>
      <c r="C24" s="374" t="s">
        <v>256</v>
      </c>
      <c r="D24" s="381"/>
      <c r="E24" s="375">
        <v>2000.0</v>
      </c>
      <c r="F24" s="380">
        <f t="shared" si="1"/>
        <v>11406</v>
      </c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</row>
    <row r="25">
      <c r="A25" s="225"/>
      <c r="B25" s="385" t="s">
        <v>254</v>
      </c>
      <c r="C25" s="374" t="s">
        <v>257</v>
      </c>
      <c r="D25" s="381"/>
      <c r="E25" s="375">
        <v>1000.0</v>
      </c>
      <c r="F25" s="380">
        <f t="shared" si="1"/>
        <v>10406</v>
      </c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</row>
    <row r="26">
      <c r="A26" s="225"/>
      <c r="B26" s="385" t="s">
        <v>254</v>
      </c>
      <c r="C26" s="374" t="s">
        <v>258</v>
      </c>
      <c r="D26" s="381"/>
      <c r="E26" s="375">
        <v>2000.0</v>
      </c>
      <c r="F26" s="380">
        <f t="shared" si="1"/>
        <v>8406</v>
      </c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</row>
    <row r="27">
      <c r="A27" s="225"/>
      <c r="B27" s="385" t="s">
        <v>254</v>
      </c>
      <c r="C27" s="374" t="s">
        <v>259</v>
      </c>
      <c r="D27" s="381"/>
      <c r="E27" s="375">
        <v>2000.0</v>
      </c>
      <c r="F27" s="380">
        <f t="shared" si="1"/>
        <v>6406</v>
      </c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</row>
    <row r="28">
      <c r="A28" s="225"/>
      <c r="B28" s="385" t="s">
        <v>254</v>
      </c>
      <c r="C28" s="374" t="s">
        <v>260</v>
      </c>
      <c r="D28" s="382"/>
      <c r="E28" s="375">
        <v>1000.0</v>
      </c>
      <c r="F28" s="380">
        <f t="shared" si="1"/>
        <v>5406</v>
      </c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</row>
    <row r="29">
      <c r="A29" s="225"/>
      <c r="B29" s="385" t="s">
        <v>254</v>
      </c>
      <c r="C29" s="374" t="s">
        <v>261</v>
      </c>
      <c r="D29" s="374"/>
      <c r="E29" s="375">
        <v>2000.0</v>
      </c>
      <c r="F29" s="380">
        <f t="shared" si="1"/>
        <v>3406</v>
      </c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</row>
    <row r="30">
      <c r="A30" s="225"/>
      <c r="B30" s="385" t="s">
        <v>254</v>
      </c>
      <c r="C30" s="374" t="s">
        <v>262</v>
      </c>
      <c r="D30" s="374"/>
      <c r="E30" s="375">
        <v>1000.0</v>
      </c>
      <c r="F30" s="380">
        <f t="shared" si="1"/>
        <v>2406</v>
      </c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</row>
    <row r="31">
      <c r="A31" s="225"/>
      <c r="B31" s="385" t="s">
        <v>254</v>
      </c>
      <c r="C31" s="374" t="s">
        <v>263</v>
      </c>
      <c r="D31" s="375">
        <v>13000.0</v>
      </c>
      <c r="E31" s="374"/>
      <c r="F31" s="380">
        <f t="shared" si="1"/>
        <v>15406</v>
      </c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</row>
    <row r="32">
      <c r="A32" s="225"/>
      <c r="B32" s="385" t="s">
        <v>254</v>
      </c>
      <c r="C32" s="374" t="s">
        <v>264</v>
      </c>
      <c r="D32" s="374"/>
      <c r="E32" s="375">
        <v>3250.0</v>
      </c>
      <c r="F32" s="380">
        <f t="shared" si="1"/>
        <v>12156</v>
      </c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</row>
    <row r="33">
      <c r="A33" s="225"/>
      <c r="B33" s="385" t="s">
        <v>254</v>
      </c>
      <c r="C33" s="374" t="s">
        <v>265</v>
      </c>
      <c r="D33" s="374"/>
      <c r="E33" s="375">
        <v>3250.0</v>
      </c>
      <c r="F33" s="380">
        <f t="shared" si="1"/>
        <v>8906</v>
      </c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</row>
    <row r="34">
      <c r="A34" s="225"/>
      <c r="B34" s="385" t="s">
        <v>254</v>
      </c>
      <c r="C34" s="374" t="s">
        <v>266</v>
      </c>
      <c r="D34" s="374"/>
      <c r="E34" s="375">
        <v>1625.0</v>
      </c>
      <c r="F34" s="380">
        <f t="shared" si="1"/>
        <v>7281</v>
      </c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</row>
    <row r="35">
      <c r="A35" s="225"/>
      <c r="B35" s="385" t="s">
        <v>267</v>
      </c>
      <c r="C35" s="374" t="s">
        <v>268</v>
      </c>
      <c r="D35" s="374"/>
      <c r="E35" s="375">
        <v>5300.0</v>
      </c>
      <c r="F35" s="380">
        <f t="shared" si="1"/>
        <v>1981</v>
      </c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</row>
    <row r="36">
      <c r="A36" s="225"/>
      <c r="B36" s="377">
        <v>46235.0</v>
      </c>
      <c r="C36" s="374" t="s">
        <v>269</v>
      </c>
      <c r="D36" s="381"/>
      <c r="E36" s="380">
        <v>1280.0</v>
      </c>
      <c r="F36" s="380">
        <f t="shared" si="1"/>
        <v>701</v>
      </c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</row>
    <row r="37">
      <c r="A37" s="225"/>
      <c r="B37" s="385" t="s">
        <v>270</v>
      </c>
      <c r="C37" s="374" t="s">
        <v>271</v>
      </c>
      <c r="D37" s="380">
        <v>22000.0</v>
      </c>
      <c r="E37" s="382"/>
      <c r="F37" s="380">
        <f t="shared" si="1"/>
        <v>22701</v>
      </c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</row>
    <row r="38">
      <c r="A38" s="225"/>
      <c r="B38" s="385" t="s">
        <v>270</v>
      </c>
      <c r="C38" s="373" t="s">
        <v>272</v>
      </c>
      <c r="D38" s="381"/>
      <c r="E38" s="380">
        <v>500.0</v>
      </c>
      <c r="F38" s="380">
        <f t="shared" si="1"/>
        <v>22201</v>
      </c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</row>
    <row r="39">
      <c r="A39" s="225"/>
      <c r="B39" s="386" t="s">
        <v>273</v>
      </c>
      <c r="C39" s="387" t="s">
        <v>274</v>
      </c>
      <c r="D39" s="388"/>
      <c r="E39" s="389">
        <v>1500.0</v>
      </c>
      <c r="F39" s="380">
        <f t="shared" si="1"/>
        <v>20701</v>
      </c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</row>
    <row r="40">
      <c r="A40" s="225"/>
      <c r="B40" s="386" t="s">
        <v>273</v>
      </c>
      <c r="C40" s="387" t="s">
        <v>275</v>
      </c>
      <c r="D40" s="388"/>
      <c r="E40" s="389">
        <v>3500.0</v>
      </c>
      <c r="F40" s="380">
        <f t="shared" si="1"/>
        <v>17201</v>
      </c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</row>
    <row r="41">
      <c r="A41" s="225"/>
      <c r="B41" s="386" t="s">
        <v>273</v>
      </c>
      <c r="C41" s="387" t="s">
        <v>276</v>
      </c>
      <c r="D41" s="388"/>
      <c r="E41" s="389">
        <v>2000.0</v>
      </c>
      <c r="F41" s="380">
        <f t="shared" si="1"/>
        <v>15201</v>
      </c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</row>
    <row r="42">
      <c r="A42" s="225"/>
      <c r="B42" s="386" t="s">
        <v>273</v>
      </c>
      <c r="C42" s="387" t="s">
        <v>277</v>
      </c>
      <c r="D42" s="388"/>
      <c r="E42" s="389">
        <v>4500.0</v>
      </c>
      <c r="F42" s="380">
        <f t="shared" si="1"/>
        <v>10701</v>
      </c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</row>
    <row r="43">
      <c r="A43" s="225"/>
      <c r="B43" s="386" t="s">
        <v>273</v>
      </c>
      <c r="C43" s="387" t="s">
        <v>278</v>
      </c>
      <c r="D43" s="390"/>
      <c r="E43" s="389">
        <v>2000.0</v>
      </c>
      <c r="F43" s="380">
        <f t="shared" si="1"/>
        <v>8701</v>
      </c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</row>
    <row r="44">
      <c r="A44" s="225"/>
      <c r="B44" s="391">
        <v>46205.0</v>
      </c>
      <c r="C44" s="387" t="s">
        <v>279</v>
      </c>
      <c r="D44" s="387"/>
      <c r="E44" s="389">
        <v>1105.0</v>
      </c>
      <c r="F44" s="392">
        <f t="shared" si="1"/>
        <v>7596</v>
      </c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</row>
    <row r="45">
      <c r="A45" s="225"/>
      <c r="B45" s="391">
        <v>46205.0</v>
      </c>
      <c r="C45" s="387" t="s">
        <v>280</v>
      </c>
      <c r="D45" s="387"/>
      <c r="E45" s="389">
        <v>650.0</v>
      </c>
      <c r="F45" s="392">
        <f t="shared" si="1"/>
        <v>6946</v>
      </c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</row>
    <row r="46">
      <c r="A46" s="225"/>
      <c r="B46" s="393" t="s">
        <v>281</v>
      </c>
      <c r="C46" s="394" t="s">
        <v>282</v>
      </c>
      <c r="D46" s="395"/>
      <c r="E46" s="396">
        <v>1000.0</v>
      </c>
      <c r="F46" s="392">
        <f t="shared" si="1"/>
        <v>5946</v>
      </c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</row>
    <row r="47">
      <c r="A47" s="225"/>
      <c r="B47" s="225"/>
      <c r="C47" s="225"/>
      <c r="D47" s="225"/>
      <c r="E47" s="225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</row>
    <row r="48">
      <c r="A48" s="225"/>
      <c r="B48" s="225"/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</row>
    <row r="49">
      <c r="A49" s="225"/>
      <c r="B49" s="225"/>
      <c r="C49" s="225"/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</row>
    <row r="50">
      <c r="A50" s="225"/>
      <c r="B50" s="225"/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</row>
    <row r="51">
      <c r="A51" s="225"/>
      <c r="B51" s="225"/>
      <c r="C51" s="225"/>
      <c r="D51" s="225"/>
      <c r="E51" s="225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</row>
    <row r="52">
      <c r="A52" s="225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</row>
    <row r="53">
      <c r="A53" s="225"/>
      <c r="B53" s="225"/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</row>
    <row r="54">
      <c r="A54" s="225"/>
      <c r="B54" s="225"/>
      <c r="C54" s="225"/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</row>
    <row r="55">
      <c r="A55" s="225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</row>
    <row r="56">
      <c r="A56" s="225"/>
      <c r="B56" s="225"/>
      <c r="C56" s="225"/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</row>
    <row r="57">
      <c r="A57" s="225"/>
      <c r="B57" s="225"/>
      <c r="C57" s="225"/>
      <c r="D57" s="225"/>
      <c r="E57" s="225"/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</row>
    <row r="58">
      <c r="A58" s="225"/>
      <c r="B58" s="225"/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</row>
    <row r="59">
      <c r="A59" s="225"/>
      <c r="B59" s="225"/>
      <c r="C59" s="225"/>
      <c r="D59" s="225"/>
      <c r="E59" s="225"/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</row>
    <row r="60">
      <c r="A60" s="225"/>
      <c r="B60" s="225"/>
      <c r="C60" s="225"/>
      <c r="D60" s="225"/>
      <c r="E60" s="225"/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</row>
    <row r="61">
      <c r="A61" s="225"/>
      <c r="B61" s="225"/>
      <c r="C61" s="225"/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</row>
    <row r="62">
      <c r="A62" s="225"/>
      <c r="B62" s="225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</row>
    <row r="63">
      <c r="A63" s="225"/>
      <c r="B63" s="225"/>
      <c r="C63" s="225"/>
      <c r="D63" s="225"/>
      <c r="E63" s="225"/>
      <c r="F63" s="225"/>
      <c r="G63" s="225"/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</row>
    <row r="64">
      <c r="A64" s="225"/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</row>
    <row r="65">
      <c r="A65" s="225"/>
      <c r="B65" s="225"/>
      <c r="C65" s="225"/>
      <c r="D65" s="225"/>
      <c r="E65" s="225"/>
      <c r="F65" s="225"/>
      <c r="G65" s="225"/>
      <c r="H65" s="225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</row>
    <row r="66">
      <c r="A66" s="225"/>
      <c r="B66" s="225"/>
      <c r="C66" s="225"/>
      <c r="D66" s="225"/>
      <c r="E66" s="225"/>
      <c r="F66" s="225"/>
      <c r="G66" s="225"/>
      <c r="H66" s="225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</row>
    <row r="67">
      <c r="A67" s="225"/>
      <c r="B67" s="225"/>
      <c r="C67" s="225"/>
      <c r="D67" s="225"/>
      <c r="E67" s="225"/>
      <c r="F67" s="225"/>
      <c r="G67" s="225"/>
      <c r="H67" s="225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</row>
    <row r="68">
      <c r="A68" s="225"/>
      <c r="B68" s="225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</row>
    <row r="69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</row>
    <row r="70">
      <c r="A70" s="225"/>
      <c r="B70" s="225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</row>
    <row r="71">
      <c r="A71" s="225"/>
      <c r="B71" s="225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</row>
    <row r="72">
      <c r="A72" s="225"/>
      <c r="B72" s="225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</row>
    <row r="73">
      <c r="A73" s="225"/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</row>
    <row r="74">
      <c r="A74" s="225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</row>
    <row r="75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</row>
    <row r="76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</row>
    <row r="77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</row>
    <row r="78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</row>
    <row r="79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</row>
    <row r="80">
      <c r="A80" s="225"/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</row>
    <row r="81">
      <c r="A81" s="225"/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</row>
    <row r="82">
      <c r="A82" s="225"/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</row>
    <row r="83">
      <c r="A83" s="225"/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</row>
    <row r="84">
      <c r="A84" s="225"/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</row>
    <row r="85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</row>
    <row r="86">
      <c r="A86" s="225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</row>
    <row r="87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</row>
    <row r="88">
      <c r="A88" s="225"/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</row>
    <row r="89">
      <c r="A89" s="225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</row>
    <row r="90">
      <c r="A90" s="225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</row>
    <row r="91">
      <c r="A91" s="225"/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</row>
    <row r="92">
      <c r="A92" s="225"/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</row>
    <row r="93">
      <c r="A93" s="225"/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</row>
    <row r="94">
      <c r="A94" s="225"/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</row>
    <row r="95">
      <c r="A95" s="225"/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</row>
    <row r="96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</row>
    <row r="97">
      <c r="A97" s="225"/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</row>
    <row r="98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</row>
    <row r="99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</row>
    <row r="100">
      <c r="A100" s="225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</row>
    <row r="101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</row>
    <row r="102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</row>
    <row r="103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</row>
    <row r="104">
      <c r="A104" s="225"/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</row>
    <row r="105">
      <c r="A105" s="225"/>
      <c r="B105" s="225"/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</row>
    <row r="106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</row>
    <row r="107">
      <c r="A107" s="225"/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</row>
    <row r="108">
      <c r="A108" s="225"/>
      <c r="B108" s="225"/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</row>
    <row r="109">
      <c r="A109" s="225"/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</row>
    <row r="110">
      <c r="A110" s="225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</row>
    <row r="111">
      <c r="A111" s="225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</row>
    <row r="112">
      <c r="A112" s="225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</row>
    <row r="113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</row>
    <row r="114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</row>
    <row r="115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</row>
    <row r="116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</row>
    <row r="117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</row>
    <row r="118">
      <c r="A118" s="225"/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</row>
    <row r="119">
      <c r="A119" s="225"/>
      <c r="B119" s="225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</row>
    <row r="120">
      <c r="A120" s="225"/>
      <c r="B120" s="225"/>
      <c r="C120" s="225"/>
      <c r="D120" s="225"/>
      <c r="E120" s="225"/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</row>
    <row r="121">
      <c r="A121" s="225"/>
      <c r="B121" s="225"/>
      <c r="C121" s="225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</row>
    <row r="122">
      <c r="A122" s="225"/>
      <c r="B122" s="225"/>
      <c r="C122" s="225"/>
      <c r="D122" s="225"/>
      <c r="E122" s="225"/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</row>
    <row r="123">
      <c r="A123" s="225"/>
      <c r="B123" s="225"/>
      <c r="C123" s="225"/>
      <c r="D123" s="225"/>
      <c r="E123" s="225"/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</row>
    <row r="124">
      <c r="A124" s="225"/>
      <c r="B124" s="225"/>
      <c r="C124" s="225"/>
      <c r="D124" s="225"/>
      <c r="E124" s="225"/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</row>
    <row r="125">
      <c r="A125" s="225"/>
      <c r="B125" s="225"/>
      <c r="C125" s="225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</row>
    <row r="126">
      <c r="A126" s="225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</row>
    <row r="127">
      <c r="A127" s="225"/>
      <c r="B127" s="225"/>
      <c r="C127" s="225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</row>
    <row r="128">
      <c r="A128" s="225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</row>
    <row r="129">
      <c r="A129" s="225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</row>
    <row r="130">
      <c r="A130" s="225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</row>
    <row r="131">
      <c r="A131" s="225"/>
      <c r="B131" s="225"/>
      <c r="C131" s="225"/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</row>
    <row r="132">
      <c r="A132" s="225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</row>
    <row r="133">
      <c r="A133" s="225"/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</row>
    <row r="134">
      <c r="A134" s="225"/>
      <c r="B134" s="225"/>
      <c r="C134" s="225"/>
      <c r="D134" s="225"/>
      <c r="E134" s="225"/>
      <c r="F134" s="22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</row>
    <row r="135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</row>
    <row r="136">
      <c r="A136" s="225"/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</row>
    <row r="137">
      <c r="A137" s="225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</row>
    <row r="138">
      <c r="A138" s="225"/>
      <c r="B138" s="225"/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</row>
    <row r="139">
      <c r="A139" s="225"/>
      <c r="B139" s="225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</row>
    <row r="140">
      <c r="A140" s="225"/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</row>
    <row r="141">
      <c r="A141" s="225"/>
      <c r="B141" s="225"/>
      <c r="C141" s="225"/>
      <c r="D141" s="225"/>
      <c r="E141" s="225"/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</row>
    <row r="142">
      <c r="A142" s="225"/>
      <c r="B142" s="225"/>
      <c r="C142" s="225"/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</row>
    <row r="143">
      <c r="A143" s="225"/>
      <c r="B143" s="225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</row>
    <row r="144">
      <c r="A144" s="225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</row>
    <row r="145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</row>
    <row r="146">
      <c r="A146" s="225"/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</row>
    <row r="147">
      <c r="A147" s="225"/>
      <c r="B147" s="225"/>
      <c r="C147" s="225"/>
      <c r="D147" s="225"/>
      <c r="E147" s="225"/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</row>
    <row r="148">
      <c r="A148" s="225"/>
      <c r="B148" s="225"/>
      <c r="C148" s="225"/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</row>
    <row r="149">
      <c r="A149" s="225"/>
      <c r="B149" s="225"/>
      <c r="C149" s="225"/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</row>
    <row r="150">
      <c r="A150" s="225"/>
      <c r="B150" s="225"/>
      <c r="C150" s="225"/>
      <c r="D150" s="225"/>
      <c r="E150" s="225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</row>
    <row r="151">
      <c r="A151" s="225"/>
      <c r="B151" s="225"/>
      <c r="C151" s="225"/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</row>
    <row r="152">
      <c r="A152" s="225"/>
      <c r="B152" s="225"/>
      <c r="C152" s="225"/>
      <c r="D152" s="225"/>
      <c r="E152" s="225"/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</row>
    <row r="153">
      <c r="A153" s="225"/>
      <c r="B153" s="225"/>
      <c r="C153" s="225"/>
      <c r="D153" s="225"/>
      <c r="E153" s="225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</row>
    <row r="154">
      <c r="A154" s="225"/>
      <c r="B154" s="225"/>
      <c r="C154" s="225"/>
      <c r="D154" s="225"/>
      <c r="E154" s="225"/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</row>
    <row r="155">
      <c r="A155" s="225"/>
      <c r="B155" s="225"/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</row>
    <row r="156">
      <c r="A156" s="225"/>
      <c r="B156" s="225"/>
      <c r="C156" s="225"/>
      <c r="D156" s="225"/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</row>
    <row r="157">
      <c r="A157" s="225"/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</row>
    <row r="158">
      <c r="A158" s="225"/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</row>
    <row r="159">
      <c r="A159" s="225"/>
      <c r="B159" s="225"/>
      <c r="C159" s="225"/>
      <c r="D159" s="225"/>
      <c r="E159" s="225"/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</row>
    <row r="160">
      <c r="A160" s="225"/>
      <c r="B160" s="225"/>
      <c r="C160" s="225"/>
      <c r="D160" s="225"/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</row>
    <row r="161">
      <c r="A161" s="225"/>
      <c r="B161" s="225"/>
      <c r="C161" s="225"/>
      <c r="D161" s="225"/>
      <c r="E161" s="225"/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</row>
    <row r="162">
      <c r="A162" s="225"/>
      <c r="B162" s="225"/>
      <c r="C162" s="225"/>
      <c r="D162" s="225"/>
      <c r="E162" s="225"/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</row>
    <row r="163">
      <c r="A163" s="225"/>
      <c r="B163" s="225"/>
      <c r="C163" s="225"/>
      <c r="D163" s="225"/>
      <c r="E163" s="225"/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</row>
    <row r="164">
      <c r="A164" s="225"/>
      <c r="B164" s="225"/>
      <c r="C164" s="225"/>
      <c r="D164" s="225"/>
      <c r="E164" s="225"/>
      <c r="F164" s="22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</row>
    <row r="165">
      <c r="A165" s="225"/>
      <c r="B165" s="225"/>
      <c r="C165" s="225"/>
      <c r="D165" s="225"/>
      <c r="E165" s="225"/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</row>
    <row r="166">
      <c r="A166" s="225"/>
      <c r="B166" s="225"/>
      <c r="C166" s="225"/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</row>
    <row r="167">
      <c r="A167" s="225"/>
      <c r="B167" s="225"/>
      <c r="C167" s="225"/>
      <c r="D167" s="225"/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</row>
    <row r="168">
      <c r="A168" s="225"/>
      <c r="B168" s="225"/>
      <c r="C168" s="225"/>
      <c r="D168" s="225"/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</row>
    <row r="169">
      <c r="A169" s="225"/>
      <c r="B169" s="225"/>
      <c r="C169" s="225"/>
      <c r="D169" s="225"/>
      <c r="E169" s="225"/>
      <c r="F169" s="22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</row>
    <row r="170">
      <c r="A170" s="225"/>
      <c r="B170" s="225"/>
      <c r="C170" s="225"/>
      <c r="D170" s="225"/>
      <c r="E170" s="225"/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</row>
    <row r="171">
      <c r="A171" s="225"/>
      <c r="B171" s="225"/>
      <c r="C171" s="225"/>
      <c r="D171" s="225"/>
      <c r="E171" s="225"/>
      <c r="F171" s="22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</row>
    <row r="172">
      <c r="A172" s="225"/>
      <c r="B172" s="225"/>
      <c r="C172" s="225"/>
      <c r="D172" s="225"/>
      <c r="E172" s="225"/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</row>
    <row r="173">
      <c r="A173" s="225"/>
      <c r="B173" s="225"/>
      <c r="C173" s="225"/>
      <c r="D173" s="225"/>
      <c r="E173" s="225"/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</row>
    <row r="174">
      <c r="A174" s="225"/>
      <c r="B174" s="225"/>
      <c r="C174" s="225"/>
      <c r="D174" s="225"/>
      <c r="E174" s="225"/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</row>
    <row r="175">
      <c r="A175" s="225"/>
      <c r="B175" s="225"/>
      <c r="C175" s="225"/>
      <c r="D175" s="225"/>
      <c r="E175" s="225"/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</row>
    <row r="176">
      <c r="A176" s="225"/>
      <c r="B176" s="225"/>
      <c r="C176" s="225"/>
      <c r="D176" s="225"/>
      <c r="E176" s="225"/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</row>
    <row r="177">
      <c r="A177" s="225"/>
      <c r="B177" s="225"/>
      <c r="C177" s="225"/>
      <c r="D177" s="225"/>
      <c r="E177" s="225"/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</row>
    <row r="178">
      <c r="A178" s="225"/>
      <c r="B178" s="225"/>
      <c r="C178" s="225"/>
      <c r="D178" s="225"/>
      <c r="E178" s="225"/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</row>
    <row r="179">
      <c r="A179" s="225"/>
      <c r="B179" s="225"/>
      <c r="C179" s="225"/>
      <c r="D179" s="225"/>
      <c r="E179" s="225"/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</row>
    <row r="180">
      <c r="A180" s="225"/>
      <c r="B180" s="225"/>
      <c r="C180" s="225"/>
      <c r="D180" s="225"/>
      <c r="E180" s="225"/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</row>
    <row r="181">
      <c r="A181" s="225"/>
      <c r="B181" s="225"/>
      <c r="C181" s="225"/>
      <c r="D181" s="225"/>
      <c r="E181" s="225"/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</row>
    <row r="182">
      <c r="A182" s="225"/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</row>
    <row r="183">
      <c r="A183" s="225"/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</row>
    <row r="184">
      <c r="A184" s="225"/>
      <c r="B184" s="225"/>
      <c r="C184" s="225"/>
      <c r="D184" s="225"/>
      <c r="E184" s="225"/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</row>
    <row r="185">
      <c r="A185" s="225"/>
      <c r="B185" s="225"/>
      <c r="C185" s="225"/>
      <c r="D185" s="225"/>
      <c r="E185" s="225"/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</row>
    <row r="186">
      <c r="A186" s="225"/>
      <c r="B186" s="225"/>
      <c r="C186" s="225"/>
      <c r="D186" s="225"/>
      <c r="E186" s="225"/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</row>
    <row r="187">
      <c r="A187" s="225"/>
      <c r="B187" s="225"/>
      <c r="C187" s="225"/>
      <c r="D187" s="225"/>
      <c r="E187" s="225"/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</row>
    <row r="188">
      <c r="A188" s="225"/>
      <c r="B188" s="225"/>
      <c r="C188" s="225"/>
      <c r="D188" s="225"/>
      <c r="E188" s="225"/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</row>
    <row r="189">
      <c r="A189" s="225"/>
      <c r="B189" s="225"/>
      <c r="C189" s="225"/>
      <c r="D189" s="225"/>
      <c r="E189" s="225"/>
      <c r="F189" s="22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</row>
    <row r="190">
      <c r="A190" s="225"/>
      <c r="B190" s="225"/>
      <c r="C190" s="225"/>
      <c r="D190" s="225"/>
      <c r="E190" s="225"/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</row>
    <row r="191">
      <c r="A191" s="225"/>
      <c r="B191" s="225"/>
      <c r="C191" s="225"/>
      <c r="D191" s="225"/>
      <c r="E191" s="225"/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</row>
    <row r="192">
      <c r="A192" s="225"/>
      <c r="B192" s="225"/>
      <c r="C192" s="225"/>
      <c r="D192" s="225"/>
      <c r="E192" s="225"/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</row>
    <row r="193">
      <c r="A193" s="225"/>
      <c r="B193" s="225"/>
      <c r="C193" s="225"/>
      <c r="D193" s="225"/>
      <c r="E193" s="225"/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</row>
    <row r="194">
      <c r="A194" s="225"/>
      <c r="B194" s="225"/>
      <c r="C194" s="225"/>
      <c r="D194" s="225"/>
      <c r="E194" s="225"/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</row>
    <row r="195">
      <c r="A195" s="225"/>
      <c r="B195" s="225"/>
      <c r="C195" s="225"/>
      <c r="D195" s="225"/>
      <c r="E195" s="225"/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</row>
    <row r="196">
      <c r="A196" s="225"/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</row>
    <row r="197">
      <c r="A197" s="225"/>
      <c r="B197" s="225"/>
      <c r="C197" s="225"/>
      <c r="D197" s="225"/>
      <c r="E197" s="225"/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</row>
    <row r="198">
      <c r="A198" s="225"/>
      <c r="B198" s="225"/>
      <c r="C198" s="225"/>
      <c r="D198" s="225"/>
      <c r="E198" s="225"/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</row>
    <row r="199">
      <c r="A199" s="225"/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</row>
    <row r="200">
      <c r="A200" s="225"/>
      <c r="B200" s="225"/>
      <c r="C200" s="225"/>
      <c r="D200" s="225"/>
      <c r="E200" s="225"/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</row>
    <row r="201">
      <c r="A201" s="225"/>
      <c r="B201" s="225"/>
      <c r="C201" s="225"/>
      <c r="D201" s="225"/>
      <c r="E201" s="225"/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</row>
    <row r="202">
      <c r="A202" s="225"/>
      <c r="B202" s="225"/>
      <c r="C202" s="225"/>
      <c r="D202" s="225"/>
      <c r="E202" s="225"/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</row>
    <row r="203">
      <c r="A203" s="225"/>
      <c r="B203" s="225"/>
      <c r="C203" s="225"/>
      <c r="D203" s="225"/>
      <c r="E203" s="225"/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</row>
    <row r="204">
      <c r="A204" s="225"/>
      <c r="B204" s="225"/>
      <c r="C204" s="225"/>
      <c r="D204" s="225"/>
      <c r="E204" s="225"/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</row>
    <row r="205">
      <c r="A205" s="225"/>
      <c r="B205" s="225"/>
      <c r="C205" s="225"/>
      <c r="D205" s="225"/>
      <c r="E205" s="225"/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</row>
    <row r="206">
      <c r="A206" s="225"/>
      <c r="B206" s="225"/>
      <c r="C206" s="225"/>
      <c r="D206" s="225"/>
      <c r="E206" s="225"/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</row>
    <row r="207">
      <c r="A207" s="225"/>
      <c r="B207" s="225"/>
      <c r="C207" s="225"/>
      <c r="D207" s="225"/>
      <c r="E207" s="225"/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</row>
    <row r="208">
      <c r="A208" s="225"/>
      <c r="B208" s="225"/>
      <c r="C208" s="225"/>
      <c r="D208" s="225"/>
      <c r="E208" s="225"/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</row>
    <row r="209">
      <c r="A209" s="225"/>
      <c r="B209" s="225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</row>
    <row r="210">
      <c r="A210" s="225"/>
      <c r="B210" s="225"/>
      <c r="C210" s="225"/>
      <c r="D210" s="225"/>
      <c r="E210" s="225"/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</row>
    <row r="211">
      <c r="A211" s="225"/>
      <c r="B211" s="225"/>
      <c r="C211" s="225"/>
      <c r="D211" s="225"/>
      <c r="E211" s="225"/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</row>
    <row r="212">
      <c r="A212" s="225"/>
      <c r="B212" s="225"/>
      <c r="C212" s="225"/>
      <c r="D212" s="225"/>
      <c r="E212" s="225"/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</row>
    <row r="213">
      <c r="A213" s="225"/>
      <c r="B213" s="225"/>
      <c r="C213" s="225"/>
      <c r="D213" s="225"/>
      <c r="E213" s="225"/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</row>
    <row r="214">
      <c r="A214" s="225"/>
      <c r="B214" s="225"/>
      <c r="C214" s="225"/>
      <c r="D214" s="225"/>
      <c r="E214" s="225"/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</row>
    <row r="215">
      <c r="A215" s="225"/>
      <c r="B215" s="225"/>
      <c r="C215" s="225"/>
      <c r="D215" s="225"/>
      <c r="E215" s="225"/>
      <c r="F215" s="22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</row>
    <row r="216">
      <c r="A216" s="225"/>
      <c r="B216" s="225"/>
      <c r="C216" s="225"/>
      <c r="D216" s="225"/>
      <c r="E216" s="225"/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</row>
    <row r="217">
      <c r="A217" s="225"/>
      <c r="B217" s="225"/>
      <c r="C217" s="225"/>
      <c r="D217" s="225"/>
      <c r="E217" s="225"/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</row>
    <row r="218">
      <c r="A218" s="225"/>
      <c r="B218" s="225"/>
      <c r="C218" s="225"/>
      <c r="D218" s="225"/>
      <c r="E218" s="225"/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</row>
    <row r="219">
      <c r="A219" s="225"/>
      <c r="B219" s="225"/>
      <c r="C219" s="225"/>
      <c r="D219" s="225"/>
      <c r="E219" s="225"/>
      <c r="F219" s="22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</row>
    <row r="220">
      <c r="A220" s="225"/>
      <c r="B220" s="225"/>
      <c r="C220" s="225"/>
      <c r="D220" s="225"/>
      <c r="E220" s="225"/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</row>
    <row r="221">
      <c r="A221" s="225"/>
      <c r="B221" s="225"/>
      <c r="C221" s="225"/>
      <c r="D221" s="225"/>
      <c r="E221" s="225"/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</row>
    <row r="222">
      <c r="A222" s="225"/>
      <c r="B222" s="225"/>
      <c r="C222" s="225"/>
      <c r="D222" s="225"/>
      <c r="E222" s="225"/>
      <c r="F222" s="22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</row>
    <row r="223">
      <c r="A223" s="225"/>
      <c r="B223" s="225"/>
      <c r="C223" s="225"/>
      <c r="D223" s="225"/>
      <c r="E223" s="225"/>
      <c r="F223" s="22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</row>
    <row r="224">
      <c r="A224" s="225"/>
      <c r="B224" s="225"/>
      <c r="C224" s="225"/>
      <c r="D224" s="225"/>
      <c r="E224" s="225"/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</row>
    <row r="225">
      <c r="A225" s="225"/>
      <c r="B225" s="225"/>
      <c r="C225" s="225"/>
      <c r="D225" s="225"/>
      <c r="E225" s="225"/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</row>
    <row r="226">
      <c r="A226" s="225"/>
      <c r="B226" s="225"/>
      <c r="C226" s="225"/>
      <c r="D226" s="225"/>
      <c r="E226" s="225"/>
      <c r="F226" s="22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</row>
    <row r="227">
      <c r="A227" s="225"/>
      <c r="B227" s="225"/>
      <c r="C227" s="225"/>
      <c r="D227" s="225"/>
      <c r="E227" s="225"/>
      <c r="F227" s="22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</row>
    <row r="228">
      <c r="A228" s="225"/>
      <c r="B228" s="225"/>
      <c r="C228" s="225"/>
      <c r="D228" s="225"/>
      <c r="E228" s="225"/>
      <c r="F228" s="22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</row>
    <row r="229">
      <c r="A229" s="225"/>
      <c r="B229" s="225"/>
      <c r="C229" s="225"/>
      <c r="D229" s="225"/>
      <c r="E229" s="225"/>
      <c r="F229" s="22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</row>
    <row r="230">
      <c r="A230" s="225"/>
      <c r="B230" s="225"/>
      <c r="C230" s="225"/>
      <c r="D230" s="225"/>
      <c r="E230" s="225"/>
      <c r="F230" s="22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</row>
    <row r="231">
      <c r="A231" s="225"/>
      <c r="B231" s="225"/>
      <c r="C231" s="225"/>
      <c r="D231" s="225"/>
      <c r="E231" s="225"/>
      <c r="F231" s="22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</row>
    <row r="232">
      <c r="A232" s="225"/>
      <c r="B232" s="225"/>
      <c r="C232" s="225"/>
      <c r="D232" s="225"/>
      <c r="E232" s="225"/>
      <c r="F232" s="22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</row>
    <row r="233">
      <c r="A233" s="225"/>
      <c r="B233" s="225"/>
      <c r="C233" s="225"/>
      <c r="D233" s="225"/>
      <c r="E233" s="225"/>
      <c r="F233" s="22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</row>
    <row r="234">
      <c r="A234" s="225"/>
      <c r="B234" s="225"/>
      <c r="C234" s="225"/>
      <c r="D234" s="225"/>
      <c r="E234" s="225"/>
      <c r="F234" s="22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</row>
    <row r="235">
      <c r="A235" s="225"/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</row>
    <row r="236">
      <c r="A236" s="225"/>
      <c r="B236" s="225"/>
      <c r="C236" s="225"/>
      <c r="D236" s="225"/>
      <c r="E236" s="225"/>
      <c r="F236" s="22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</row>
    <row r="237">
      <c r="A237" s="225"/>
      <c r="B237" s="225"/>
      <c r="C237" s="225"/>
      <c r="D237" s="225"/>
      <c r="E237" s="225"/>
      <c r="F237" s="22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</row>
    <row r="238">
      <c r="A238" s="225"/>
      <c r="B238" s="225"/>
      <c r="C238" s="225"/>
      <c r="D238" s="225"/>
      <c r="E238" s="225"/>
      <c r="F238" s="22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</row>
    <row r="239">
      <c r="A239" s="225"/>
      <c r="B239" s="225"/>
      <c r="C239" s="225"/>
      <c r="D239" s="225"/>
      <c r="E239" s="225"/>
      <c r="F239" s="22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</row>
    <row r="240">
      <c r="A240" s="225"/>
      <c r="B240" s="225"/>
      <c r="C240" s="225"/>
      <c r="D240" s="225"/>
      <c r="E240" s="225"/>
      <c r="F240" s="22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</row>
    <row r="241">
      <c r="A241" s="225"/>
      <c r="B241" s="225"/>
      <c r="C241" s="225"/>
      <c r="D241" s="225"/>
      <c r="E241" s="225"/>
      <c r="F241" s="22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</row>
    <row r="242">
      <c r="A242" s="225"/>
      <c r="B242" s="225"/>
      <c r="C242" s="225"/>
      <c r="D242" s="225"/>
      <c r="E242" s="225"/>
      <c r="F242" s="22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</row>
    <row r="243">
      <c r="A243" s="225"/>
      <c r="B243" s="225"/>
      <c r="C243" s="225"/>
      <c r="D243" s="225"/>
      <c r="E243" s="225"/>
      <c r="F243" s="22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</row>
    <row r="244">
      <c r="A244" s="225"/>
      <c r="B244" s="225"/>
      <c r="C244" s="225"/>
      <c r="D244" s="225"/>
      <c r="E244" s="225"/>
      <c r="F244" s="22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</row>
    <row r="245">
      <c r="A245" s="225"/>
      <c r="B245" s="225"/>
      <c r="C245" s="225"/>
      <c r="D245" s="225"/>
      <c r="E245" s="225"/>
      <c r="F245" s="22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</row>
    <row r="246">
      <c r="A246" s="225"/>
      <c r="B246" s="225"/>
      <c r="C246" s="225"/>
      <c r="D246" s="225"/>
      <c r="E246" s="225"/>
      <c r="F246" s="22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</row>
    <row r="247">
      <c r="A247" s="225"/>
      <c r="B247" s="225"/>
      <c r="C247" s="225"/>
      <c r="D247" s="225"/>
      <c r="E247" s="225"/>
      <c r="F247" s="22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</row>
    <row r="248">
      <c r="A248" s="225"/>
      <c r="B248" s="225"/>
      <c r="C248" s="225"/>
      <c r="D248" s="225"/>
      <c r="E248" s="225"/>
      <c r="F248" s="22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</row>
    <row r="249">
      <c r="A249" s="225"/>
      <c r="B249" s="225"/>
      <c r="C249" s="225"/>
      <c r="D249" s="225"/>
      <c r="E249" s="225"/>
      <c r="F249" s="22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</row>
    <row r="250">
      <c r="A250" s="225"/>
      <c r="B250" s="225"/>
      <c r="C250" s="225"/>
      <c r="D250" s="225"/>
      <c r="E250" s="225"/>
      <c r="F250" s="22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</row>
    <row r="251">
      <c r="A251" s="225"/>
      <c r="B251" s="225"/>
      <c r="C251" s="225"/>
      <c r="D251" s="225"/>
      <c r="E251" s="225"/>
      <c r="F251" s="22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</row>
    <row r="252">
      <c r="A252" s="225"/>
      <c r="B252" s="225"/>
      <c r="C252" s="225"/>
      <c r="D252" s="225"/>
      <c r="E252" s="225"/>
      <c r="F252" s="22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</row>
    <row r="253">
      <c r="A253" s="225"/>
      <c r="B253" s="225"/>
      <c r="C253" s="225"/>
      <c r="D253" s="225"/>
      <c r="E253" s="225"/>
      <c r="F253" s="22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</row>
    <row r="254">
      <c r="A254" s="225"/>
      <c r="B254" s="225"/>
      <c r="C254" s="225"/>
      <c r="D254" s="225"/>
      <c r="E254" s="225"/>
      <c r="F254" s="22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</row>
    <row r="255">
      <c r="A255" s="225"/>
      <c r="B255" s="225"/>
      <c r="C255" s="225"/>
      <c r="D255" s="225"/>
      <c r="E255" s="225"/>
      <c r="F255" s="22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</row>
    <row r="256">
      <c r="A256" s="225"/>
      <c r="B256" s="225"/>
      <c r="C256" s="225"/>
      <c r="D256" s="225"/>
      <c r="E256" s="225"/>
      <c r="F256" s="22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</row>
    <row r="257">
      <c r="A257" s="225"/>
      <c r="B257" s="225"/>
      <c r="C257" s="225"/>
      <c r="D257" s="225"/>
      <c r="E257" s="225"/>
      <c r="F257" s="22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</row>
    <row r="258">
      <c r="A258" s="225"/>
      <c r="B258" s="225"/>
      <c r="C258" s="225"/>
      <c r="D258" s="225"/>
      <c r="E258" s="225"/>
      <c r="F258" s="22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</row>
    <row r="259">
      <c r="A259" s="225"/>
      <c r="B259" s="225"/>
      <c r="C259" s="225"/>
      <c r="D259" s="225"/>
      <c r="E259" s="225"/>
      <c r="F259" s="22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</row>
    <row r="260">
      <c r="A260" s="225"/>
      <c r="B260" s="225"/>
      <c r="C260" s="225"/>
      <c r="D260" s="225"/>
      <c r="E260" s="225"/>
      <c r="F260" s="22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</row>
    <row r="261">
      <c r="A261" s="225"/>
      <c r="B261" s="225"/>
      <c r="C261" s="225"/>
      <c r="D261" s="225"/>
      <c r="E261" s="225"/>
      <c r="F261" s="22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</row>
    <row r="262">
      <c r="A262" s="225"/>
      <c r="B262" s="225"/>
      <c r="C262" s="225"/>
      <c r="D262" s="225"/>
      <c r="E262" s="225"/>
      <c r="F262" s="22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</row>
    <row r="263">
      <c r="A263" s="225"/>
      <c r="B263" s="225"/>
      <c r="C263" s="225"/>
      <c r="D263" s="225"/>
      <c r="E263" s="225"/>
      <c r="F263" s="22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</row>
    <row r="264">
      <c r="A264" s="225"/>
      <c r="B264" s="225"/>
      <c r="C264" s="225"/>
      <c r="D264" s="225"/>
      <c r="E264" s="225"/>
      <c r="F264" s="22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</row>
    <row r="265">
      <c r="A265" s="225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</row>
    <row r="266">
      <c r="A266" s="225"/>
      <c r="B266" s="225"/>
      <c r="C266" s="225"/>
      <c r="D266" s="225"/>
      <c r="E266" s="225"/>
      <c r="F266" s="22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</row>
    <row r="267">
      <c r="A267" s="225"/>
      <c r="B267" s="225"/>
      <c r="C267" s="225"/>
      <c r="D267" s="225"/>
      <c r="E267" s="225"/>
      <c r="F267" s="22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</row>
    <row r="268">
      <c r="A268" s="225"/>
      <c r="B268" s="225"/>
      <c r="C268" s="225"/>
      <c r="D268" s="225"/>
      <c r="E268" s="225"/>
      <c r="F268" s="22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</row>
    <row r="269">
      <c r="A269" s="225"/>
      <c r="B269" s="225"/>
      <c r="C269" s="225"/>
      <c r="D269" s="225"/>
      <c r="E269" s="225"/>
      <c r="F269" s="22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</row>
    <row r="270">
      <c r="A270" s="225"/>
      <c r="B270" s="225"/>
      <c r="C270" s="225"/>
      <c r="D270" s="225"/>
      <c r="E270" s="225"/>
      <c r="F270" s="22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</row>
    <row r="271">
      <c r="A271" s="225"/>
      <c r="B271" s="225"/>
      <c r="C271" s="225"/>
      <c r="D271" s="225"/>
      <c r="E271" s="225"/>
      <c r="F271" s="22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</row>
    <row r="272">
      <c r="A272" s="225"/>
      <c r="B272" s="225"/>
      <c r="C272" s="225"/>
      <c r="D272" s="225"/>
      <c r="E272" s="225"/>
      <c r="F272" s="22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</row>
    <row r="273">
      <c r="A273" s="225"/>
      <c r="B273" s="225"/>
      <c r="C273" s="225"/>
      <c r="D273" s="225"/>
      <c r="E273" s="225"/>
      <c r="F273" s="22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</row>
    <row r="274">
      <c r="A274" s="225"/>
      <c r="B274" s="225"/>
      <c r="C274" s="225"/>
      <c r="D274" s="225"/>
      <c r="E274" s="225"/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</row>
    <row r="275">
      <c r="A275" s="225"/>
      <c r="B275" s="225"/>
      <c r="C275" s="225"/>
      <c r="D275" s="225"/>
      <c r="E275" s="225"/>
      <c r="F275" s="22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</row>
    <row r="276">
      <c r="A276" s="225"/>
      <c r="B276" s="225"/>
      <c r="C276" s="225"/>
      <c r="D276" s="225"/>
      <c r="E276" s="225"/>
      <c r="F276" s="22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</row>
    <row r="277">
      <c r="A277" s="225"/>
      <c r="B277" s="225"/>
      <c r="C277" s="225"/>
      <c r="D277" s="225"/>
      <c r="E277" s="225"/>
      <c r="F277" s="22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</row>
    <row r="278">
      <c r="A278" s="225"/>
      <c r="B278" s="225"/>
      <c r="C278" s="225"/>
      <c r="D278" s="225"/>
      <c r="E278" s="225"/>
      <c r="F278" s="22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</row>
    <row r="279">
      <c r="A279" s="225"/>
      <c r="B279" s="225"/>
      <c r="C279" s="225"/>
      <c r="D279" s="225"/>
      <c r="E279" s="225"/>
      <c r="F279" s="22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</row>
    <row r="280">
      <c r="A280" s="225"/>
      <c r="B280" s="225"/>
      <c r="C280" s="225"/>
      <c r="D280" s="225"/>
      <c r="E280" s="225"/>
      <c r="F280" s="22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</row>
    <row r="281">
      <c r="A281" s="225"/>
      <c r="B281" s="225"/>
      <c r="C281" s="225"/>
      <c r="D281" s="225"/>
      <c r="E281" s="225"/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</row>
    <row r="282">
      <c r="A282" s="225"/>
      <c r="B282" s="225"/>
      <c r="C282" s="225"/>
      <c r="D282" s="225"/>
      <c r="E282" s="225"/>
      <c r="F282" s="22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</row>
    <row r="283">
      <c r="A283" s="225"/>
      <c r="B283" s="225"/>
      <c r="C283" s="225"/>
      <c r="D283" s="225"/>
      <c r="E283" s="225"/>
      <c r="F283" s="22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</row>
    <row r="284">
      <c r="A284" s="225"/>
      <c r="B284" s="225"/>
      <c r="C284" s="225"/>
      <c r="D284" s="225"/>
      <c r="E284" s="225"/>
      <c r="F284" s="22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</row>
    <row r="285">
      <c r="A285" s="225"/>
      <c r="B285" s="225"/>
      <c r="C285" s="225"/>
      <c r="D285" s="225"/>
      <c r="E285" s="225"/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</row>
    <row r="286">
      <c r="A286" s="225"/>
      <c r="B286" s="225"/>
      <c r="C286" s="225"/>
      <c r="D286" s="225"/>
      <c r="E286" s="225"/>
      <c r="F286" s="22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</row>
    <row r="287">
      <c r="A287" s="225"/>
      <c r="B287" s="225"/>
      <c r="C287" s="225"/>
      <c r="D287" s="225"/>
      <c r="E287" s="225"/>
      <c r="F287" s="22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</row>
    <row r="288">
      <c r="A288" s="225"/>
      <c r="B288" s="225"/>
      <c r="C288" s="225"/>
      <c r="D288" s="225"/>
      <c r="E288" s="225"/>
      <c r="F288" s="22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</row>
    <row r="289">
      <c r="A289" s="225"/>
      <c r="B289" s="225"/>
      <c r="C289" s="225"/>
      <c r="D289" s="225"/>
      <c r="E289" s="225"/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</row>
    <row r="290">
      <c r="A290" s="225"/>
      <c r="B290" s="225"/>
      <c r="C290" s="225"/>
      <c r="D290" s="225"/>
      <c r="E290" s="225"/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</row>
    <row r="291">
      <c r="A291" s="225"/>
      <c r="B291" s="225"/>
      <c r="C291" s="225"/>
      <c r="D291" s="225"/>
      <c r="E291" s="225"/>
      <c r="F291" s="22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</row>
    <row r="292">
      <c r="A292" s="225"/>
      <c r="B292" s="225"/>
      <c r="C292" s="225"/>
      <c r="D292" s="225"/>
      <c r="E292" s="225"/>
      <c r="F292" s="22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</row>
    <row r="293">
      <c r="A293" s="225"/>
      <c r="B293" s="225"/>
      <c r="C293" s="225"/>
      <c r="D293" s="225"/>
      <c r="E293" s="225"/>
      <c r="F293" s="22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</row>
    <row r="294">
      <c r="A294" s="225"/>
      <c r="B294" s="225"/>
      <c r="C294" s="225"/>
      <c r="D294" s="225"/>
      <c r="E294" s="225"/>
      <c r="F294" s="22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</row>
    <row r="295">
      <c r="A295" s="225"/>
      <c r="B295" s="225"/>
      <c r="C295" s="225"/>
      <c r="D295" s="225"/>
      <c r="E295" s="225"/>
      <c r="F295" s="22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</row>
    <row r="296">
      <c r="A296" s="225"/>
      <c r="B296" s="225"/>
      <c r="C296" s="225"/>
      <c r="D296" s="225"/>
      <c r="E296" s="225"/>
      <c r="F296" s="22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</row>
    <row r="297">
      <c r="A297" s="225"/>
      <c r="B297" s="225"/>
      <c r="C297" s="225"/>
      <c r="D297" s="225"/>
      <c r="E297" s="225"/>
      <c r="F297" s="22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</row>
    <row r="298">
      <c r="A298" s="225"/>
      <c r="B298" s="225"/>
      <c r="C298" s="225"/>
      <c r="D298" s="225"/>
      <c r="E298" s="225"/>
      <c r="F298" s="22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</row>
    <row r="299">
      <c r="A299" s="225"/>
      <c r="B299" s="225"/>
      <c r="C299" s="225"/>
      <c r="D299" s="225"/>
      <c r="E299" s="225"/>
      <c r="F299" s="22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</row>
    <row r="300">
      <c r="A300" s="225"/>
      <c r="B300" s="225"/>
      <c r="C300" s="225"/>
      <c r="D300" s="225"/>
      <c r="E300" s="225"/>
      <c r="F300" s="22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</row>
    <row r="301">
      <c r="A301" s="225"/>
      <c r="B301" s="225"/>
      <c r="C301" s="225"/>
      <c r="D301" s="225"/>
      <c r="E301" s="225"/>
      <c r="F301" s="22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</row>
    <row r="302">
      <c r="A302" s="225"/>
      <c r="B302" s="225"/>
      <c r="C302" s="225"/>
      <c r="D302" s="225"/>
      <c r="E302" s="225"/>
      <c r="F302" s="22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</row>
    <row r="303">
      <c r="A303" s="225"/>
      <c r="B303" s="225"/>
      <c r="C303" s="225"/>
      <c r="D303" s="225"/>
      <c r="E303" s="225"/>
      <c r="F303" s="22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</row>
    <row r="304">
      <c r="A304" s="225"/>
      <c r="B304" s="225"/>
      <c r="C304" s="225"/>
      <c r="D304" s="225"/>
      <c r="E304" s="225"/>
      <c r="F304" s="22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</row>
    <row r="305">
      <c r="A305" s="225"/>
      <c r="B305" s="225"/>
      <c r="C305" s="225"/>
      <c r="D305" s="225"/>
      <c r="E305" s="225"/>
      <c r="F305" s="22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</row>
    <row r="306">
      <c r="A306" s="225"/>
      <c r="B306" s="225"/>
      <c r="C306" s="225"/>
      <c r="D306" s="225"/>
      <c r="E306" s="225"/>
      <c r="F306" s="22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</row>
    <row r="307">
      <c r="A307" s="225"/>
      <c r="B307" s="225"/>
      <c r="C307" s="225"/>
      <c r="D307" s="225"/>
      <c r="E307" s="225"/>
      <c r="F307" s="22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</row>
    <row r="308">
      <c r="A308" s="225"/>
      <c r="B308" s="225"/>
      <c r="C308" s="225"/>
      <c r="D308" s="225"/>
      <c r="E308" s="225"/>
      <c r="F308" s="22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</row>
    <row r="309">
      <c r="A309" s="225"/>
      <c r="B309" s="225"/>
      <c r="C309" s="225"/>
      <c r="D309" s="225"/>
      <c r="E309" s="225"/>
      <c r="F309" s="22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</row>
    <row r="310">
      <c r="A310" s="225"/>
      <c r="B310" s="225"/>
      <c r="C310" s="225"/>
      <c r="D310" s="225"/>
      <c r="E310" s="225"/>
      <c r="F310" s="22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</row>
    <row r="311">
      <c r="A311" s="225"/>
      <c r="B311" s="225"/>
      <c r="C311" s="225"/>
      <c r="D311" s="225"/>
      <c r="E311" s="225"/>
      <c r="F311" s="22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</row>
    <row r="312">
      <c r="A312" s="225"/>
      <c r="B312" s="225"/>
      <c r="C312" s="225"/>
      <c r="D312" s="225"/>
      <c r="E312" s="225"/>
      <c r="F312" s="22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</row>
    <row r="313">
      <c r="A313" s="225"/>
      <c r="B313" s="225"/>
      <c r="C313" s="225"/>
      <c r="D313" s="225"/>
      <c r="E313" s="225"/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</row>
    <row r="314">
      <c r="A314" s="225"/>
      <c r="B314" s="225"/>
      <c r="C314" s="225"/>
      <c r="D314" s="225"/>
      <c r="E314" s="225"/>
      <c r="F314" s="22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</row>
    <row r="315">
      <c r="A315" s="225"/>
      <c r="B315" s="225"/>
      <c r="C315" s="225"/>
      <c r="D315" s="225"/>
      <c r="E315" s="225"/>
      <c r="F315" s="22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</row>
    <row r="316">
      <c r="A316" s="225"/>
      <c r="B316" s="225"/>
      <c r="C316" s="225"/>
      <c r="D316" s="225"/>
      <c r="E316" s="225"/>
      <c r="F316" s="22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</row>
    <row r="317">
      <c r="A317" s="225"/>
      <c r="B317" s="225"/>
      <c r="C317" s="225"/>
      <c r="D317" s="225"/>
      <c r="E317" s="225"/>
      <c r="F317" s="22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</row>
    <row r="318">
      <c r="A318" s="225"/>
      <c r="B318" s="225"/>
      <c r="C318" s="225"/>
      <c r="D318" s="225"/>
      <c r="E318" s="225"/>
      <c r="F318" s="22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</row>
    <row r="319">
      <c r="A319" s="225"/>
      <c r="B319" s="225"/>
      <c r="C319" s="225"/>
      <c r="D319" s="225"/>
      <c r="E319" s="225"/>
      <c r="F319" s="22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</row>
    <row r="320">
      <c r="A320" s="225"/>
      <c r="B320" s="225"/>
      <c r="C320" s="225"/>
      <c r="D320" s="225"/>
      <c r="E320" s="225"/>
      <c r="F320" s="22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</row>
    <row r="321">
      <c r="A321" s="225"/>
      <c r="B321" s="225"/>
      <c r="C321" s="225"/>
      <c r="D321" s="225"/>
      <c r="E321" s="225"/>
      <c r="F321" s="22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</row>
    <row r="322">
      <c r="A322" s="225"/>
      <c r="B322" s="225"/>
      <c r="C322" s="225"/>
      <c r="D322" s="225"/>
      <c r="E322" s="225"/>
      <c r="F322" s="22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</row>
    <row r="323">
      <c r="A323" s="225"/>
      <c r="B323" s="225"/>
      <c r="C323" s="225"/>
      <c r="D323" s="225"/>
      <c r="E323" s="225"/>
      <c r="F323" s="22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</row>
    <row r="324">
      <c r="A324" s="225"/>
      <c r="B324" s="225"/>
      <c r="C324" s="225"/>
      <c r="D324" s="225"/>
      <c r="E324" s="225"/>
      <c r="F324" s="22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</row>
    <row r="325">
      <c r="A325" s="225"/>
      <c r="B325" s="225"/>
      <c r="C325" s="225"/>
      <c r="D325" s="225"/>
      <c r="E325" s="225"/>
      <c r="F325" s="22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</row>
    <row r="326">
      <c r="A326" s="225"/>
      <c r="B326" s="225"/>
      <c r="C326" s="225"/>
      <c r="D326" s="225"/>
      <c r="E326" s="225"/>
      <c r="F326" s="22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</row>
    <row r="327">
      <c r="A327" s="225"/>
      <c r="B327" s="225"/>
      <c r="C327" s="225"/>
      <c r="D327" s="225"/>
      <c r="E327" s="225"/>
      <c r="F327" s="22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</row>
    <row r="328">
      <c r="A328" s="225"/>
      <c r="B328" s="225"/>
      <c r="C328" s="225"/>
      <c r="D328" s="225"/>
      <c r="E328" s="225"/>
      <c r="F328" s="22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</row>
    <row r="329">
      <c r="A329" s="225"/>
      <c r="B329" s="225"/>
      <c r="C329" s="225"/>
      <c r="D329" s="225"/>
      <c r="E329" s="225"/>
      <c r="F329" s="22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</row>
    <row r="330">
      <c r="A330" s="225"/>
      <c r="B330" s="225"/>
      <c r="C330" s="225"/>
      <c r="D330" s="225"/>
      <c r="E330" s="225"/>
      <c r="F330" s="22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</row>
    <row r="331">
      <c r="A331" s="225"/>
      <c r="B331" s="225"/>
      <c r="C331" s="225"/>
      <c r="D331" s="225"/>
      <c r="E331" s="225"/>
      <c r="F331" s="22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</row>
    <row r="332">
      <c r="A332" s="225"/>
      <c r="B332" s="225"/>
      <c r="C332" s="225"/>
      <c r="D332" s="225"/>
      <c r="E332" s="225"/>
      <c r="F332" s="22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</row>
    <row r="333">
      <c r="A333" s="225"/>
      <c r="B333" s="225"/>
      <c r="C333" s="225"/>
      <c r="D333" s="225"/>
      <c r="E333" s="225"/>
      <c r="F333" s="22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</row>
    <row r="334">
      <c r="A334" s="225"/>
      <c r="B334" s="225"/>
      <c r="C334" s="225"/>
      <c r="D334" s="225"/>
      <c r="E334" s="225"/>
      <c r="F334" s="22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</row>
    <row r="335">
      <c r="A335" s="225"/>
      <c r="B335" s="225"/>
      <c r="C335" s="225"/>
      <c r="D335" s="225"/>
      <c r="E335" s="225"/>
      <c r="F335" s="22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</row>
    <row r="336">
      <c r="A336" s="225"/>
      <c r="B336" s="225"/>
      <c r="C336" s="225"/>
      <c r="D336" s="225"/>
      <c r="E336" s="225"/>
      <c r="F336" s="22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</row>
    <row r="337">
      <c r="A337" s="225"/>
      <c r="B337" s="225"/>
      <c r="C337" s="225"/>
      <c r="D337" s="225"/>
      <c r="E337" s="225"/>
      <c r="F337" s="22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</row>
    <row r="338">
      <c r="A338" s="225"/>
      <c r="B338" s="225"/>
      <c r="C338" s="225"/>
      <c r="D338" s="225"/>
      <c r="E338" s="225"/>
      <c r="F338" s="22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</row>
    <row r="339">
      <c r="A339" s="225"/>
      <c r="B339" s="225"/>
      <c r="C339" s="225"/>
      <c r="D339" s="225"/>
      <c r="E339" s="225"/>
      <c r="F339" s="22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</row>
    <row r="340">
      <c r="A340" s="225"/>
      <c r="B340" s="225"/>
      <c r="C340" s="225"/>
      <c r="D340" s="225"/>
      <c r="E340" s="225"/>
      <c r="F340" s="22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</row>
    <row r="341">
      <c r="A341" s="225"/>
      <c r="B341" s="225"/>
      <c r="C341" s="225"/>
      <c r="D341" s="225"/>
      <c r="E341" s="225"/>
      <c r="F341" s="22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</row>
    <row r="342">
      <c r="A342" s="225"/>
      <c r="B342" s="225"/>
      <c r="C342" s="225"/>
      <c r="D342" s="225"/>
      <c r="E342" s="225"/>
      <c r="F342" s="22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</row>
    <row r="343">
      <c r="A343" s="225"/>
      <c r="B343" s="225"/>
      <c r="C343" s="225"/>
      <c r="D343" s="225"/>
      <c r="E343" s="225"/>
      <c r="F343" s="22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</row>
    <row r="344">
      <c r="A344" s="225"/>
      <c r="B344" s="225"/>
      <c r="C344" s="225"/>
      <c r="D344" s="225"/>
      <c r="E344" s="225"/>
      <c r="F344" s="22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</row>
    <row r="345">
      <c r="A345" s="225"/>
      <c r="B345" s="225"/>
      <c r="C345" s="225"/>
      <c r="D345" s="225"/>
      <c r="E345" s="225"/>
      <c r="F345" s="22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</row>
    <row r="346">
      <c r="A346" s="225"/>
      <c r="B346" s="225"/>
      <c r="C346" s="225"/>
      <c r="D346" s="225"/>
      <c r="E346" s="225"/>
      <c r="F346" s="22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</row>
    <row r="347">
      <c r="A347" s="225"/>
      <c r="B347" s="225"/>
      <c r="C347" s="225"/>
      <c r="D347" s="225"/>
      <c r="E347" s="225"/>
      <c r="F347" s="22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</row>
    <row r="348">
      <c r="A348" s="225"/>
      <c r="B348" s="225"/>
      <c r="C348" s="225"/>
      <c r="D348" s="225"/>
      <c r="E348" s="225"/>
      <c r="F348" s="22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</row>
    <row r="349">
      <c r="A349" s="225"/>
      <c r="B349" s="225"/>
      <c r="C349" s="225"/>
      <c r="D349" s="225"/>
      <c r="E349" s="225"/>
      <c r="F349" s="22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</row>
    <row r="350">
      <c r="A350" s="225"/>
      <c r="B350" s="225"/>
      <c r="C350" s="225"/>
      <c r="D350" s="225"/>
      <c r="E350" s="225"/>
      <c r="F350" s="22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</row>
    <row r="351">
      <c r="A351" s="225"/>
      <c r="B351" s="225"/>
      <c r="C351" s="225"/>
      <c r="D351" s="225"/>
      <c r="E351" s="225"/>
      <c r="F351" s="22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</row>
    <row r="352">
      <c r="A352" s="225"/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</row>
    <row r="353">
      <c r="A353" s="225"/>
      <c r="B353" s="225"/>
      <c r="C353" s="225"/>
      <c r="D353" s="225"/>
      <c r="E353" s="225"/>
      <c r="F353" s="22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</row>
    <row r="354">
      <c r="A354" s="225"/>
      <c r="B354" s="225"/>
      <c r="C354" s="225"/>
      <c r="D354" s="225"/>
      <c r="E354" s="225"/>
      <c r="F354" s="22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</row>
    <row r="355">
      <c r="A355" s="225"/>
      <c r="B355" s="225"/>
      <c r="C355" s="225"/>
      <c r="D355" s="225"/>
      <c r="E355" s="225"/>
      <c r="F355" s="22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</row>
    <row r="356">
      <c r="A356" s="225"/>
      <c r="B356" s="225"/>
      <c r="C356" s="225"/>
      <c r="D356" s="225"/>
      <c r="E356" s="225"/>
      <c r="F356" s="22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</row>
    <row r="357">
      <c r="A357" s="225"/>
      <c r="B357" s="225"/>
      <c r="C357" s="225"/>
      <c r="D357" s="225"/>
      <c r="E357" s="225"/>
      <c r="F357" s="22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</row>
    <row r="358">
      <c r="A358" s="225"/>
      <c r="B358" s="225"/>
      <c r="C358" s="225"/>
      <c r="D358" s="225"/>
      <c r="E358" s="225"/>
      <c r="F358" s="22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</row>
    <row r="359">
      <c r="A359" s="225"/>
      <c r="B359" s="225"/>
      <c r="C359" s="225"/>
      <c r="D359" s="225"/>
      <c r="E359" s="225"/>
      <c r="F359" s="22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</row>
    <row r="360">
      <c r="A360" s="225"/>
      <c r="B360" s="225"/>
      <c r="C360" s="225"/>
      <c r="D360" s="225"/>
      <c r="E360" s="225"/>
      <c r="F360" s="22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</row>
    <row r="361">
      <c r="A361" s="225"/>
      <c r="B361" s="225"/>
      <c r="C361" s="225"/>
      <c r="D361" s="225"/>
      <c r="E361" s="225"/>
      <c r="F361" s="22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</row>
    <row r="362">
      <c r="A362" s="225"/>
      <c r="B362" s="225"/>
      <c r="C362" s="225"/>
      <c r="D362" s="225"/>
      <c r="E362" s="225"/>
      <c r="F362" s="22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</row>
    <row r="363">
      <c r="A363" s="225"/>
      <c r="B363" s="225"/>
      <c r="C363" s="225"/>
      <c r="D363" s="225"/>
      <c r="E363" s="225"/>
      <c r="F363" s="22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</row>
    <row r="364">
      <c r="A364" s="225"/>
      <c r="B364" s="225"/>
      <c r="C364" s="225"/>
      <c r="D364" s="225"/>
      <c r="E364" s="225"/>
      <c r="F364" s="22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</row>
    <row r="365">
      <c r="A365" s="225"/>
      <c r="B365" s="225"/>
      <c r="C365" s="225"/>
      <c r="D365" s="225"/>
      <c r="E365" s="225"/>
      <c r="F365" s="22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</row>
    <row r="366">
      <c r="A366" s="225"/>
      <c r="B366" s="225"/>
      <c r="C366" s="225"/>
      <c r="D366" s="225"/>
      <c r="E366" s="225"/>
      <c r="F366" s="22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</row>
    <row r="367">
      <c r="A367" s="225"/>
      <c r="B367" s="225"/>
      <c r="C367" s="225"/>
      <c r="D367" s="225"/>
      <c r="E367" s="225"/>
      <c r="F367" s="22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</row>
    <row r="368">
      <c r="A368" s="225"/>
      <c r="B368" s="225"/>
      <c r="C368" s="225"/>
      <c r="D368" s="225"/>
      <c r="E368" s="225"/>
      <c r="F368" s="22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</row>
    <row r="369">
      <c r="A369" s="225"/>
      <c r="B369" s="225"/>
      <c r="C369" s="225"/>
      <c r="D369" s="225"/>
      <c r="E369" s="225"/>
      <c r="F369" s="22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</row>
    <row r="370">
      <c r="A370" s="225"/>
      <c r="B370" s="225"/>
      <c r="C370" s="225"/>
      <c r="D370" s="225"/>
      <c r="E370" s="225"/>
      <c r="F370" s="22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</row>
    <row r="371">
      <c r="A371" s="225"/>
      <c r="B371" s="225"/>
      <c r="C371" s="225"/>
      <c r="D371" s="225"/>
      <c r="E371" s="225"/>
      <c r="F371" s="22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</row>
    <row r="372">
      <c r="A372" s="225"/>
      <c r="B372" s="225"/>
      <c r="C372" s="225"/>
      <c r="D372" s="225"/>
      <c r="E372" s="225"/>
      <c r="F372" s="22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</row>
    <row r="373">
      <c r="A373" s="225"/>
      <c r="B373" s="225"/>
      <c r="C373" s="225"/>
      <c r="D373" s="225"/>
      <c r="E373" s="225"/>
      <c r="F373" s="22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</row>
    <row r="374">
      <c r="A374" s="225"/>
      <c r="B374" s="225"/>
      <c r="C374" s="225"/>
      <c r="D374" s="225"/>
      <c r="E374" s="225"/>
      <c r="F374" s="22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</row>
    <row r="375">
      <c r="A375" s="225"/>
      <c r="B375" s="225"/>
      <c r="C375" s="225"/>
      <c r="D375" s="225"/>
      <c r="E375" s="225"/>
      <c r="F375" s="22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</row>
    <row r="376">
      <c r="A376" s="225"/>
      <c r="B376" s="225"/>
      <c r="C376" s="225"/>
      <c r="D376" s="225"/>
      <c r="E376" s="225"/>
      <c r="F376" s="22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</row>
    <row r="377">
      <c r="A377" s="225"/>
      <c r="B377" s="225"/>
      <c r="C377" s="225"/>
      <c r="D377" s="225"/>
      <c r="E377" s="225"/>
      <c r="F377" s="22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</row>
    <row r="378">
      <c r="A378" s="225"/>
      <c r="B378" s="225"/>
      <c r="C378" s="225"/>
      <c r="D378" s="225"/>
      <c r="E378" s="225"/>
      <c r="F378" s="22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</row>
    <row r="379">
      <c r="A379" s="225"/>
      <c r="B379" s="225"/>
      <c r="C379" s="225"/>
      <c r="D379" s="225"/>
      <c r="E379" s="225"/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</row>
    <row r="380">
      <c r="A380" s="225"/>
      <c r="B380" s="225"/>
      <c r="C380" s="225"/>
      <c r="D380" s="225"/>
      <c r="E380" s="225"/>
      <c r="F380" s="22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</row>
    <row r="381">
      <c r="A381" s="225"/>
      <c r="B381" s="225"/>
      <c r="C381" s="225"/>
      <c r="D381" s="225"/>
      <c r="E381" s="225"/>
      <c r="F381" s="22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</row>
    <row r="382">
      <c r="A382" s="225"/>
      <c r="B382" s="225"/>
      <c r="C382" s="225"/>
      <c r="D382" s="225"/>
      <c r="E382" s="225"/>
      <c r="F382" s="22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</row>
    <row r="383">
      <c r="A383" s="225"/>
      <c r="B383" s="225"/>
      <c r="C383" s="225"/>
      <c r="D383" s="225"/>
      <c r="E383" s="225"/>
      <c r="F383" s="22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</row>
    <row r="384">
      <c r="A384" s="225"/>
      <c r="B384" s="225"/>
      <c r="C384" s="225"/>
      <c r="D384" s="225"/>
      <c r="E384" s="225"/>
      <c r="F384" s="22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</row>
    <row r="385">
      <c r="A385" s="225"/>
      <c r="B385" s="225"/>
      <c r="C385" s="225"/>
      <c r="D385" s="225"/>
      <c r="E385" s="225"/>
      <c r="F385" s="22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</row>
    <row r="386">
      <c r="A386" s="225"/>
      <c r="B386" s="225"/>
      <c r="C386" s="225"/>
      <c r="D386" s="225"/>
      <c r="E386" s="225"/>
      <c r="F386" s="22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</row>
    <row r="387">
      <c r="A387" s="225"/>
      <c r="B387" s="225"/>
      <c r="C387" s="225"/>
      <c r="D387" s="225"/>
      <c r="E387" s="225"/>
      <c r="F387" s="22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</row>
    <row r="388">
      <c r="A388" s="225"/>
      <c r="B388" s="225"/>
      <c r="C388" s="225"/>
      <c r="D388" s="225"/>
      <c r="E388" s="225"/>
      <c r="F388" s="22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</row>
    <row r="389">
      <c r="A389" s="225"/>
      <c r="B389" s="225"/>
      <c r="C389" s="225"/>
      <c r="D389" s="225"/>
      <c r="E389" s="225"/>
      <c r="F389" s="22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</row>
    <row r="390">
      <c r="A390" s="225"/>
      <c r="B390" s="225"/>
      <c r="C390" s="225"/>
      <c r="D390" s="225"/>
      <c r="E390" s="225"/>
      <c r="F390" s="22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</row>
    <row r="391">
      <c r="A391" s="225"/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</row>
    <row r="392">
      <c r="A392" s="225"/>
      <c r="B392" s="225"/>
      <c r="C392" s="225"/>
      <c r="D392" s="225"/>
      <c r="E392" s="225"/>
      <c r="F392" s="22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</row>
    <row r="393">
      <c r="A393" s="225"/>
      <c r="B393" s="225"/>
      <c r="C393" s="225"/>
      <c r="D393" s="225"/>
      <c r="E393" s="225"/>
      <c r="F393" s="22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</row>
    <row r="394">
      <c r="A394" s="225"/>
      <c r="B394" s="225"/>
      <c r="C394" s="225"/>
      <c r="D394" s="225"/>
      <c r="E394" s="225"/>
      <c r="F394" s="22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</row>
    <row r="395">
      <c r="A395" s="225"/>
      <c r="B395" s="225"/>
      <c r="C395" s="225"/>
      <c r="D395" s="225"/>
      <c r="E395" s="225"/>
      <c r="F395" s="22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</row>
    <row r="396">
      <c r="A396" s="225"/>
      <c r="B396" s="225"/>
      <c r="C396" s="225"/>
      <c r="D396" s="225"/>
      <c r="E396" s="225"/>
      <c r="F396" s="22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</row>
    <row r="397">
      <c r="A397" s="225"/>
      <c r="B397" s="225"/>
      <c r="C397" s="225"/>
      <c r="D397" s="225"/>
      <c r="E397" s="225"/>
      <c r="F397" s="22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</row>
    <row r="398">
      <c r="A398" s="225"/>
      <c r="B398" s="225"/>
      <c r="C398" s="225"/>
      <c r="D398" s="225"/>
      <c r="E398" s="225"/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</row>
    <row r="399">
      <c r="A399" s="225"/>
      <c r="B399" s="225"/>
      <c r="C399" s="225"/>
      <c r="D399" s="225"/>
      <c r="E399" s="225"/>
      <c r="F399" s="22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</row>
    <row r="400">
      <c r="A400" s="225"/>
      <c r="B400" s="225"/>
      <c r="C400" s="225"/>
      <c r="D400" s="225"/>
      <c r="E400" s="225"/>
      <c r="F400" s="22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</row>
    <row r="401">
      <c r="A401" s="225"/>
      <c r="B401" s="225"/>
      <c r="C401" s="225"/>
      <c r="D401" s="225"/>
      <c r="E401" s="225"/>
      <c r="F401" s="22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</row>
    <row r="402">
      <c r="A402" s="225"/>
      <c r="B402" s="225"/>
      <c r="C402" s="225"/>
      <c r="D402" s="225"/>
      <c r="E402" s="225"/>
      <c r="F402" s="22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</row>
    <row r="403">
      <c r="A403" s="225"/>
      <c r="B403" s="225"/>
      <c r="C403" s="225"/>
      <c r="D403" s="225"/>
      <c r="E403" s="225"/>
      <c r="F403" s="22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</row>
    <row r="404">
      <c r="A404" s="225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</row>
    <row r="405">
      <c r="A405" s="225"/>
      <c r="B405" s="225"/>
      <c r="C405" s="225"/>
      <c r="D405" s="225"/>
      <c r="E405" s="225"/>
      <c r="F405" s="22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</row>
    <row r="406">
      <c r="A406" s="225"/>
      <c r="B406" s="225"/>
      <c r="C406" s="225"/>
      <c r="D406" s="225"/>
      <c r="E406" s="225"/>
      <c r="F406" s="22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</row>
    <row r="407">
      <c r="A407" s="225"/>
      <c r="B407" s="225"/>
      <c r="C407" s="225"/>
      <c r="D407" s="225"/>
      <c r="E407" s="225"/>
      <c r="F407" s="22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</row>
    <row r="408">
      <c r="A408" s="225"/>
      <c r="B408" s="225"/>
      <c r="C408" s="225"/>
      <c r="D408" s="225"/>
      <c r="E408" s="225"/>
      <c r="F408" s="22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</row>
    <row r="409">
      <c r="A409" s="225"/>
      <c r="B409" s="225"/>
      <c r="C409" s="225"/>
      <c r="D409" s="225"/>
      <c r="E409" s="225"/>
      <c r="F409" s="22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</row>
    <row r="410">
      <c r="A410" s="225"/>
      <c r="B410" s="225"/>
      <c r="C410" s="225"/>
      <c r="D410" s="225"/>
      <c r="E410" s="225"/>
      <c r="F410" s="22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</row>
    <row r="411">
      <c r="A411" s="225"/>
      <c r="B411" s="225"/>
      <c r="C411" s="225"/>
      <c r="D411" s="225"/>
      <c r="E411" s="225"/>
      <c r="F411" s="22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</row>
    <row r="412">
      <c r="A412" s="225"/>
      <c r="B412" s="225"/>
      <c r="C412" s="225"/>
      <c r="D412" s="225"/>
      <c r="E412" s="225"/>
      <c r="F412" s="22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</row>
    <row r="413">
      <c r="A413" s="225"/>
      <c r="B413" s="225"/>
      <c r="C413" s="225"/>
      <c r="D413" s="225"/>
      <c r="E413" s="225"/>
      <c r="F413" s="22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</row>
    <row r="414">
      <c r="A414" s="225"/>
      <c r="B414" s="225"/>
      <c r="C414" s="225"/>
      <c r="D414" s="225"/>
      <c r="E414" s="225"/>
      <c r="F414" s="22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</row>
    <row r="415">
      <c r="A415" s="225"/>
      <c r="B415" s="225"/>
      <c r="C415" s="225"/>
      <c r="D415" s="225"/>
      <c r="E415" s="225"/>
      <c r="F415" s="22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</row>
    <row r="416">
      <c r="A416" s="225"/>
      <c r="B416" s="225"/>
      <c r="C416" s="225"/>
      <c r="D416" s="225"/>
      <c r="E416" s="225"/>
      <c r="F416" s="22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</row>
    <row r="417">
      <c r="A417" s="225"/>
      <c r="B417" s="225"/>
      <c r="C417" s="225"/>
      <c r="D417" s="225"/>
      <c r="E417" s="225"/>
      <c r="F417" s="22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</row>
    <row r="418">
      <c r="A418" s="225"/>
      <c r="B418" s="225"/>
      <c r="C418" s="225"/>
      <c r="D418" s="225"/>
      <c r="E418" s="225"/>
      <c r="F418" s="22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</row>
    <row r="419">
      <c r="A419" s="225"/>
      <c r="B419" s="225"/>
      <c r="C419" s="225"/>
      <c r="D419" s="225"/>
      <c r="E419" s="225"/>
      <c r="F419" s="22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</row>
    <row r="420">
      <c r="A420" s="225"/>
      <c r="B420" s="225"/>
      <c r="C420" s="225"/>
      <c r="D420" s="225"/>
      <c r="E420" s="225"/>
      <c r="F420" s="22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</row>
    <row r="421">
      <c r="A421" s="225"/>
      <c r="B421" s="225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</row>
    <row r="422">
      <c r="A422" s="225"/>
      <c r="B422" s="225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</row>
    <row r="423">
      <c r="A423" s="225"/>
      <c r="B423" s="225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</row>
    <row r="424">
      <c r="A424" s="225"/>
      <c r="B424" s="225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</row>
    <row r="425">
      <c r="A425" s="225"/>
      <c r="B425" s="225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</row>
    <row r="426">
      <c r="A426" s="225"/>
      <c r="B426" s="225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</row>
    <row r="427">
      <c r="A427" s="225"/>
      <c r="B427" s="225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</row>
    <row r="428">
      <c r="A428" s="225"/>
      <c r="B428" s="225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</row>
    <row r="429">
      <c r="A429" s="225"/>
      <c r="B429" s="225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</row>
    <row r="430">
      <c r="A430" s="225"/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</row>
    <row r="431">
      <c r="A431" s="225"/>
      <c r="B431" s="225"/>
      <c r="C431" s="225"/>
      <c r="D431" s="225"/>
      <c r="E431" s="225"/>
      <c r="F431" s="22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</row>
    <row r="432">
      <c r="A432" s="225"/>
      <c r="B432" s="225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</row>
    <row r="433">
      <c r="A433" s="225"/>
      <c r="B433" s="225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</row>
    <row r="434">
      <c r="A434" s="225"/>
      <c r="B434" s="225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</row>
    <row r="435">
      <c r="A435" s="225"/>
      <c r="B435" s="225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</row>
    <row r="436">
      <c r="A436" s="225"/>
      <c r="B436" s="225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</row>
    <row r="437">
      <c r="A437" s="225"/>
      <c r="B437" s="225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</row>
    <row r="438">
      <c r="A438" s="225"/>
      <c r="B438" s="225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</row>
    <row r="439">
      <c r="A439" s="225"/>
      <c r="B439" s="225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</row>
    <row r="440">
      <c r="A440" s="225"/>
      <c r="B440" s="225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</row>
    <row r="441">
      <c r="A441" s="225"/>
      <c r="B441" s="225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</row>
    <row r="442">
      <c r="A442" s="225"/>
      <c r="B442" s="225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</row>
    <row r="443">
      <c r="A443" s="225"/>
      <c r="B443" s="225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</row>
    <row r="444">
      <c r="A444" s="225"/>
      <c r="B444" s="225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</row>
    <row r="445">
      <c r="A445" s="225"/>
      <c r="B445" s="225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</row>
    <row r="446">
      <c r="A446" s="225"/>
      <c r="B446" s="225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</row>
    <row r="447">
      <c r="A447" s="225"/>
      <c r="B447" s="225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</row>
    <row r="448">
      <c r="A448" s="225"/>
      <c r="B448" s="225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</row>
    <row r="449">
      <c r="A449" s="225"/>
      <c r="B449" s="225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</row>
    <row r="450">
      <c r="A450" s="225"/>
      <c r="B450" s="225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</row>
    <row r="451">
      <c r="A451" s="225"/>
      <c r="B451" s="225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</row>
    <row r="452">
      <c r="A452" s="225"/>
      <c r="B452" s="225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</row>
    <row r="453">
      <c r="A453" s="225"/>
      <c r="B453" s="225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</row>
    <row r="454">
      <c r="A454" s="225"/>
      <c r="B454" s="225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</row>
    <row r="455">
      <c r="A455" s="225"/>
      <c r="B455" s="225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</row>
    <row r="456">
      <c r="A456" s="225"/>
      <c r="B456" s="225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</row>
    <row r="457">
      <c r="A457" s="225"/>
      <c r="B457" s="225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</row>
    <row r="458">
      <c r="A458" s="225"/>
      <c r="B458" s="225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</row>
    <row r="459">
      <c r="A459" s="225"/>
      <c r="B459" s="225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</row>
    <row r="460">
      <c r="A460" s="225"/>
      <c r="B460" s="225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</row>
    <row r="461">
      <c r="A461" s="225"/>
      <c r="B461" s="225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</row>
    <row r="462">
      <c r="A462" s="225"/>
      <c r="B462" s="225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</row>
    <row r="463">
      <c r="A463" s="225"/>
      <c r="B463" s="225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</row>
    <row r="464">
      <c r="A464" s="225"/>
      <c r="B464" s="225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</row>
    <row r="465">
      <c r="A465" s="225"/>
      <c r="B465" s="225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</row>
    <row r="466">
      <c r="A466" s="225"/>
      <c r="B466" s="225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</row>
    <row r="467">
      <c r="A467" s="225"/>
      <c r="B467" s="225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</row>
    <row r="468">
      <c r="A468" s="225"/>
      <c r="B468" s="225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</row>
    <row r="469">
      <c r="A469" s="225"/>
      <c r="B469" s="225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</row>
    <row r="470">
      <c r="A470" s="225"/>
      <c r="B470" s="225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</row>
    <row r="471">
      <c r="A471" s="225"/>
      <c r="B471" s="225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</row>
    <row r="472">
      <c r="A472" s="225"/>
      <c r="B472" s="225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</row>
    <row r="473">
      <c r="A473" s="225"/>
      <c r="B473" s="225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</row>
    <row r="474">
      <c r="A474" s="225"/>
      <c r="B474" s="225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</row>
    <row r="475">
      <c r="A475" s="225"/>
      <c r="B475" s="225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</row>
    <row r="476">
      <c r="A476" s="225"/>
      <c r="B476" s="225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</row>
    <row r="477">
      <c r="A477" s="225"/>
      <c r="B477" s="225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</row>
    <row r="478">
      <c r="A478" s="225"/>
      <c r="B478" s="225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</row>
    <row r="479">
      <c r="A479" s="225"/>
      <c r="B479" s="225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</row>
    <row r="480">
      <c r="A480" s="225"/>
      <c r="B480" s="225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</row>
    <row r="481">
      <c r="A481" s="225"/>
      <c r="B481" s="225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</row>
    <row r="482">
      <c r="A482" s="225"/>
      <c r="B482" s="225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</row>
    <row r="483">
      <c r="A483" s="225"/>
      <c r="B483" s="225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</row>
    <row r="484">
      <c r="A484" s="225"/>
      <c r="B484" s="225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</row>
    <row r="485">
      <c r="A485" s="225"/>
      <c r="B485" s="225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</row>
    <row r="486">
      <c r="A486" s="225"/>
      <c r="B486" s="225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</row>
    <row r="487">
      <c r="A487" s="225"/>
      <c r="B487" s="225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</row>
    <row r="488">
      <c r="A488" s="225"/>
      <c r="B488" s="225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</row>
    <row r="489">
      <c r="A489" s="225"/>
      <c r="B489" s="225"/>
      <c r="C489" s="225"/>
      <c r="D489" s="225"/>
      <c r="E489" s="225"/>
      <c r="F489" s="22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</row>
    <row r="490">
      <c r="A490" s="225"/>
      <c r="B490" s="225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</row>
    <row r="491">
      <c r="A491" s="225"/>
      <c r="B491" s="225"/>
      <c r="C491" s="225"/>
      <c r="D491" s="225"/>
      <c r="E491" s="225"/>
      <c r="F491" s="22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</row>
    <row r="492">
      <c r="A492" s="225"/>
      <c r="B492" s="225"/>
      <c r="C492" s="225"/>
      <c r="D492" s="225"/>
      <c r="E492" s="225"/>
      <c r="F492" s="22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</row>
    <row r="493">
      <c r="A493" s="225"/>
      <c r="B493" s="225"/>
      <c r="C493" s="225"/>
      <c r="D493" s="225"/>
      <c r="E493" s="225"/>
      <c r="F493" s="22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</row>
    <row r="494">
      <c r="A494" s="225"/>
      <c r="B494" s="225"/>
      <c r="C494" s="225"/>
      <c r="D494" s="225"/>
      <c r="E494" s="225"/>
      <c r="F494" s="22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</row>
    <row r="495">
      <c r="A495" s="225"/>
      <c r="B495" s="225"/>
      <c r="C495" s="225"/>
      <c r="D495" s="225"/>
      <c r="E495" s="225"/>
      <c r="F495" s="22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</row>
    <row r="496">
      <c r="A496" s="225"/>
      <c r="B496" s="225"/>
      <c r="C496" s="225"/>
      <c r="D496" s="225"/>
      <c r="E496" s="225"/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</row>
    <row r="497">
      <c r="A497" s="225"/>
      <c r="B497" s="225"/>
      <c r="C497" s="225"/>
      <c r="D497" s="225"/>
      <c r="E497" s="225"/>
      <c r="F497" s="22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</row>
    <row r="498">
      <c r="A498" s="225"/>
      <c r="B498" s="225"/>
      <c r="C498" s="225"/>
      <c r="D498" s="225"/>
      <c r="E498" s="225"/>
      <c r="F498" s="22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</row>
    <row r="499">
      <c r="A499" s="225"/>
      <c r="B499" s="225"/>
      <c r="C499" s="225"/>
      <c r="D499" s="225"/>
      <c r="E499" s="225"/>
      <c r="F499" s="22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</row>
    <row r="500">
      <c r="A500" s="225"/>
      <c r="B500" s="225"/>
      <c r="C500" s="225"/>
      <c r="D500" s="225"/>
      <c r="E500" s="225"/>
      <c r="F500" s="22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</row>
    <row r="501">
      <c r="A501" s="225"/>
      <c r="B501" s="225"/>
      <c r="C501" s="225"/>
      <c r="D501" s="225"/>
      <c r="E501" s="225"/>
      <c r="F501" s="22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</row>
    <row r="502">
      <c r="A502" s="225"/>
      <c r="B502" s="225"/>
      <c r="C502" s="225"/>
      <c r="D502" s="225"/>
      <c r="E502" s="225"/>
      <c r="F502" s="22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</row>
    <row r="503">
      <c r="A503" s="225"/>
      <c r="B503" s="225"/>
      <c r="C503" s="225"/>
      <c r="D503" s="225"/>
      <c r="E503" s="225"/>
      <c r="F503" s="22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</row>
    <row r="504">
      <c r="A504" s="225"/>
      <c r="B504" s="225"/>
      <c r="C504" s="225"/>
      <c r="D504" s="225"/>
      <c r="E504" s="225"/>
      <c r="F504" s="22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</row>
    <row r="505">
      <c r="A505" s="225"/>
      <c r="B505" s="225"/>
      <c r="C505" s="225"/>
      <c r="D505" s="225"/>
      <c r="E505" s="225"/>
      <c r="F505" s="22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</row>
    <row r="506">
      <c r="A506" s="225"/>
      <c r="B506" s="225"/>
      <c r="C506" s="225"/>
      <c r="D506" s="225"/>
      <c r="E506" s="225"/>
      <c r="F506" s="22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</row>
    <row r="507">
      <c r="A507" s="225"/>
      <c r="B507" s="225"/>
      <c r="C507" s="225"/>
      <c r="D507" s="225"/>
      <c r="E507" s="225"/>
      <c r="F507" s="22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</row>
    <row r="508">
      <c r="A508" s="225"/>
      <c r="B508" s="225"/>
      <c r="C508" s="225"/>
      <c r="D508" s="225"/>
      <c r="E508" s="225"/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</row>
    <row r="509">
      <c r="A509" s="225"/>
      <c r="B509" s="225"/>
      <c r="C509" s="225"/>
      <c r="D509" s="225"/>
      <c r="E509" s="225"/>
      <c r="F509" s="22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</row>
    <row r="510">
      <c r="A510" s="225"/>
      <c r="B510" s="225"/>
      <c r="C510" s="225"/>
      <c r="D510" s="225"/>
      <c r="E510" s="225"/>
      <c r="F510" s="22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</row>
    <row r="511">
      <c r="A511" s="225"/>
      <c r="B511" s="225"/>
      <c r="C511" s="225"/>
      <c r="D511" s="225"/>
      <c r="E511" s="225"/>
      <c r="F511" s="22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</row>
    <row r="512">
      <c r="A512" s="225"/>
      <c r="B512" s="225"/>
      <c r="C512" s="225"/>
      <c r="D512" s="225"/>
      <c r="E512" s="225"/>
      <c r="F512" s="22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</row>
    <row r="513">
      <c r="A513" s="225"/>
      <c r="B513" s="225"/>
      <c r="C513" s="225"/>
      <c r="D513" s="225"/>
      <c r="E513" s="225"/>
      <c r="F513" s="22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</row>
    <row r="514">
      <c r="A514" s="225"/>
      <c r="B514" s="225"/>
      <c r="C514" s="225"/>
      <c r="D514" s="225"/>
      <c r="E514" s="225"/>
      <c r="F514" s="22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</row>
    <row r="515">
      <c r="A515" s="225"/>
      <c r="B515" s="225"/>
      <c r="C515" s="225"/>
      <c r="D515" s="225"/>
      <c r="E515" s="225"/>
      <c r="F515" s="22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</row>
    <row r="516">
      <c r="A516" s="225"/>
      <c r="B516" s="225"/>
      <c r="C516" s="225"/>
      <c r="D516" s="225"/>
      <c r="E516" s="225"/>
      <c r="F516" s="22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</row>
    <row r="517">
      <c r="A517" s="225"/>
      <c r="B517" s="225"/>
      <c r="C517" s="225"/>
      <c r="D517" s="225"/>
      <c r="E517" s="225"/>
      <c r="F517" s="22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</row>
    <row r="518">
      <c r="A518" s="225"/>
      <c r="B518" s="225"/>
      <c r="C518" s="225"/>
      <c r="D518" s="225"/>
      <c r="E518" s="225"/>
      <c r="F518" s="22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</row>
    <row r="519">
      <c r="A519" s="225"/>
      <c r="B519" s="225"/>
      <c r="C519" s="225"/>
      <c r="D519" s="225"/>
      <c r="E519" s="225"/>
      <c r="F519" s="22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</row>
    <row r="520">
      <c r="A520" s="225"/>
      <c r="B520" s="225"/>
      <c r="C520" s="225"/>
      <c r="D520" s="225"/>
      <c r="E520" s="225"/>
      <c r="F520" s="22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</row>
    <row r="521">
      <c r="A521" s="225"/>
      <c r="B521" s="225"/>
      <c r="C521" s="225"/>
      <c r="D521" s="225"/>
      <c r="E521" s="225"/>
      <c r="F521" s="22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</row>
    <row r="522">
      <c r="A522" s="225"/>
      <c r="B522" s="225"/>
      <c r="C522" s="225"/>
      <c r="D522" s="225"/>
      <c r="E522" s="225"/>
      <c r="F522" s="22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</row>
    <row r="523">
      <c r="A523" s="225"/>
      <c r="B523" s="225"/>
      <c r="C523" s="225"/>
      <c r="D523" s="225"/>
      <c r="E523" s="225"/>
      <c r="F523" s="22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</row>
    <row r="524">
      <c r="A524" s="225"/>
      <c r="B524" s="225"/>
      <c r="C524" s="225"/>
      <c r="D524" s="225"/>
      <c r="E524" s="225"/>
      <c r="F524" s="22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</row>
    <row r="525">
      <c r="A525" s="225"/>
      <c r="B525" s="225"/>
      <c r="C525" s="225"/>
      <c r="D525" s="225"/>
      <c r="E525" s="225"/>
      <c r="F525" s="22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</row>
    <row r="526">
      <c r="A526" s="225"/>
      <c r="B526" s="225"/>
      <c r="C526" s="225"/>
      <c r="D526" s="225"/>
      <c r="E526" s="225"/>
      <c r="F526" s="22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</row>
    <row r="527">
      <c r="A527" s="225"/>
      <c r="B527" s="225"/>
      <c r="C527" s="225"/>
      <c r="D527" s="225"/>
      <c r="E527" s="225"/>
      <c r="F527" s="22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</row>
    <row r="528">
      <c r="A528" s="225"/>
      <c r="B528" s="225"/>
      <c r="C528" s="225"/>
      <c r="D528" s="225"/>
      <c r="E528" s="225"/>
      <c r="F528" s="22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</row>
    <row r="529">
      <c r="A529" s="225"/>
      <c r="B529" s="225"/>
      <c r="C529" s="225"/>
      <c r="D529" s="225"/>
      <c r="E529" s="225"/>
      <c r="F529" s="22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</row>
    <row r="530">
      <c r="A530" s="225"/>
      <c r="B530" s="225"/>
      <c r="C530" s="225"/>
      <c r="D530" s="225"/>
      <c r="E530" s="225"/>
      <c r="F530" s="22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</row>
    <row r="531">
      <c r="A531" s="225"/>
      <c r="B531" s="225"/>
      <c r="C531" s="225"/>
      <c r="D531" s="225"/>
      <c r="E531" s="225"/>
      <c r="F531" s="22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</row>
    <row r="532">
      <c r="A532" s="225"/>
      <c r="B532" s="225"/>
      <c r="C532" s="225"/>
      <c r="D532" s="225"/>
      <c r="E532" s="225"/>
      <c r="F532" s="22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</row>
    <row r="533">
      <c r="A533" s="225"/>
      <c r="B533" s="225"/>
      <c r="C533" s="225"/>
      <c r="D533" s="225"/>
      <c r="E533" s="225"/>
      <c r="F533" s="22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</row>
    <row r="534">
      <c r="A534" s="225"/>
      <c r="B534" s="225"/>
      <c r="C534" s="225"/>
      <c r="D534" s="225"/>
      <c r="E534" s="225"/>
      <c r="F534" s="22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</row>
    <row r="535">
      <c r="A535" s="225"/>
      <c r="B535" s="225"/>
      <c r="C535" s="225"/>
      <c r="D535" s="225"/>
      <c r="E535" s="225"/>
      <c r="F535" s="22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</row>
    <row r="536">
      <c r="A536" s="225"/>
      <c r="B536" s="225"/>
      <c r="C536" s="225"/>
      <c r="D536" s="225"/>
      <c r="E536" s="225"/>
      <c r="F536" s="22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</row>
    <row r="537">
      <c r="A537" s="225"/>
      <c r="B537" s="225"/>
      <c r="C537" s="225"/>
      <c r="D537" s="225"/>
      <c r="E537" s="225"/>
      <c r="F537" s="22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</row>
    <row r="538">
      <c r="A538" s="225"/>
      <c r="B538" s="225"/>
      <c r="C538" s="225"/>
      <c r="D538" s="225"/>
      <c r="E538" s="225"/>
      <c r="F538" s="22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</row>
    <row r="539">
      <c r="A539" s="225"/>
      <c r="B539" s="225"/>
      <c r="C539" s="225"/>
      <c r="D539" s="225"/>
      <c r="E539" s="225"/>
      <c r="F539" s="22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</row>
    <row r="540">
      <c r="A540" s="225"/>
      <c r="B540" s="225"/>
      <c r="C540" s="225"/>
      <c r="D540" s="225"/>
      <c r="E540" s="225"/>
      <c r="F540" s="22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</row>
    <row r="541">
      <c r="A541" s="225"/>
      <c r="B541" s="225"/>
      <c r="C541" s="225"/>
      <c r="D541" s="225"/>
      <c r="E541" s="225"/>
      <c r="F541" s="22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</row>
    <row r="542">
      <c r="A542" s="225"/>
      <c r="B542" s="225"/>
      <c r="C542" s="225"/>
      <c r="D542" s="225"/>
      <c r="E542" s="225"/>
      <c r="F542" s="22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</row>
    <row r="543">
      <c r="A543" s="225"/>
      <c r="B543" s="225"/>
      <c r="C543" s="225"/>
      <c r="D543" s="225"/>
      <c r="E543" s="225"/>
      <c r="F543" s="22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</row>
    <row r="544">
      <c r="A544" s="225"/>
      <c r="B544" s="225"/>
      <c r="C544" s="225"/>
      <c r="D544" s="225"/>
      <c r="E544" s="225"/>
      <c r="F544" s="22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</row>
    <row r="545">
      <c r="A545" s="225"/>
      <c r="B545" s="225"/>
      <c r="C545" s="225"/>
      <c r="D545" s="225"/>
      <c r="E545" s="225"/>
      <c r="F545" s="22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</row>
    <row r="546">
      <c r="A546" s="225"/>
      <c r="B546" s="225"/>
      <c r="C546" s="225"/>
      <c r="D546" s="225"/>
      <c r="E546" s="225"/>
      <c r="F546" s="22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</row>
    <row r="547">
      <c r="A547" s="225"/>
      <c r="B547" s="225"/>
      <c r="C547" s="225"/>
      <c r="D547" s="225"/>
      <c r="E547" s="225"/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</row>
    <row r="548">
      <c r="A548" s="225"/>
      <c r="B548" s="225"/>
      <c r="C548" s="225"/>
      <c r="D548" s="225"/>
      <c r="E548" s="225"/>
      <c r="F548" s="22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</row>
    <row r="549">
      <c r="A549" s="225"/>
      <c r="B549" s="225"/>
      <c r="C549" s="225"/>
      <c r="D549" s="225"/>
      <c r="E549" s="225"/>
      <c r="F549" s="22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</row>
    <row r="550">
      <c r="A550" s="225"/>
      <c r="B550" s="225"/>
      <c r="C550" s="225"/>
      <c r="D550" s="225"/>
      <c r="E550" s="225"/>
      <c r="F550" s="22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</row>
    <row r="551">
      <c r="A551" s="225"/>
      <c r="B551" s="225"/>
      <c r="C551" s="225"/>
      <c r="D551" s="225"/>
      <c r="E551" s="225"/>
      <c r="F551" s="22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</row>
    <row r="552">
      <c r="A552" s="225"/>
      <c r="B552" s="225"/>
      <c r="C552" s="225"/>
      <c r="D552" s="225"/>
      <c r="E552" s="225"/>
      <c r="F552" s="22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</row>
    <row r="553">
      <c r="A553" s="225"/>
      <c r="B553" s="225"/>
      <c r="C553" s="225"/>
      <c r="D553" s="225"/>
      <c r="E553" s="225"/>
      <c r="F553" s="22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</row>
    <row r="554">
      <c r="A554" s="225"/>
      <c r="B554" s="225"/>
      <c r="C554" s="225"/>
      <c r="D554" s="225"/>
      <c r="E554" s="225"/>
      <c r="F554" s="22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</row>
    <row r="555">
      <c r="A555" s="225"/>
      <c r="B555" s="225"/>
      <c r="C555" s="225"/>
      <c r="D555" s="225"/>
      <c r="E555" s="225"/>
      <c r="F555" s="22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</row>
    <row r="556">
      <c r="A556" s="225"/>
      <c r="B556" s="225"/>
      <c r="C556" s="225"/>
      <c r="D556" s="225"/>
      <c r="E556" s="225"/>
      <c r="F556" s="22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</row>
    <row r="557">
      <c r="A557" s="225"/>
      <c r="B557" s="225"/>
      <c r="C557" s="225"/>
      <c r="D557" s="225"/>
      <c r="E557" s="225"/>
      <c r="F557" s="22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</row>
    <row r="558">
      <c r="A558" s="225"/>
      <c r="B558" s="225"/>
      <c r="C558" s="225"/>
      <c r="D558" s="225"/>
      <c r="E558" s="225"/>
      <c r="F558" s="22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</row>
    <row r="559">
      <c r="A559" s="225"/>
      <c r="B559" s="225"/>
      <c r="C559" s="225"/>
      <c r="D559" s="225"/>
      <c r="E559" s="225"/>
      <c r="F559" s="22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</row>
    <row r="560">
      <c r="A560" s="225"/>
      <c r="B560" s="225"/>
      <c r="C560" s="225"/>
      <c r="D560" s="225"/>
      <c r="E560" s="225"/>
      <c r="F560" s="22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</row>
    <row r="561">
      <c r="A561" s="225"/>
      <c r="B561" s="225"/>
      <c r="C561" s="225"/>
      <c r="D561" s="225"/>
      <c r="E561" s="225"/>
      <c r="F561" s="22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</row>
    <row r="562">
      <c r="A562" s="225"/>
      <c r="B562" s="225"/>
      <c r="C562" s="225"/>
      <c r="D562" s="225"/>
      <c r="E562" s="225"/>
      <c r="F562" s="22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</row>
    <row r="563">
      <c r="A563" s="225"/>
      <c r="B563" s="225"/>
      <c r="C563" s="225"/>
      <c r="D563" s="225"/>
      <c r="E563" s="225"/>
      <c r="F563" s="22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</row>
    <row r="564">
      <c r="A564" s="225"/>
      <c r="B564" s="225"/>
      <c r="C564" s="225"/>
      <c r="D564" s="225"/>
      <c r="E564" s="225"/>
      <c r="F564" s="22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</row>
    <row r="565">
      <c r="A565" s="225"/>
      <c r="B565" s="225"/>
      <c r="C565" s="225"/>
      <c r="D565" s="225"/>
      <c r="E565" s="225"/>
      <c r="F565" s="22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</row>
    <row r="566">
      <c r="A566" s="225"/>
      <c r="B566" s="225"/>
      <c r="C566" s="225"/>
      <c r="D566" s="225"/>
      <c r="E566" s="225"/>
      <c r="F566" s="22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</row>
    <row r="567">
      <c r="A567" s="225"/>
      <c r="B567" s="225"/>
      <c r="C567" s="225"/>
      <c r="D567" s="225"/>
      <c r="E567" s="225"/>
      <c r="F567" s="22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</row>
    <row r="568">
      <c r="A568" s="225"/>
      <c r="B568" s="225"/>
      <c r="C568" s="225"/>
      <c r="D568" s="225"/>
      <c r="E568" s="225"/>
      <c r="F568" s="22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</row>
    <row r="569">
      <c r="A569" s="225"/>
      <c r="B569" s="225"/>
      <c r="C569" s="225"/>
      <c r="D569" s="225"/>
      <c r="E569" s="225"/>
      <c r="F569" s="22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</row>
    <row r="570">
      <c r="A570" s="225"/>
      <c r="B570" s="225"/>
      <c r="C570" s="225"/>
      <c r="D570" s="225"/>
      <c r="E570" s="225"/>
      <c r="F570" s="22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</row>
    <row r="571">
      <c r="A571" s="225"/>
      <c r="B571" s="225"/>
      <c r="C571" s="225"/>
      <c r="D571" s="225"/>
      <c r="E571" s="225"/>
      <c r="F571" s="22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</row>
    <row r="572">
      <c r="A572" s="225"/>
      <c r="B572" s="225"/>
      <c r="C572" s="225"/>
      <c r="D572" s="225"/>
      <c r="E572" s="225"/>
      <c r="F572" s="22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</row>
    <row r="573">
      <c r="A573" s="225"/>
      <c r="B573" s="225"/>
      <c r="C573" s="225"/>
      <c r="D573" s="225"/>
      <c r="E573" s="225"/>
      <c r="F573" s="22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</row>
    <row r="574">
      <c r="A574" s="225"/>
      <c r="B574" s="225"/>
      <c r="C574" s="225"/>
      <c r="D574" s="225"/>
      <c r="E574" s="225"/>
      <c r="F574" s="22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</row>
    <row r="575">
      <c r="A575" s="225"/>
      <c r="B575" s="225"/>
      <c r="C575" s="225"/>
      <c r="D575" s="225"/>
      <c r="E575" s="225"/>
      <c r="F575" s="22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</row>
    <row r="576">
      <c r="A576" s="225"/>
      <c r="B576" s="225"/>
      <c r="C576" s="225"/>
      <c r="D576" s="225"/>
      <c r="E576" s="225"/>
      <c r="F576" s="22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</row>
    <row r="577">
      <c r="A577" s="225"/>
      <c r="B577" s="225"/>
      <c r="C577" s="225"/>
      <c r="D577" s="225"/>
      <c r="E577" s="225"/>
      <c r="F577" s="22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</row>
    <row r="578">
      <c r="A578" s="225"/>
      <c r="B578" s="225"/>
      <c r="C578" s="225"/>
      <c r="D578" s="225"/>
      <c r="E578" s="225"/>
      <c r="F578" s="22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</row>
    <row r="579">
      <c r="A579" s="225"/>
      <c r="B579" s="225"/>
      <c r="C579" s="225"/>
      <c r="D579" s="225"/>
      <c r="E579" s="225"/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</row>
    <row r="580">
      <c r="A580" s="225"/>
      <c r="B580" s="225"/>
      <c r="C580" s="225"/>
      <c r="D580" s="225"/>
      <c r="E580" s="225"/>
      <c r="F580" s="22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</row>
    <row r="581">
      <c r="A581" s="225"/>
      <c r="B581" s="225"/>
      <c r="C581" s="225"/>
      <c r="D581" s="225"/>
      <c r="E581" s="225"/>
      <c r="F581" s="22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</row>
    <row r="582">
      <c r="A582" s="225"/>
      <c r="B582" s="225"/>
      <c r="C582" s="225"/>
      <c r="D582" s="225"/>
      <c r="E582" s="225"/>
      <c r="F582" s="22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</row>
    <row r="583">
      <c r="A583" s="225"/>
      <c r="B583" s="225"/>
      <c r="C583" s="225"/>
      <c r="D583" s="225"/>
      <c r="E583" s="225"/>
      <c r="F583" s="22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</row>
    <row r="584">
      <c r="A584" s="225"/>
      <c r="B584" s="225"/>
      <c r="C584" s="225"/>
      <c r="D584" s="225"/>
      <c r="E584" s="225"/>
      <c r="F584" s="22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</row>
    <row r="585">
      <c r="A585" s="225"/>
      <c r="B585" s="225"/>
      <c r="C585" s="225"/>
      <c r="D585" s="225"/>
      <c r="E585" s="225"/>
      <c r="F585" s="22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</row>
    <row r="586">
      <c r="A586" s="225"/>
      <c r="B586" s="225"/>
      <c r="C586" s="225"/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</row>
    <row r="587">
      <c r="A587" s="225"/>
      <c r="B587" s="225"/>
      <c r="C587" s="225"/>
      <c r="D587" s="225"/>
      <c r="E587" s="225"/>
      <c r="F587" s="22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</row>
    <row r="588">
      <c r="A588" s="225"/>
      <c r="B588" s="225"/>
      <c r="C588" s="225"/>
      <c r="D588" s="225"/>
      <c r="E588" s="225"/>
      <c r="F588" s="22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</row>
    <row r="589">
      <c r="A589" s="225"/>
      <c r="B589" s="225"/>
      <c r="C589" s="225"/>
      <c r="D589" s="225"/>
      <c r="E589" s="225"/>
      <c r="F589" s="22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</row>
    <row r="590">
      <c r="A590" s="225"/>
      <c r="B590" s="225"/>
      <c r="C590" s="225"/>
      <c r="D590" s="225"/>
      <c r="E590" s="225"/>
      <c r="F590" s="22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</row>
    <row r="591">
      <c r="A591" s="225"/>
      <c r="B591" s="225"/>
      <c r="C591" s="225"/>
      <c r="D591" s="225"/>
      <c r="E591" s="225"/>
      <c r="F591" s="22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</row>
    <row r="592">
      <c r="A592" s="225"/>
      <c r="B592" s="225"/>
      <c r="C592" s="225"/>
      <c r="D592" s="225"/>
      <c r="E592" s="225"/>
      <c r="F592" s="22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</row>
    <row r="593">
      <c r="A593" s="225"/>
      <c r="B593" s="225"/>
      <c r="C593" s="225"/>
      <c r="D593" s="225"/>
      <c r="E593" s="225"/>
      <c r="F593" s="22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</row>
    <row r="594">
      <c r="A594" s="225"/>
      <c r="B594" s="225"/>
      <c r="C594" s="225"/>
      <c r="D594" s="225"/>
      <c r="E594" s="225"/>
      <c r="F594" s="22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</row>
    <row r="595">
      <c r="A595" s="225"/>
      <c r="B595" s="225"/>
      <c r="C595" s="225"/>
      <c r="D595" s="225"/>
      <c r="E595" s="225"/>
      <c r="F595" s="22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</row>
    <row r="596">
      <c r="A596" s="225"/>
      <c r="B596" s="225"/>
      <c r="C596" s="225"/>
      <c r="D596" s="225"/>
      <c r="E596" s="225"/>
      <c r="F596" s="22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</row>
    <row r="597">
      <c r="A597" s="225"/>
      <c r="B597" s="225"/>
      <c r="C597" s="225"/>
      <c r="D597" s="225"/>
      <c r="E597" s="225"/>
      <c r="F597" s="22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</row>
    <row r="598">
      <c r="A598" s="225"/>
      <c r="B598" s="225"/>
      <c r="C598" s="225"/>
      <c r="D598" s="225"/>
      <c r="E598" s="225"/>
      <c r="F598" s="22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</row>
    <row r="599">
      <c r="A599" s="225"/>
      <c r="B599" s="225"/>
      <c r="C599" s="225"/>
      <c r="D599" s="225"/>
      <c r="E599" s="225"/>
      <c r="F599" s="22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</row>
    <row r="600">
      <c r="A600" s="225"/>
      <c r="B600" s="225"/>
      <c r="C600" s="225"/>
      <c r="D600" s="225"/>
      <c r="E600" s="225"/>
      <c r="F600" s="22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</row>
    <row r="601">
      <c r="A601" s="225"/>
      <c r="B601" s="225"/>
      <c r="C601" s="225"/>
      <c r="D601" s="225"/>
      <c r="E601" s="225"/>
      <c r="F601" s="22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</row>
    <row r="602">
      <c r="A602" s="225"/>
      <c r="B602" s="225"/>
      <c r="C602" s="225"/>
      <c r="D602" s="225"/>
      <c r="E602" s="225"/>
      <c r="F602" s="22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</row>
    <row r="603">
      <c r="A603" s="225"/>
      <c r="B603" s="225"/>
      <c r="C603" s="225"/>
      <c r="D603" s="225"/>
      <c r="E603" s="225"/>
      <c r="F603" s="22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</row>
    <row r="604">
      <c r="A604" s="225"/>
      <c r="B604" s="225"/>
      <c r="C604" s="225"/>
      <c r="D604" s="225"/>
      <c r="E604" s="225"/>
      <c r="F604" s="22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</row>
    <row r="605">
      <c r="A605" s="225"/>
      <c r="B605" s="225"/>
      <c r="C605" s="225"/>
      <c r="D605" s="225"/>
      <c r="E605" s="225"/>
      <c r="F605" s="22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</row>
    <row r="606">
      <c r="A606" s="225"/>
      <c r="B606" s="225"/>
      <c r="C606" s="225"/>
      <c r="D606" s="225"/>
      <c r="E606" s="225"/>
      <c r="F606" s="22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</row>
    <row r="607">
      <c r="A607" s="225"/>
      <c r="B607" s="225"/>
      <c r="C607" s="225"/>
      <c r="D607" s="225"/>
      <c r="E607" s="225"/>
      <c r="F607" s="22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</row>
    <row r="608">
      <c r="A608" s="225"/>
      <c r="B608" s="225"/>
      <c r="C608" s="225"/>
      <c r="D608" s="225"/>
      <c r="E608" s="225"/>
      <c r="F608" s="22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</row>
    <row r="609">
      <c r="A609" s="225"/>
      <c r="B609" s="225"/>
      <c r="C609" s="225"/>
      <c r="D609" s="225"/>
      <c r="E609" s="225"/>
      <c r="F609" s="22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</row>
    <row r="610">
      <c r="A610" s="225"/>
      <c r="B610" s="225"/>
      <c r="C610" s="225"/>
      <c r="D610" s="225"/>
      <c r="E610" s="225"/>
      <c r="F610" s="22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</row>
    <row r="611">
      <c r="A611" s="225"/>
      <c r="B611" s="225"/>
      <c r="C611" s="225"/>
      <c r="D611" s="225"/>
      <c r="E611" s="225"/>
      <c r="F611" s="22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</row>
    <row r="612">
      <c r="A612" s="225"/>
      <c r="B612" s="225"/>
      <c r="C612" s="225"/>
      <c r="D612" s="225"/>
      <c r="E612" s="225"/>
      <c r="F612" s="22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</row>
    <row r="613">
      <c r="A613" s="225"/>
      <c r="B613" s="225"/>
      <c r="C613" s="225"/>
      <c r="D613" s="225"/>
      <c r="E613" s="225"/>
      <c r="F613" s="22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</row>
    <row r="614">
      <c r="A614" s="225"/>
      <c r="B614" s="225"/>
      <c r="C614" s="225"/>
      <c r="D614" s="225"/>
      <c r="E614" s="225"/>
      <c r="F614" s="22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</row>
    <row r="615">
      <c r="A615" s="225"/>
      <c r="B615" s="225"/>
      <c r="C615" s="225"/>
      <c r="D615" s="225"/>
      <c r="E615" s="225"/>
      <c r="F615" s="22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</row>
    <row r="616">
      <c r="A616" s="225"/>
      <c r="B616" s="225"/>
      <c r="C616" s="225"/>
      <c r="D616" s="225"/>
      <c r="E616" s="225"/>
      <c r="F616" s="22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</row>
    <row r="617">
      <c r="A617" s="225"/>
      <c r="B617" s="225"/>
      <c r="C617" s="225"/>
      <c r="D617" s="225"/>
      <c r="E617" s="225"/>
      <c r="F617" s="22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</row>
    <row r="618">
      <c r="A618" s="225"/>
      <c r="B618" s="225"/>
      <c r="C618" s="225"/>
      <c r="D618" s="225"/>
      <c r="E618" s="225"/>
      <c r="F618" s="22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</row>
    <row r="619">
      <c r="A619" s="225"/>
      <c r="B619" s="225"/>
      <c r="C619" s="225"/>
      <c r="D619" s="225"/>
      <c r="E619" s="225"/>
      <c r="F619" s="22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</row>
    <row r="620">
      <c r="A620" s="225"/>
      <c r="B620" s="225"/>
      <c r="C620" s="225"/>
      <c r="D620" s="225"/>
      <c r="E620" s="225"/>
      <c r="F620" s="22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</row>
    <row r="621">
      <c r="A621" s="225"/>
      <c r="B621" s="225"/>
      <c r="C621" s="225"/>
      <c r="D621" s="225"/>
      <c r="E621" s="225"/>
      <c r="F621" s="22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</row>
    <row r="622">
      <c r="A622" s="225"/>
      <c r="B622" s="225"/>
      <c r="C622" s="225"/>
      <c r="D622" s="225"/>
      <c r="E622" s="225"/>
      <c r="F622" s="22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</row>
    <row r="623">
      <c r="A623" s="225"/>
      <c r="B623" s="225"/>
      <c r="C623" s="225"/>
      <c r="D623" s="225"/>
      <c r="E623" s="225"/>
      <c r="F623" s="22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</row>
    <row r="624">
      <c r="A624" s="225"/>
      <c r="B624" s="225"/>
      <c r="C624" s="225"/>
      <c r="D624" s="225"/>
      <c r="E624" s="225"/>
      <c r="F624" s="22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</row>
    <row r="625">
      <c r="A625" s="225"/>
      <c r="B625" s="225"/>
      <c r="C625" s="225"/>
      <c r="D625" s="225"/>
      <c r="E625" s="225"/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</row>
    <row r="626">
      <c r="A626" s="225"/>
      <c r="B626" s="225"/>
      <c r="C626" s="225"/>
      <c r="D626" s="225"/>
      <c r="E626" s="225"/>
      <c r="F626" s="22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</row>
    <row r="627">
      <c r="A627" s="225"/>
      <c r="B627" s="225"/>
      <c r="C627" s="225"/>
      <c r="D627" s="225"/>
      <c r="E627" s="225"/>
      <c r="F627" s="22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</row>
    <row r="628">
      <c r="A628" s="225"/>
      <c r="B628" s="225"/>
      <c r="C628" s="225"/>
      <c r="D628" s="225"/>
      <c r="E628" s="225"/>
      <c r="F628" s="22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</row>
    <row r="629">
      <c r="A629" s="225"/>
      <c r="B629" s="225"/>
      <c r="C629" s="225"/>
      <c r="D629" s="225"/>
      <c r="E629" s="225"/>
      <c r="F629" s="22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</row>
    <row r="630">
      <c r="A630" s="225"/>
      <c r="B630" s="225"/>
      <c r="C630" s="225"/>
      <c r="D630" s="225"/>
      <c r="E630" s="225"/>
      <c r="F630" s="22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</row>
    <row r="631">
      <c r="A631" s="225"/>
      <c r="B631" s="225"/>
      <c r="C631" s="225"/>
      <c r="D631" s="225"/>
      <c r="E631" s="225"/>
      <c r="F631" s="22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</row>
    <row r="632">
      <c r="A632" s="225"/>
      <c r="B632" s="225"/>
      <c r="C632" s="225"/>
      <c r="D632" s="225"/>
      <c r="E632" s="225"/>
      <c r="F632" s="22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</row>
    <row r="633">
      <c r="A633" s="225"/>
      <c r="B633" s="225"/>
      <c r="C633" s="225"/>
      <c r="D633" s="225"/>
      <c r="E633" s="225"/>
      <c r="F633" s="22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</row>
    <row r="634">
      <c r="A634" s="225"/>
      <c r="B634" s="225"/>
      <c r="C634" s="225"/>
      <c r="D634" s="225"/>
      <c r="E634" s="225"/>
      <c r="F634" s="22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</row>
    <row r="635">
      <c r="A635" s="225"/>
      <c r="B635" s="225"/>
      <c r="C635" s="225"/>
      <c r="D635" s="225"/>
      <c r="E635" s="225"/>
      <c r="F635" s="22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</row>
    <row r="636">
      <c r="A636" s="225"/>
      <c r="B636" s="225"/>
      <c r="C636" s="225"/>
      <c r="D636" s="225"/>
      <c r="E636" s="225"/>
      <c r="F636" s="22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</row>
    <row r="637">
      <c r="A637" s="225"/>
      <c r="B637" s="225"/>
      <c r="C637" s="225"/>
      <c r="D637" s="225"/>
      <c r="E637" s="225"/>
      <c r="F637" s="22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</row>
    <row r="638">
      <c r="A638" s="225"/>
      <c r="B638" s="225"/>
      <c r="C638" s="225"/>
      <c r="D638" s="225"/>
      <c r="E638" s="225"/>
      <c r="F638" s="22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</row>
    <row r="639">
      <c r="A639" s="225"/>
      <c r="B639" s="225"/>
      <c r="C639" s="225"/>
      <c r="D639" s="225"/>
      <c r="E639" s="225"/>
      <c r="F639" s="22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</row>
    <row r="640">
      <c r="A640" s="225"/>
      <c r="B640" s="225"/>
      <c r="C640" s="225"/>
      <c r="D640" s="225"/>
      <c r="E640" s="225"/>
      <c r="F640" s="22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</row>
    <row r="641">
      <c r="A641" s="225"/>
      <c r="B641" s="225"/>
      <c r="C641" s="225"/>
      <c r="D641" s="225"/>
      <c r="E641" s="225"/>
      <c r="F641" s="22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</row>
    <row r="642">
      <c r="A642" s="225"/>
      <c r="B642" s="225"/>
      <c r="C642" s="225"/>
      <c r="D642" s="225"/>
      <c r="E642" s="225"/>
      <c r="F642" s="22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</row>
    <row r="643">
      <c r="A643" s="225"/>
      <c r="B643" s="225"/>
      <c r="C643" s="225"/>
      <c r="D643" s="225"/>
      <c r="E643" s="225"/>
      <c r="F643" s="22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</row>
    <row r="644">
      <c r="A644" s="225"/>
      <c r="B644" s="225"/>
      <c r="C644" s="225"/>
      <c r="D644" s="225"/>
      <c r="E644" s="225"/>
      <c r="F644" s="22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</row>
    <row r="645">
      <c r="A645" s="225"/>
      <c r="B645" s="225"/>
      <c r="C645" s="225"/>
      <c r="D645" s="225"/>
      <c r="E645" s="225"/>
      <c r="F645" s="22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</row>
    <row r="646">
      <c r="A646" s="225"/>
      <c r="B646" s="225"/>
      <c r="C646" s="225"/>
      <c r="D646" s="225"/>
      <c r="E646" s="225"/>
      <c r="F646" s="22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</row>
    <row r="647">
      <c r="A647" s="225"/>
      <c r="B647" s="225"/>
      <c r="C647" s="225"/>
      <c r="D647" s="225"/>
      <c r="E647" s="225"/>
      <c r="F647" s="22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</row>
    <row r="648">
      <c r="A648" s="225"/>
      <c r="B648" s="225"/>
      <c r="C648" s="225"/>
      <c r="D648" s="225"/>
      <c r="E648" s="225"/>
      <c r="F648" s="22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</row>
    <row r="649">
      <c r="A649" s="225"/>
      <c r="B649" s="225"/>
      <c r="C649" s="225"/>
      <c r="D649" s="225"/>
      <c r="E649" s="225"/>
      <c r="F649" s="22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</row>
    <row r="650">
      <c r="A650" s="225"/>
      <c r="B650" s="225"/>
      <c r="C650" s="225"/>
      <c r="D650" s="225"/>
      <c r="E650" s="225"/>
      <c r="F650" s="22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</row>
    <row r="651">
      <c r="A651" s="225"/>
      <c r="B651" s="225"/>
      <c r="C651" s="225"/>
      <c r="D651" s="225"/>
      <c r="E651" s="225"/>
      <c r="F651" s="22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</row>
    <row r="652">
      <c r="A652" s="225"/>
      <c r="B652" s="225"/>
      <c r="C652" s="225"/>
      <c r="D652" s="225"/>
      <c r="E652" s="225"/>
      <c r="F652" s="22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</row>
    <row r="653">
      <c r="A653" s="225"/>
      <c r="B653" s="225"/>
      <c r="C653" s="225"/>
      <c r="D653" s="225"/>
      <c r="E653" s="225"/>
      <c r="F653" s="22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</row>
    <row r="654">
      <c r="A654" s="225"/>
      <c r="B654" s="225"/>
      <c r="C654" s="225"/>
      <c r="D654" s="225"/>
      <c r="E654" s="225"/>
      <c r="F654" s="22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</row>
    <row r="655">
      <c r="A655" s="225"/>
      <c r="B655" s="225"/>
      <c r="C655" s="225"/>
      <c r="D655" s="225"/>
      <c r="E655" s="225"/>
      <c r="F655" s="22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</row>
    <row r="656">
      <c r="A656" s="225"/>
      <c r="B656" s="225"/>
      <c r="C656" s="225"/>
      <c r="D656" s="225"/>
      <c r="E656" s="225"/>
      <c r="F656" s="22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</row>
    <row r="657">
      <c r="A657" s="225"/>
      <c r="B657" s="225"/>
      <c r="C657" s="225"/>
      <c r="D657" s="225"/>
      <c r="E657" s="225"/>
      <c r="F657" s="22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</row>
    <row r="658">
      <c r="A658" s="225"/>
      <c r="B658" s="225"/>
      <c r="C658" s="225"/>
      <c r="D658" s="225"/>
      <c r="E658" s="225"/>
      <c r="F658" s="22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</row>
    <row r="659">
      <c r="A659" s="225"/>
      <c r="B659" s="225"/>
      <c r="C659" s="225"/>
      <c r="D659" s="225"/>
      <c r="E659" s="225"/>
      <c r="F659" s="22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</row>
    <row r="660">
      <c r="A660" s="225"/>
      <c r="B660" s="225"/>
      <c r="C660" s="225"/>
      <c r="D660" s="225"/>
      <c r="E660" s="225"/>
      <c r="F660" s="22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</row>
    <row r="661">
      <c r="A661" s="225"/>
      <c r="B661" s="225"/>
      <c r="C661" s="225"/>
      <c r="D661" s="225"/>
      <c r="E661" s="225"/>
      <c r="F661" s="22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</row>
    <row r="662">
      <c r="A662" s="225"/>
      <c r="B662" s="225"/>
      <c r="C662" s="225"/>
      <c r="D662" s="225"/>
      <c r="E662" s="225"/>
      <c r="F662" s="22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</row>
    <row r="663">
      <c r="A663" s="225"/>
      <c r="B663" s="225"/>
      <c r="C663" s="225"/>
      <c r="D663" s="225"/>
      <c r="E663" s="225"/>
      <c r="F663" s="22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</row>
    <row r="664">
      <c r="A664" s="225"/>
      <c r="B664" s="225"/>
      <c r="C664" s="225"/>
      <c r="D664" s="225"/>
      <c r="E664" s="225"/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</row>
    <row r="665">
      <c r="A665" s="225"/>
      <c r="B665" s="225"/>
      <c r="C665" s="225"/>
      <c r="D665" s="225"/>
      <c r="E665" s="225"/>
      <c r="F665" s="22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</row>
    <row r="666">
      <c r="A666" s="225"/>
      <c r="B666" s="225"/>
      <c r="C666" s="225"/>
      <c r="D666" s="225"/>
      <c r="E666" s="225"/>
      <c r="F666" s="22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</row>
    <row r="667">
      <c r="A667" s="225"/>
      <c r="B667" s="225"/>
      <c r="C667" s="225"/>
      <c r="D667" s="225"/>
      <c r="E667" s="225"/>
      <c r="F667" s="22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</row>
    <row r="668">
      <c r="A668" s="225"/>
      <c r="B668" s="225"/>
      <c r="C668" s="225"/>
      <c r="D668" s="225"/>
      <c r="E668" s="225"/>
      <c r="F668" s="22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</row>
    <row r="669">
      <c r="A669" s="225"/>
      <c r="B669" s="225"/>
      <c r="C669" s="225"/>
      <c r="D669" s="225"/>
      <c r="E669" s="225"/>
      <c r="F669" s="22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</row>
    <row r="670">
      <c r="A670" s="225"/>
      <c r="B670" s="225"/>
      <c r="C670" s="225"/>
      <c r="D670" s="225"/>
      <c r="E670" s="225"/>
      <c r="F670" s="22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</row>
    <row r="671">
      <c r="A671" s="225"/>
      <c r="B671" s="225"/>
      <c r="C671" s="225"/>
      <c r="D671" s="225"/>
      <c r="E671" s="225"/>
      <c r="F671" s="22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</row>
    <row r="672">
      <c r="A672" s="225"/>
      <c r="B672" s="225"/>
      <c r="C672" s="225"/>
      <c r="D672" s="225"/>
      <c r="E672" s="225"/>
      <c r="F672" s="22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</row>
    <row r="673">
      <c r="A673" s="225"/>
      <c r="B673" s="225"/>
      <c r="C673" s="225"/>
      <c r="D673" s="225"/>
      <c r="E673" s="225"/>
      <c r="F673" s="22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</row>
    <row r="674">
      <c r="A674" s="225"/>
      <c r="B674" s="225"/>
      <c r="C674" s="225"/>
      <c r="D674" s="225"/>
      <c r="E674" s="225"/>
      <c r="F674" s="22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</row>
    <row r="675">
      <c r="A675" s="225"/>
      <c r="B675" s="225"/>
      <c r="C675" s="225"/>
      <c r="D675" s="225"/>
      <c r="E675" s="225"/>
      <c r="F675" s="22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</row>
    <row r="676">
      <c r="A676" s="225"/>
      <c r="B676" s="225"/>
      <c r="C676" s="225"/>
      <c r="D676" s="225"/>
      <c r="E676" s="225"/>
      <c r="F676" s="22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</row>
    <row r="677">
      <c r="A677" s="225"/>
      <c r="B677" s="225"/>
      <c r="C677" s="225"/>
      <c r="D677" s="225"/>
      <c r="E677" s="225"/>
      <c r="F677" s="22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</row>
    <row r="678">
      <c r="A678" s="225"/>
      <c r="B678" s="225"/>
      <c r="C678" s="225"/>
      <c r="D678" s="225"/>
      <c r="E678" s="225"/>
      <c r="F678" s="22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</row>
    <row r="679">
      <c r="A679" s="225"/>
      <c r="B679" s="225"/>
      <c r="C679" s="225"/>
      <c r="D679" s="225"/>
      <c r="E679" s="225"/>
      <c r="F679" s="22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</row>
    <row r="680">
      <c r="A680" s="225"/>
      <c r="B680" s="225"/>
      <c r="C680" s="225"/>
      <c r="D680" s="225"/>
      <c r="E680" s="225"/>
      <c r="F680" s="22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</row>
    <row r="681">
      <c r="A681" s="225"/>
      <c r="B681" s="225"/>
      <c r="C681" s="225"/>
      <c r="D681" s="225"/>
      <c r="E681" s="225"/>
      <c r="F681" s="22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</row>
    <row r="682">
      <c r="A682" s="225"/>
      <c r="B682" s="225"/>
      <c r="C682" s="225"/>
      <c r="D682" s="225"/>
      <c r="E682" s="225"/>
      <c r="F682" s="22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</row>
    <row r="683">
      <c r="A683" s="225"/>
      <c r="B683" s="225"/>
      <c r="C683" s="225"/>
      <c r="D683" s="225"/>
      <c r="E683" s="225"/>
      <c r="F683" s="22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</row>
    <row r="684">
      <c r="A684" s="225"/>
      <c r="B684" s="225"/>
      <c r="C684" s="225"/>
      <c r="D684" s="225"/>
      <c r="E684" s="225"/>
      <c r="F684" s="22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</row>
    <row r="685">
      <c r="A685" s="225"/>
      <c r="B685" s="225"/>
      <c r="C685" s="225"/>
      <c r="D685" s="225"/>
      <c r="E685" s="225"/>
      <c r="F685" s="22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</row>
    <row r="686">
      <c r="A686" s="225"/>
      <c r="B686" s="225"/>
      <c r="C686" s="225"/>
      <c r="D686" s="225"/>
      <c r="E686" s="225"/>
      <c r="F686" s="22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</row>
    <row r="687">
      <c r="A687" s="225"/>
      <c r="B687" s="225"/>
      <c r="C687" s="225"/>
      <c r="D687" s="225"/>
      <c r="E687" s="225"/>
      <c r="F687" s="22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</row>
    <row r="688">
      <c r="A688" s="225"/>
      <c r="B688" s="225"/>
      <c r="C688" s="225"/>
      <c r="D688" s="225"/>
      <c r="E688" s="225"/>
      <c r="F688" s="22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</row>
    <row r="689">
      <c r="A689" s="225"/>
      <c r="B689" s="225"/>
      <c r="C689" s="225"/>
      <c r="D689" s="225"/>
      <c r="E689" s="225"/>
      <c r="F689" s="22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</row>
    <row r="690">
      <c r="A690" s="225"/>
      <c r="B690" s="225"/>
      <c r="C690" s="225"/>
      <c r="D690" s="225"/>
      <c r="E690" s="225"/>
      <c r="F690" s="22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</row>
    <row r="691">
      <c r="A691" s="225"/>
      <c r="B691" s="225"/>
      <c r="C691" s="225"/>
      <c r="D691" s="225"/>
      <c r="E691" s="225"/>
      <c r="F691" s="22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</row>
    <row r="692">
      <c r="A692" s="225"/>
      <c r="B692" s="225"/>
      <c r="C692" s="225"/>
      <c r="D692" s="225"/>
      <c r="E692" s="225"/>
      <c r="F692" s="22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</row>
    <row r="693">
      <c r="A693" s="225"/>
      <c r="B693" s="225"/>
      <c r="C693" s="225"/>
      <c r="D693" s="225"/>
      <c r="E693" s="225"/>
      <c r="F693" s="22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</row>
    <row r="694">
      <c r="A694" s="225"/>
      <c r="B694" s="225"/>
      <c r="C694" s="225"/>
      <c r="D694" s="225"/>
      <c r="E694" s="225"/>
      <c r="F694" s="22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</row>
    <row r="695">
      <c r="A695" s="225"/>
      <c r="B695" s="225"/>
      <c r="C695" s="225"/>
      <c r="D695" s="225"/>
      <c r="E695" s="225"/>
      <c r="F695" s="22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</row>
    <row r="696">
      <c r="A696" s="225"/>
      <c r="B696" s="225"/>
      <c r="C696" s="225"/>
      <c r="D696" s="225"/>
      <c r="E696" s="225"/>
      <c r="F696" s="22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</row>
    <row r="697">
      <c r="A697" s="225"/>
      <c r="B697" s="225"/>
      <c r="C697" s="225"/>
      <c r="D697" s="225"/>
      <c r="E697" s="225"/>
      <c r="F697" s="22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</row>
    <row r="698">
      <c r="A698" s="225"/>
      <c r="B698" s="225"/>
      <c r="C698" s="225"/>
      <c r="D698" s="225"/>
      <c r="E698" s="225"/>
      <c r="F698" s="22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</row>
    <row r="699">
      <c r="A699" s="225"/>
      <c r="B699" s="225"/>
      <c r="C699" s="225"/>
      <c r="D699" s="225"/>
      <c r="E699" s="225"/>
      <c r="F699" s="22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</row>
    <row r="700">
      <c r="A700" s="225"/>
      <c r="B700" s="225"/>
      <c r="C700" s="225"/>
      <c r="D700" s="225"/>
      <c r="E700" s="225"/>
      <c r="F700" s="22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</row>
    <row r="701">
      <c r="A701" s="225"/>
      <c r="B701" s="225"/>
      <c r="C701" s="225"/>
      <c r="D701" s="225"/>
      <c r="E701" s="225"/>
      <c r="F701" s="22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</row>
    <row r="702">
      <c r="A702" s="225"/>
      <c r="B702" s="225"/>
      <c r="C702" s="225"/>
      <c r="D702" s="225"/>
      <c r="E702" s="225"/>
      <c r="F702" s="22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</row>
    <row r="703">
      <c r="A703" s="225"/>
      <c r="B703" s="225"/>
      <c r="C703" s="225"/>
      <c r="D703" s="225"/>
      <c r="E703" s="225"/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</row>
    <row r="704">
      <c r="A704" s="225"/>
      <c r="B704" s="225"/>
      <c r="C704" s="225"/>
      <c r="D704" s="225"/>
      <c r="E704" s="225"/>
      <c r="F704" s="22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</row>
    <row r="705">
      <c r="A705" s="225"/>
      <c r="B705" s="225"/>
      <c r="C705" s="225"/>
      <c r="D705" s="225"/>
      <c r="E705" s="225"/>
      <c r="F705" s="22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</row>
    <row r="706">
      <c r="A706" s="225"/>
      <c r="B706" s="225"/>
      <c r="C706" s="225"/>
      <c r="D706" s="225"/>
      <c r="E706" s="225"/>
      <c r="F706" s="22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</row>
    <row r="707">
      <c r="A707" s="225"/>
      <c r="B707" s="225"/>
      <c r="C707" s="225"/>
      <c r="D707" s="225"/>
      <c r="E707" s="225"/>
      <c r="F707" s="22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</row>
    <row r="708">
      <c r="A708" s="225"/>
      <c r="B708" s="225"/>
      <c r="C708" s="225"/>
      <c r="D708" s="225"/>
      <c r="E708" s="225"/>
      <c r="F708" s="22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</row>
    <row r="709">
      <c r="A709" s="225"/>
      <c r="B709" s="225"/>
      <c r="C709" s="225"/>
      <c r="D709" s="225"/>
      <c r="E709" s="225"/>
      <c r="F709" s="22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</row>
    <row r="710">
      <c r="A710" s="225"/>
      <c r="B710" s="225"/>
      <c r="C710" s="225"/>
      <c r="D710" s="225"/>
      <c r="E710" s="225"/>
      <c r="F710" s="22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</row>
    <row r="711">
      <c r="A711" s="225"/>
      <c r="B711" s="225"/>
      <c r="C711" s="225"/>
      <c r="D711" s="225"/>
      <c r="E711" s="225"/>
      <c r="F711" s="22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</row>
    <row r="712">
      <c r="A712" s="225"/>
      <c r="B712" s="225"/>
      <c r="C712" s="225"/>
      <c r="D712" s="225"/>
      <c r="E712" s="225"/>
      <c r="F712" s="22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</row>
    <row r="713">
      <c r="A713" s="225"/>
      <c r="B713" s="225"/>
      <c r="C713" s="225"/>
      <c r="D713" s="225"/>
      <c r="E713" s="225"/>
      <c r="F713" s="22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</row>
    <row r="714">
      <c r="A714" s="225"/>
      <c r="B714" s="225"/>
      <c r="C714" s="225"/>
      <c r="D714" s="225"/>
      <c r="E714" s="225"/>
      <c r="F714" s="22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</row>
    <row r="715">
      <c r="A715" s="225"/>
      <c r="B715" s="225"/>
      <c r="C715" s="225"/>
      <c r="D715" s="225"/>
      <c r="E715" s="225"/>
      <c r="F715" s="22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</row>
    <row r="716">
      <c r="A716" s="225"/>
      <c r="B716" s="225"/>
      <c r="C716" s="225"/>
      <c r="D716" s="225"/>
      <c r="E716" s="225"/>
      <c r="F716" s="22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</row>
    <row r="717">
      <c r="A717" s="225"/>
      <c r="B717" s="225"/>
      <c r="C717" s="225"/>
      <c r="D717" s="225"/>
      <c r="E717" s="225"/>
      <c r="F717" s="22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</row>
    <row r="718">
      <c r="A718" s="225"/>
      <c r="B718" s="225"/>
      <c r="C718" s="225"/>
      <c r="D718" s="225"/>
      <c r="E718" s="225"/>
      <c r="F718" s="22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</row>
    <row r="719">
      <c r="A719" s="225"/>
      <c r="B719" s="225"/>
      <c r="C719" s="225"/>
      <c r="D719" s="225"/>
      <c r="E719" s="225"/>
      <c r="F719" s="22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</row>
    <row r="720">
      <c r="A720" s="225"/>
      <c r="B720" s="225"/>
      <c r="C720" s="225"/>
      <c r="D720" s="225"/>
      <c r="E720" s="225"/>
      <c r="F720" s="22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</row>
    <row r="721">
      <c r="A721" s="225"/>
      <c r="B721" s="225"/>
      <c r="C721" s="225"/>
      <c r="D721" s="225"/>
      <c r="E721" s="225"/>
      <c r="F721" s="22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</row>
    <row r="722">
      <c r="A722" s="225"/>
      <c r="B722" s="225"/>
      <c r="C722" s="225"/>
      <c r="D722" s="225"/>
      <c r="E722" s="225"/>
      <c r="F722" s="22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</row>
    <row r="723">
      <c r="A723" s="225"/>
      <c r="B723" s="225"/>
      <c r="C723" s="225"/>
      <c r="D723" s="225"/>
      <c r="E723" s="225"/>
      <c r="F723" s="22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</row>
    <row r="724">
      <c r="A724" s="225"/>
      <c r="B724" s="225"/>
      <c r="C724" s="225"/>
      <c r="D724" s="225"/>
      <c r="E724" s="225"/>
      <c r="F724" s="22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</row>
    <row r="725">
      <c r="A725" s="225"/>
      <c r="B725" s="225"/>
      <c r="C725" s="225"/>
      <c r="D725" s="225"/>
      <c r="E725" s="225"/>
      <c r="F725" s="22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</row>
    <row r="726">
      <c r="A726" s="225"/>
      <c r="B726" s="225"/>
      <c r="C726" s="225"/>
      <c r="D726" s="225"/>
      <c r="E726" s="225"/>
      <c r="F726" s="22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</row>
    <row r="727">
      <c r="A727" s="225"/>
      <c r="B727" s="225"/>
      <c r="C727" s="225"/>
      <c r="D727" s="225"/>
      <c r="E727" s="225"/>
      <c r="F727" s="22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</row>
    <row r="728">
      <c r="A728" s="225"/>
      <c r="B728" s="225"/>
      <c r="C728" s="225"/>
      <c r="D728" s="225"/>
      <c r="E728" s="225"/>
      <c r="F728" s="22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</row>
    <row r="729">
      <c r="A729" s="225"/>
      <c r="B729" s="225"/>
      <c r="C729" s="225"/>
      <c r="D729" s="225"/>
      <c r="E729" s="225"/>
      <c r="F729" s="22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</row>
    <row r="730">
      <c r="A730" s="225"/>
      <c r="B730" s="225"/>
      <c r="C730" s="225"/>
      <c r="D730" s="225"/>
      <c r="E730" s="225"/>
      <c r="F730" s="22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</row>
    <row r="731">
      <c r="A731" s="225"/>
      <c r="B731" s="225"/>
      <c r="C731" s="225"/>
      <c r="D731" s="225"/>
      <c r="E731" s="225"/>
      <c r="F731" s="22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</row>
    <row r="732">
      <c r="A732" s="225"/>
      <c r="B732" s="225"/>
      <c r="C732" s="225"/>
      <c r="D732" s="225"/>
      <c r="E732" s="225"/>
      <c r="F732" s="22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</row>
    <row r="733">
      <c r="A733" s="225"/>
      <c r="B733" s="225"/>
      <c r="C733" s="225"/>
      <c r="D733" s="225"/>
      <c r="E733" s="225"/>
      <c r="F733" s="22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</row>
    <row r="734">
      <c r="A734" s="225"/>
      <c r="B734" s="225"/>
      <c r="C734" s="225"/>
      <c r="D734" s="225"/>
      <c r="E734" s="225"/>
      <c r="F734" s="22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</row>
    <row r="735">
      <c r="A735" s="225"/>
      <c r="B735" s="225"/>
      <c r="C735" s="225"/>
      <c r="D735" s="225"/>
      <c r="E735" s="225"/>
      <c r="F735" s="22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</row>
    <row r="736">
      <c r="A736" s="225"/>
      <c r="B736" s="225"/>
      <c r="C736" s="225"/>
      <c r="D736" s="225"/>
      <c r="E736" s="225"/>
      <c r="F736" s="22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</row>
    <row r="737">
      <c r="A737" s="225"/>
      <c r="B737" s="225"/>
      <c r="C737" s="225"/>
      <c r="D737" s="225"/>
      <c r="E737" s="225"/>
      <c r="F737" s="22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</row>
    <row r="738">
      <c r="A738" s="225"/>
      <c r="B738" s="225"/>
      <c r="C738" s="225"/>
      <c r="D738" s="225"/>
      <c r="E738" s="225"/>
      <c r="F738" s="22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</row>
    <row r="739">
      <c r="A739" s="225"/>
      <c r="B739" s="225"/>
      <c r="C739" s="225"/>
      <c r="D739" s="225"/>
      <c r="E739" s="225"/>
      <c r="F739" s="22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</row>
    <row r="740">
      <c r="A740" s="225"/>
      <c r="B740" s="225"/>
      <c r="C740" s="225"/>
      <c r="D740" s="225"/>
      <c r="E740" s="225"/>
      <c r="F740" s="22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</row>
    <row r="741">
      <c r="A741" s="225"/>
      <c r="B741" s="225"/>
      <c r="C741" s="225"/>
      <c r="D741" s="225"/>
      <c r="E741" s="225"/>
      <c r="F741" s="22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</row>
    <row r="742">
      <c r="A742" s="225"/>
      <c r="B742" s="225"/>
      <c r="C742" s="225"/>
      <c r="D742" s="225"/>
      <c r="E742" s="225"/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</row>
    <row r="743">
      <c r="A743" s="225"/>
      <c r="B743" s="225"/>
      <c r="C743" s="225"/>
      <c r="D743" s="225"/>
      <c r="E743" s="225"/>
      <c r="F743" s="22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</row>
    <row r="744">
      <c r="A744" s="225"/>
      <c r="B744" s="225"/>
      <c r="C744" s="225"/>
      <c r="D744" s="225"/>
      <c r="E744" s="225"/>
      <c r="F744" s="22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</row>
    <row r="745">
      <c r="A745" s="225"/>
      <c r="B745" s="225"/>
      <c r="C745" s="225"/>
      <c r="D745" s="225"/>
      <c r="E745" s="225"/>
      <c r="F745" s="22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</row>
    <row r="746">
      <c r="A746" s="225"/>
      <c r="B746" s="225"/>
      <c r="C746" s="225"/>
      <c r="D746" s="225"/>
      <c r="E746" s="225"/>
      <c r="F746" s="22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</row>
    <row r="747">
      <c r="A747" s="225"/>
      <c r="B747" s="225"/>
      <c r="C747" s="225"/>
      <c r="D747" s="225"/>
      <c r="E747" s="225"/>
      <c r="F747" s="22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</row>
    <row r="748">
      <c r="A748" s="225"/>
      <c r="B748" s="225"/>
      <c r="C748" s="225"/>
      <c r="D748" s="225"/>
      <c r="E748" s="225"/>
      <c r="F748" s="22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</row>
    <row r="749">
      <c r="A749" s="225"/>
      <c r="B749" s="225"/>
      <c r="C749" s="225"/>
      <c r="D749" s="225"/>
      <c r="E749" s="225"/>
      <c r="F749" s="22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</row>
    <row r="750">
      <c r="A750" s="225"/>
      <c r="B750" s="225"/>
      <c r="C750" s="225"/>
      <c r="D750" s="225"/>
      <c r="E750" s="225"/>
      <c r="F750" s="22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</row>
    <row r="751">
      <c r="A751" s="225"/>
      <c r="B751" s="225"/>
      <c r="C751" s="225"/>
      <c r="D751" s="225"/>
      <c r="E751" s="225"/>
      <c r="F751" s="22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</row>
    <row r="752">
      <c r="A752" s="225"/>
      <c r="B752" s="225"/>
      <c r="C752" s="225"/>
      <c r="D752" s="225"/>
      <c r="E752" s="225"/>
      <c r="F752" s="22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</row>
    <row r="753">
      <c r="A753" s="225"/>
      <c r="B753" s="225"/>
      <c r="C753" s="225"/>
      <c r="D753" s="225"/>
      <c r="E753" s="225"/>
      <c r="F753" s="22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</row>
    <row r="754">
      <c r="A754" s="225"/>
      <c r="B754" s="225"/>
      <c r="C754" s="225"/>
      <c r="D754" s="225"/>
      <c r="E754" s="225"/>
      <c r="F754" s="22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</row>
    <row r="755">
      <c r="A755" s="225"/>
      <c r="B755" s="225"/>
      <c r="C755" s="225"/>
      <c r="D755" s="225"/>
      <c r="E755" s="225"/>
      <c r="F755" s="22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</row>
    <row r="756">
      <c r="A756" s="225"/>
      <c r="B756" s="225"/>
      <c r="C756" s="225"/>
      <c r="D756" s="225"/>
      <c r="E756" s="225"/>
      <c r="F756" s="22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</row>
    <row r="757">
      <c r="A757" s="225"/>
      <c r="B757" s="225"/>
      <c r="C757" s="225"/>
      <c r="D757" s="225"/>
      <c r="E757" s="225"/>
      <c r="F757" s="22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</row>
    <row r="758">
      <c r="A758" s="225"/>
      <c r="B758" s="225"/>
      <c r="C758" s="225"/>
      <c r="D758" s="225"/>
      <c r="E758" s="225"/>
      <c r="F758" s="22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</row>
    <row r="759">
      <c r="A759" s="225"/>
      <c r="B759" s="225"/>
      <c r="C759" s="225"/>
      <c r="D759" s="225"/>
      <c r="E759" s="225"/>
      <c r="F759" s="22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</row>
    <row r="760">
      <c r="A760" s="225"/>
      <c r="B760" s="225"/>
      <c r="C760" s="225"/>
      <c r="D760" s="225"/>
      <c r="E760" s="225"/>
      <c r="F760" s="22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</row>
    <row r="761">
      <c r="A761" s="225"/>
      <c r="B761" s="225"/>
      <c r="C761" s="225"/>
      <c r="D761" s="225"/>
      <c r="E761" s="225"/>
      <c r="F761" s="22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</row>
    <row r="762">
      <c r="A762" s="225"/>
      <c r="B762" s="225"/>
      <c r="C762" s="225"/>
      <c r="D762" s="225"/>
      <c r="E762" s="225"/>
      <c r="F762" s="22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</row>
    <row r="763">
      <c r="A763" s="225"/>
      <c r="B763" s="225"/>
      <c r="C763" s="225"/>
      <c r="D763" s="225"/>
      <c r="E763" s="225"/>
      <c r="F763" s="22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</row>
    <row r="764">
      <c r="A764" s="225"/>
      <c r="B764" s="225"/>
      <c r="C764" s="225"/>
      <c r="D764" s="225"/>
      <c r="E764" s="225"/>
      <c r="F764" s="22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</row>
    <row r="765">
      <c r="A765" s="225"/>
      <c r="B765" s="225"/>
      <c r="C765" s="225"/>
      <c r="D765" s="225"/>
      <c r="E765" s="225"/>
      <c r="F765" s="22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</row>
    <row r="766">
      <c r="A766" s="225"/>
      <c r="B766" s="225"/>
      <c r="C766" s="225"/>
      <c r="D766" s="225"/>
      <c r="E766" s="225"/>
      <c r="F766" s="22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</row>
    <row r="767">
      <c r="A767" s="225"/>
      <c r="B767" s="225"/>
      <c r="C767" s="225"/>
      <c r="D767" s="225"/>
      <c r="E767" s="225"/>
      <c r="F767" s="22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</row>
    <row r="768">
      <c r="A768" s="225"/>
      <c r="B768" s="225"/>
      <c r="C768" s="225"/>
      <c r="D768" s="225"/>
      <c r="E768" s="225"/>
      <c r="F768" s="22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</row>
    <row r="769">
      <c r="A769" s="225"/>
      <c r="B769" s="225"/>
      <c r="C769" s="225"/>
      <c r="D769" s="225"/>
      <c r="E769" s="225"/>
      <c r="F769" s="22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</row>
    <row r="770">
      <c r="A770" s="225"/>
      <c r="B770" s="225"/>
      <c r="C770" s="225"/>
      <c r="D770" s="225"/>
      <c r="E770" s="225"/>
      <c r="F770" s="22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</row>
    <row r="771">
      <c r="A771" s="225"/>
      <c r="B771" s="225"/>
      <c r="C771" s="225"/>
      <c r="D771" s="225"/>
      <c r="E771" s="225"/>
      <c r="F771" s="22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</row>
    <row r="772">
      <c r="A772" s="225"/>
      <c r="B772" s="225"/>
      <c r="C772" s="225"/>
      <c r="D772" s="225"/>
      <c r="E772" s="225"/>
      <c r="F772" s="22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</row>
    <row r="773">
      <c r="A773" s="225"/>
      <c r="B773" s="225"/>
      <c r="C773" s="225"/>
      <c r="D773" s="225"/>
      <c r="E773" s="225"/>
      <c r="F773" s="22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</row>
    <row r="774">
      <c r="A774" s="225"/>
      <c r="B774" s="225"/>
      <c r="C774" s="225"/>
      <c r="D774" s="225"/>
      <c r="E774" s="225"/>
      <c r="F774" s="22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</row>
    <row r="775">
      <c r="A775" s="225"/>
      <c r="B775" s="225"/>
      <c r="C775" s="225"/>
      <c r="D775" s="225"/>
      <c r="E775" s="225"/>
      <c r="F775" s="22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</row>
    <row r="776">
      <c r="A776" s="225"/>
      <c r="B776" s="225"/>
      <c r="C776" s="225"/>
      <c r="D776" s="225"/>
      <c r="E776" s="225"/>
      <c r="F776" s="22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</row>
    <row r="777">
      <c r="A777" s="225"/>
      <c r="B777" s="225"/>
      <c r="C777" s="225"/>
      <c r="D777" s="225"/>
      <c r="E777" s="225"/>
      <c r="F777" s="22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</row>
    <row r="778">
      <c r="A778" s="225"/>
      <c r="B778" s="225"/>
      <c r="C778" s="225"/>
      <c r="D778" s="225"/>
      <c r="E778" s="225"/>
      <c r="F778" s="22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</row>
    <row r="779">
      <c r="A779" s="225"/>
      <c r="B779" s="225"/>
      <c r="C779" s="225"/>
      <c r="D779" s="225"/>
      <c r="E779" s="225"/>
      <c r="F779" s="22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</row>
    <row r="780">
      <c r="A780" s="225"/>
      <c r="B780" s="225"/>
      <c r="C780" s="225"/>
      <c r="D780" s="225"/>
      <c r="E780" s="225"/>
      <c r="F780" s="22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</row>
    <row r="781">
      <c r="A781" s="225"/>
      <c r="B781" s="225"/>
      <c r="C781" s="225"/>
      <c r="D781" s="225"/>
      <c r="E781" s="225"/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</row>
    <row r="782">
      <c r="A782" s="225"/>
      <c r="B782" s="225"/>
      <c r="C782" s="225"/>
      <c r="D782" s="225"/>
      <c r="E782" s="225"/>
      <c r="F782" s="22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</row>
    <row r="783">
      <c r="A783" s="225"/>
      <c r="B783" s="225"/>
      <c r="C783" s="225"/>
      <c r="D783" s="225"/>
      <c r="E783" s="225"/>
      <c r="F783" s="22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</row>
    <row r="784">
      <c r="A784" s="225"/>
      <c r="B784" s="225"/>
      <c r="C784" s="225"/>
      <c r="D784" s="225"/>
      <c r="E784" s="225"/>
      <c r="F784" s="22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</row>
    <row r="785">
      <c r="A785" s="225"/>
      <c r="B785" s="225"/>
      <c r="C785" s="225"/>
      <c r="D785" s="225"/>
      <c r="E785" s="225"/>
      <c r="F785" s="22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</row>
    <row r="786">
      <c r="A786" s="225"/>
      <c r="B786" s="225"/>
      <c r="C786" s="225"/>
      <c r="D786" s="225"/>
      <c r="E786" s="225"/>
      <c r="F786" s="22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</row>
    <row r="787">
      <c r="A787" s="225"/>
      <c r="B787" s="225"/>
      <c r="C787" s="225"/>
      <c r="D787" s="225"/>
      <c r="E787" s="225"/>
      <c r="F787" s="22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</row>
    <row r="788">
      <c r="A788" s="225"/>
      <c r="B788" s="225"/>
      <c r="C788" s="225"/>
      <c r="D788" s="225"/>
      <c r="E788" s="225"/>
      <c r="F788" s="22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</row>
    <row r="789">
      <c r="A789" s="225"/>
      <c r="B789" s="225"/>
      <c r="C789" s="225"/>
      <c r="D789" s="225"/>
      <c r="E789" s="225"/>
      <c r="F789" s="22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</row>
    <row r="790">
      <c r="A790" s="225"/>
      <c r="B790" s="225"/>
      <c r="C790" s="225"/>
      <c r="D790" s="225"/>
      <c r="E790" s="225"/>
      <c r="F790" s="22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</row>
    <row r="791">
      <c r="A791" s="225"/>
      <c r="B791" s="225"/>
      <c r="C791" s="225"/>
      <c r="D791" s="225"/>
      <c r="E791" s="225"/>
      <c r="F791" s="22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</row>
    <row r="792">
      <c r="A792" s="225"/>
      <c r="B792" s="225"/>
      <c r="C792" s="225"/>
      <c r="D792" s="225"/>
      <c r="E792" s="225"/>
      <c r="F792" s="22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</row>
    <row r="793">
      <c r="A793" s="225"/>
      <c r="B793" s="225"/>
      <c r="C793" s="225"/>
      <c r="D793" s="225"/>
      <c r="E793" s="225"/>
      <c r="F793" s="22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</row>
    <row r="794">
      <c r="A794" s="225"/>
      <c r="B794" s="225"/>
      <c r="C794" s="225"/>
      <c r="D794" s="225"/>
      <c r="E794" s="225"/>
      <c r="F794" s="22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</row>
    <row r="795">
      <c r="A795" s="225"/>
      <c r="B795" s="225"/>
      <c r="C795" s="225"/>
      <c r="D795" s="225"/>
      <c r="E795" s="225"/>
      <c r="F795" s="22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</row>
    <row r="796">
      <c r="A796" s="225"/>
      <c r="B796" s="225"/>
      <c r="C796" s="225"/>
      <c r="D796" s="225"/>
      <c r="E796" s="225"/>
      <c r="F796" s="22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</row>
    <row r="797">
      <c r="A797" s="225"/>
      <c r="B797" s="225"/>
      <c r="C797" s="225"/>
      <c r="D797" s="225"/>
      <c r="E797" s="225"/>
      <c r="F797" s="22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</row>
    <row r="798">
      <c r="A798" s="225"/>
      <c r="B798" s="225"/>
      <c r="C798" s="225"/>
      <c r="D798" s="225"/>
      <c r="E798" s="225"/>
      <c r="F798" s="22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</row>
    <row r="799">
      <c r="A799" s="225"/>
      <c r="B799" s="225"/>
      <c r="C799" s="225"/>
      <c r="D799" s="225"/>
      <c r="E799" s="225"/>
      <c r="F799" s="22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</row>
    <row r="800">
      <c r="A800" s="225"/>
      <c r="B800" s="225"/>
      <c r="C800" s="225"/>
      <c r="D800" s="225"/>
      <c r="E800" s="225"/>
      <c r="F800" s="22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</row>
    <row r="801">
      <c r="A801" s="225"/>
      <c r="B801" s="225"/>
      <c r="C801" s="225"/>
      <c r="D801" s="225"/>
      <c r="E801" s="225"/>
      <c r="F801" s="22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</row>
    <row r="802">
      <c r="A802" s="225"/>
      <c r="B802" s="225"/>
      <c r="C802" s="225"/>
      <c r="D802" s="225"/>
      <c r="E802" s="225"/>
      <c r="F802" s="22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</row>
    <row r="803">
      <c r="A803" s="225"/>
      <c r="B803" s="225"/>
      <c r="C803" s="225"/>
      <c r="D803" s="225"/>
      <c r="E803" s="225"/>
      <c r="F803" s="22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</row>
    <row r="804">
      <c r="A804" s="225"/>
      <c r="B804" s="225"/>
      <c r="C804" s="225"/>
      <c r="D804" s="225"/>
      <c r="E804" s="225"/>
      <c r="F804" s="22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</row>
    <row r="805">
      <c r="A805" s="225"/>
      <c r="B805" s="225"/>
      <c r="C805" s="225"/>
      <c r="D805" s="225"/>
      <c r="E805" s="225"/>
      <c r="F805" s="22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</row>
    <row r="806">
      <c r="A806" s="225"/>
      <c r="B806" s="225"/>
      <c r="C806" s="225"/>
      <c r="D806" s="225"/>
      <c r="E806" s="225"/>
      <c r="F806" s="22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</row>
    <row r="807">
      <c r="A807" s="225"/>
      <c r="B807" s="225"/>
      <c r="C807" s="225"/>
      <c r="D807" s="225"/>
      <c r="E807" s="225"/>
      <c r="F807" s="22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</row>
    <row r="808">
      <c r="A808" s="225"/>
      <c r="B808" s="225"/>
      <c r="C808" s="225"/>
      <c r="D808" s="225"/>
      <c r="E808" s="225"/>
      <c r="F808" s="22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</row>
    <row r="809">
      <c r="A809" s="225"/>
      <c r="B809" s="225"/>
      <c r="C809" s="225"/>
      <c r="D809" s="225"/>
      <c r="E809" s="225"/>
      <c r="F809" s="22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</row>
    <row r="810">
      <c r="A810" s="225"/>
      <c r="B810" s="225"/>
      <c r="C810" s="225"/>
      <c r="D810" s="225"/>
      <c r="E810" s="225"/>
      <c r="F810" s="22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</row>
    <row r="811">
      <c r="A811" s="225"/>
      <c r="B811" s="225"/>
      <c r="C811" s="225"/>
      <c r="D811" s="225"/>
      <c r="E811" s="225"/>
      <c r="F811" s="22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</row>
    <row r="812">
      <c r="A812" s="225"/>
      <c r="B812" s="225"/>
      <c r="C812" s="225"/>
      <c r="D812" s="225"/>
      <c r="E812" s="225"/>
      <c r="F812" s="22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</row>
    <row r="813">
      <c r="A813" s="225"/>
      <c r="B813" s="225"/>
      <c r="C813" s="225"/>
      <c r="D813" s="225"/>
      <c r="E813" s="225"/>
      <c r="F813" s="22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</row>
    <row r="814">
      <c r="A814" s="225"/>
      <c r="B814" s="225"/>
      <c r="C814" s="225"/>
      <c r="D814" s="225"/>
      <c r="E814" s="225"/>
      <c r="F814" s="22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</row>
    <row r="815">
      <c r="A815" s="225"/>
      <c r="B815" s="225"/>
      <c r="C815" s="225"/>
      <c r="D815" s="225"/>
      <c r="E815" s="225"/>
      <c r="F815" s="22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</row>
    <row r="816">
      <c r="A816" s="225"/>
      <c r="B816" s="225"/>
      <c r="C816" s="225"/>
      <c r="D816" s="225"/>
      <c r="E816" s="225"/>
      <c r="F816" s="22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</row>
    <row r="817">
      <c r="A817" s="225"/>
      <c r="B817" s="225"/>
      <c r="C817" s="225"/>
      <c r="D817" s="225"/>
      <c r="E817" s="225"/>
      <c r="F817" s="22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</row>
    <row r="818">
      <c r="A818" s="225"/>
      <c r="B818" s="225"/>
      <c r="C818" s="225"/>
      <c r="D818" s="225"/>
      <c r="E818" s="225"/>
      <c r="F818" s="22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</row>
    <row r="819">
      <c r="A819" s="225"/>
      <c r="B819" s="225"/>
      <c r="C819" s="225"/>
      <c r="D819" s="225"/>
      <c r="E819" s="225"/>
      <c r="F819" s="22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</row>
    <row r="820">
      <c r="A820" s="225"/>
      <c r="B820" s="225"/>
      <c r="C820" s="225"/>
      <c r="D820" s="225"/>
      <c r="E820" s="225"/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</row>
    <row r="821">
      <c r="A821" s="225"/>
      <c r="B821" s="225"/>
      <c r="C821" s="225"/>
      <c r="D821" s="225"/>
      <c r="E821" s="225"/>
      <c r="F821" s="22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</row>
    <row r="822">
      <c r="A822" s="225"/>
      <c r="B822" s="225"/>
      <c r="C822" s="225"/>
      <c r="D822" s="225"/>
      <c r="E822" s="225"/>
      <c r="F822" s="22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</row>
    <row r="823">
      <c r="A823" s="225"/>
      <c r="B823" s="225"/>
      <c r="C823" s="225"/>
      <c r="D823" s="225"/>
      <c r="E823" s="225"/>
      <c r="F823" s="22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</row>
    <row r="824">
      <c r="A824" s="225"/>
      <c r="B824" s="225"/>
      <c r="C824" s="225"/>
      <c r="D824" s="225"/>
      <c r="E824" s="225"/>
      <c r="F824" s="22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</row>
    <row r="825">
      <c r="A825" s="225"/>
      <c r="B825" s="225"/>
      <c r="C825" s="225"/>
      <c r="D825" s="225"/>
      <c r="E825" s="225"/>
      <c r="F825" s="22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</row>
    <row r="826">
      <c r="A826" s="225"/>
      <c r="B826" s="225"/>
      <c r="C826" s="225"/>
      <c r="D826" s="225"/>
      <c r="E826" s="225"/>
      <c r="F826" s="22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</row>
    <row r="827">
      <c r="A827" s="225"/>
      <c r="B827" s="225"/>
      <c r="C827" s="225"/>
      <c r="D827" s="225"/>
      <c r="E827" s="225"/>
      <c r="F827" s="22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</row>
    <row r="828">
      <c r="A828" s="225"/>
      <c r="B828" s="225"/>
      <c r="C828" s="225"/>
      <c r="D828" s="225"/>
      <c r="E828" s="225"/>
      <c r="F828" s="22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</row>
    <row r="829">
      <c r="A829" s="225"/>
      <c r="B829" s="225"/>
      <c r="C829" s="225"/>
      <c r="D829" s="225"/>
      <c r="E829" s="225"/>
      <c r="F829" s="22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</row>
    <row r="830">
      <c r="A830" s="225"/>
      <c r="B830" s="225"/>
      <c r="C830" s="225"/>
      <c r="D830" s="225"/>
      <c r="E830" s="225"/>
      <c r="F830" s="22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</row>
    <row r="831">
      <c r="A831" s="225"/>
      <c r="B831" s="225"/>
      <c r="C831" s="225"/>
      <c r="D831" s="225"/>
      <c r="E831" s="225"/>
      <c r="F831" s="22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</row>
    <row r="832">
      <c r="A832" s="225"/>
      <c r="B832" s="225"/>
      <c r="C832" s="225"/>
      <c r="D832" s="225"/>
      <c r="E832" s="225"/>
      <c r="F832" s="22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</row>
    <row r="833">
      <c r="A833" s="225"/>
      <c r="B833" s="225"/>
      <c r="C833" s="225"/>
      <c r="D833" s="225"/>
      <c r="E833" s="225"/>
      <c r="F833" s="22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</row>
    <row r="834">
      <c r="A834" s="225"/>
      <c r="B834" s="225"/>
      <c r="C834" s="225"/>
      <c r="D834" s="225"/>
      <c r="E834" s="225"/>
      <c r="F834" s="22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</row>
    <row r="835">
      <c r="A835" s="225"/>
      <c r="B835" s="225"/>
      <c r="C835" s="225"/>
      <c r="D835" s="225"/>
      <c r="E835" s="225"/>
      <c r="F835" s="22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</row>
    <row r="836">
      <c r="A836" s="225"/>
      <c r="B836" s="225"/>
      <c r="C836" s="225"/>
      <c r="D836" s="225"/>
      <c r="E836" s="225"/>
      <c r="F836" s="22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</row>
    <row r="837">
      <c r="A837" s="225"/>
      <c r="B837" s="225"/>
      <c r="C837" s="225"/>
      <c r="D837" s="225"/>
      <c r="E837" s="225"/>
      <c r="F837" s="22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</row>
    <row r="838">
      <c r="A838" s="225"/>
      <c r="B838" s="225"/>
      <c r="C838" s="225"/>
      <c r="D838" s="225"/>
      <c r="E838" s="225"/>
      <c r="F838" s="22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</row>
    <row r="839">
      <c r="A839" s="225"/>
      <c r="B839" s="225"/>
      <c r="C839" s="225"/>
      <c r="D839" s="225"/>
      <c r="E839" s="225"/>
      <c r="F839" s="22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</row>
    <row r="840">
      <c r="A840" s="225"/>
      <c r="B840" s="225"/>
      <c r="C840" s="225"/>
      <c r="D840" s="225"/>
      <c r="E840" s="225"/>
      <c r="F840" s="22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</row>
    <row r="841">
      <c r="A841" s="225"/>
      <c r="B841" s="225"/>
      <c r="C841" s="225"/>
      <c r="D841" s="225"/>
      <c r="E841" s="225"/>
      <c r="F841" s="22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</row>
    <row r="842">
      <c r="A842" s="225"/>
      <c r="B842" s="225"/>
      <c r="C842" s="225"/>
      <c r="D842" s="225"/>
      <c r="E842" s="225"/>
      <c r="F842" s="22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</row>
    <row r="843">
      <c r="A843" s="225"/>
      <c r="B843" s="225"/>
      <c r="C843" s="225"/>
      <c r="D843" s="225"/>
      <c r="E843" s="225"/>
      <c r="F843" s="22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</row>
    <row r="844">
      <c r="A844" s="225"/>
      <c r="B844" s="225"/>
      <c r="C844" s="225"/>
      <c r="D844" s="225"/>
      <c r="E844" s="225"/>
      <c r="F844" s="22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</row>
    <row r="845">
      <c r="A845" s="225"/>
      <c r="B845" s="225"/>
      <c r="C845" s="225"/>
      <c r="D845" s="225"/>
      <c r="E845" s="225"/>
      <c r="F845" s="22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</row>
    <row r="846">
      <c r="A846" s="225"/>
      <c r="B846" s="225"/>
      <c r="C846" s="225"/>
      <c r="D846" s="225"/>
      <c r="E846" s="225"/>
      <c r="F846" s="22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</row>
    <row r="847">
      <c r="A847" s="225"/>
      <c r="B847" s="225"/>
      <c r="C847" s="225"/>
      <c r="D847" s="225"/>
      <c r="E847" s="225"/>
      <c r="F847" s="22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</row>
    <row r="848">
      <c r="A848" s="225"/>
      <c r="B848" s="225"/>
      <c r="C848" s="225"/>
      <c r="D848" s="225"/>
      <c r="E848" s="225"/>
      <c r="F848" s="22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</row>
    <row r="849">
      <c r="A849" s="225"/>
      <c r="B849" s="225"/>
      <c r="C849" s="225"/>
      <c r="D849" s="225"/>
      <c r="E849" s="225"/>
      <c r="F849" s="22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</row>
    <row r="850">
      <c r="A850" s="225"/>
      <c r="B850" s="225"/>
      <c r="C850" s="225"/>
      <c r="D850" s="225"/>
      <c r="E850" s="225"/>
      <c r="F850" s="22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</row>
    <row r="851">
      <c r="A851" s="225"/>
      <c r="B851" s="225"/>
      <c r="C851" s="225"/>
      <c r="D851" s="225"/>
      <c r="E851" s="225"/>
      <c r="F851" s="22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</row>
    <row r="852">
      <c r="A852" s="225"/>
      <c r="B852" s="225"/>
      <c r="C852" s="225"/>
      <c r="D852" s="225"/>
      <c r="E852" s="225"/>
      <c r="F852" s="22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</row>
    <row r="853">
      <c r="A853" s="225"/>
      <c r="B853" s="225"/>
      <c r="C853" s="225"/>
      <c r="D853" s="225"/>
      <c r="E853" s="225"/>
      <c r="F853" s="22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</row>
    <row r="854">
      <c r="A854" s="225"/>
      <c r="B854" s="225"/>
      <c r="C854" s="225"/>
      <c r="D854" s="225"/>
      <c r="E854" s="225"/>
      <c r="F854" s="22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</row>
    <row r="855">
      <c r="A855" s="225"/>
      <c r="B855" s="225"/>
      <c r="C855" s="225"/>
      <c r="D855" s="225"/>
      <c r="E855" s="225"/>
      <c r="F855" s="22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</row>
    <row r="856">
      <c r="A856" s="225"/>
      <c r="B856" s="225"/>
      <c r="C856" s="225"/>
      <c r="D856" s="225"/>
      <c r="E856" s="225"/>
      <c r="F856" s="22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</row>
    <row r="857">
      <c r="A857" s="225"/>
      <c r="B857" s="225"/>
      <c r="C857" s="225"/>
      <c r="D857" s="225"/>
      <c r="E857" s="225"/>
      <c r="F857" s="22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</row>
    <row r="858">
      <c r="A858" s="225"/>
      <c r="B858" s="225"/>
      <c r="C858" s="225"/>
      <c r="D858" s="225"/>
      <c r="E858" s="225"/>
      <c r="F858" s="22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</row>
    <row r="859">
      <c r="A859" s="225"/>
      <c r="B859" s="225"/>
      <c r="C859" s="225"/>
      <c r="D859" s="225"/>
      <c r="E859" s="225"/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</row>
    <row r="860">
      <c r="A860" s="225"/>
      <c r="B860" s="225"/>
      <c r="C860" s="225"/>
      <c r="D860" s="225"/>
      <c r="E860" s="225"/>
      <c r="F860" s="22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</row>
    <row r="861">
      <c r="A861" s="225"/>
      <c r="B861" s="225"/>
      <c r="C861" s="225"/>
      <c r="D861" s="225"/>
      <c r="E861" s="225"/>
      <c r="F861" s="22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</row>
    <row r="862">
      <c r="A862" s="225"/>
      <c r="B862" s="225"/>
      <c r="C862" s="225"/>
      <c r="D862" s="225"/>
      <c r="E862" s="225"/>
      <c r="F862" s="22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</row>
    <row r="863">
      <c r="A863" s="225"/>
      <c r="B863" s="225"/>
      <c r="C863" s="225"/>
      <c r="D863" s="225"/>
      <c r="E863" s="225"/>
      <c r="F863" s="22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</row>
    <row r="864">
      <c r="A864" s="225"/>
      <c r="B864" s="225"/>
      <c r="C864" s="225"/>
      <c r="D864" s="225"/>
      <c r="E864" s="225"/>
      <c r="F864" s="22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</row>
    <row r="865">
      <c r="A865" s="225"/>
      <c r="B865" s="225"/>
      <c r="C865" s="225"/>
      <c r="D865" s="225"/>
      <c r="E865" s="225"/>
      <c r="F865" s="22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</row>
    <row r="866">
      <c r="A866" s="225"/>
      <c r="B866" s="225"/>
      <c r="C866" s="225"/>
      <c r="D866" s="225"/>
      <c r="E866" s="225"/>
      <c r="F866" s="22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</row>
    <row r="867">
      <c r="A867" s="225"/>
      <c r="B867" s="225"/>
      <c r="C867" s="225"/>
      <c r="D867" s="225"/>
      <c r="E867" s="225"/>
      <c r="F867" s="22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</row>
    <row r="868">
      <c r="A868" s="225"/>
      <c r="B868" s="225"/>
      <c r="C868" s="225"/>
      <c r="D868" s="225"/>
      <c r="E868" s="225"/>
      <c r="F868" s="22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</row>
    <row r="869">
      <c r="A869" s="225"/>
      <c r="B869" s="225"/>
      <c r="C869" s="225"/>
      <c r="D869" s="225"/>
      <c r="E869" s="225"/>
      <c r="F869" s="22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</row>
    <row r="870">
      <c r="A870" s="225"/>
      <c r="B870" s="225"/>
      <c r="C870" s="225"/>
      <c r="D870" s="225"/>
      <c r="E870" s="225"/>
      <c r="F870" s="22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</row>
    <row r="871">
      <c r="A871" s="225"/>
      <c r="B871" s="225"/>
      <c r="C871" s="225"/>
      <c r="D871" s="225"/>
      <c r="E871" s="225"/>
      <c r="F871" s="22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</row>
    <row r="872">
      <c r="A872" s="225"/>
      <c r="B872" s="225"/>
      <c r="C872" s="225"/>
      <c r="D872" s="225"/>
      <c r="E872" s="225"/>
      <c r="F872" s="22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</row>
    <row r="873">
      <c r="A873" s="225"/>
      <c r="B873" s="225"/>
      <c r="C873" s="225"/>
      <c r="D873" s="225"/>
      <c r="E873" s="225"/>
      <c r="F873" s="22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</row>
    <row r="874">
      <c r="A874" s="225"/>
      <c r="B874" s="225"/>
      <c r="C874" s="225"/>
      <c r="D874" s="225"/>
      <c r="E874" s="225"/>
      <c r="F874" s="22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</row>
    <row r="875">
      <c r="A875" s="225"/>
      <c r="B875" s="225"/>
      <c r="C875" s="225"/>
      <c r="D875" s="225"/>
      <c r="E875" s="225"/>
      <c r="F875" s="22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</row>
    <row r="876">
      <c r="A876" s="225"/>
      <c r="B876" s="225"/>
      <c r="C876" s="225"/>
      <c r="D876" s="225"/>
      <c r="E876" s="225"/>
      <c r="F876" s="22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</row>
    <row r="877">
      <c r="A877" s="225"/>
      <c r="B877" s="225"/>
      <c r="C877" s="225"/>
      <c r="D877" s="225"/>
      <c r="E877" s="225"/>
      <c r="F877" s="22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</row>
    <row r="878">
      <c r="A878" s="225"/>
      <c r="B878" s="225"/>
      <c r="C878" s="225"/>
      <c r="D878" s="225"/>
      <c r="E878" s="225"/>
      <c r="F878" s="22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</row>
    <row r="879">
      <c r="A879" s="225"/>
      <c r="B879" s="225"/>
      <c r="C879" s="225"/>
      <c r="D879" s="225"/>
      <c r="E879" s="225"/>
      <c r="F879" s="22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</row>
    <row r="880">
      <c r="A880" s="225"/>
      <c r="B880" s="225"/>
      <c r="C880" s="225"/>
      <c r="D880" s="225"/>
      <c r="E880" s="225"/>
      <c r="F880" s="22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</row>
    <row r="881">
      <c r="A881" s="225"/>
      <c r="B881" s="225"/>
      <c r="C881" s="225"/>
      <c r="D881" s="225"/>
      <c r="E881" s="225"/>
      <c r="F881" s="22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</row>
    <row r="882">
      <c r="A882" s="225"/>
      <c r="B882" s="225"/>
      <c r="C882" s="225"/>
      <c r="D882" s="225"/>
      <c r="E882" s="225"/>
      <c r="F882" s="22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</row>
    <row r="883">
      <c r="A883" s="225"/>
      <c r="B883" s="225"/>
      <c r="C883" s="225"/>
      <c r="D883" s="225"/>
      <c r="E883" s="225"/>
      <c r="F883" s="22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</row>
    <row r="884">
      <c r="A884" s="225"/>
      <c r="B884" s="225"/>
      <c r="C884" s="225"/>
      <c r="D884" s="225"/>
      <c r="E884" s="225"/>
      <c r="F884" s="22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</row>
    <row r="885">
      <c r="A885" s="225"/>
      <c r="B885" s="225"/>
      <c r="C885" s="225"/>
      <c r="D885" s="225"/>
      <c r="E885" s="225"/>
      <c r="F885" s="22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</row>
    <row r="886">
      <c r="A886" s="225"/>
      <c r="B886" s="225"/>
      <c r="C886" s="225"/>
      <c r="D886" s="225"/>
      <c r="E886" s="225"/>
      <c r="F886" s="22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</row>
    <row r="887">
      <c r="A887" s="225"/>
      <c r="B887" s="225"/>
      <c r="C887" s="225"/>
      <c r="D887" s="225"/>
      <c r="E887" s="225"/>
      <c r="F887" s="22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</row>
    <row r="888">
      <c r="A888" s="225"/>
      <c r="B888" s="225"/>
      <c r="C888" s="225"/>
      <c r="D888" s="225"/>
      <c r="E888" s="225"/>
      <c r="F888" s="22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</row>
    <row r="889">
      <c r="A889" s="225"/>
      <c r="B889" s="225"/>
      <c r="C889" s="225"/>
      <c r="D889" s="225"/>
      <c r="E889" s="225"/>
      <c r="F889" s="22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</row>
    <row r="890">
      <c r="A890" s="225"/>
      <c r="B890" s="225"/>
      <c r="C890" s="225"/>
      <c r="D890" s="225"/>
      <c r="E890" s="225"/>
      <c r="F890" s="22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</row>
    <row r="891">
      <c r="A891" s="225"/>
      <c r="B891" s="225"/>
      <c r="C891" s="225"/>
      <c r="D891" s="225"/>
      <c r="E891" s="225"/>
      <c r="F891" s="22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</row>
    <row r="892">
      <c r="A892" s="225"/>
      <c r="B892" s="225"/>
      <c r="C892" s="225"/>
      <c r="D892" s="225"/>
      <c r="E892" s="225"/>
      <c r="F892" s="22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</row>
    <row r="893">
      <c r="A893" s="225"/>
      <c r="B893" s="225"/>
      <c r="C893" s="225"/>
      <c r="D893" s="225"/>
      <c r="E893" s="225"/>
      <c r="F893" s="22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</row>
    <row r="894">
      <c r="A894" s="225"/>
      <c r="B894" s="225"/>
      <c r="C894" s="225"/>
      <c r="D894" s="225"/>
      <c r="E894" s="225"/>
      <c r="F894" s="22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</row>
    <row r="895">
      <c r="A895" s="225"/>
      <c r="B895" s="225"/>
      <c r="C895" s="225"/>
      <c r="D895" s="225"/>
      <c r="E895" s="225"/>
      <c r="F895" s="22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</row>
    <row r="896">
      <c r="A896" s="225"/>
      <c r="B896" s="225"/>
      <c r="C896" s="225"/>
      <c r="D896" s="225"/>
      <c r="E896" s="225"/>
      <c r="F896" s="22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</row>
    <row r="897">
      <c r="A897" s="225"/>
      <c r="B897" s="225"/>
      <c r="C897" s="225"/>
      <c r="D897" s="225"/>
      <c r="E897" s="225"/>
      <c r="F897" s="22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</row>
    <row r="898">
      <c r="A898" s="225"/>
      <c r="B898" s="225"/>
      <c r="C898" s="225"/>
      <c r="D898" s="225"/>
      <c r="E898" s="225"/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</row>
    <row r="899">
      <c r="A899" s="225"/>
      <c r="B899" s="225"/>
      <c r="C899" s="225"/>
      <c r="D899" s="225"/>
      <c r="E899" s="225"/>
      <c r="F899" s="22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</row>
    <row r="900">
      <c r="A900" s="225"/>
      <c r="B900" s="225"/>
      <c r="C900" s="225"/>
      <c r="D900" s="225"/>
      <c r="E900" s="225"/>
      <c r="F900" s="22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</row>
    <row r="901">
      <c r="A901" s="225"/>
      <c r="B901" s="225"/>
      <c r="C901" s="225"/>
      <c r="D901" s="225"/>
      <c r="E901" s="225"/>
      <c r="F901" s="22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</row>
    <row r="902">
      <c r="A902" s="225"/>
      <c r="B902" s="225"/>
      <c r="C902" s="225"/>
      <c r="D902" s="225"/>
      <c r="E902" s="225"/>
      <c r="F902" s="22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</row>
    <row r="903">
      <c r="A903" s="225"/>
      <c r="B903" s="225"/>
      <c r="C903" s="225"/>
      <c r="D903" s="225"/>
      <c r="E903" s="225"/>
      <c r="F903" s="22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</row>
    <row r="904">
      <c r="A904" s="225"/>
      <c r="B904" s="225"/>
      <c r="C904" s="225"/>
      <c r="D904" s="225"/>
      <c r="E904" s="225"/>
      <c r="F904" s="22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</row>
    <row r="905">
      <c r="A905" s="225"/>
      <c r="B905" s="225"/>
      <c r="C905" s="225"/>
      <c r="D905" s="225"/>
      <c r="E905" s="225"/>
      <c r="F905" s="22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</row>
    <row r="906">
      <c r="A906" s="225"/>
      <c r="B906" s="225"/>
      <c r="C906" s="225"/>
      <c r="D906" s="225"/>
      <c r="E906" s="225"/>
      <c r="F906" s="22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</row>
    <row r="907">
      <c r="A907" s="225"/>
      <c r="B907" s="225"/>
      <c r="C907" s="225"/>
      <c r="D907" s="225"/>
      <c r="E907" s="225"/>
      <c r="F907" s="22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</row>
    <row r="908">
      <c r="A908" s="225"/>
      <c r="B908" s="225"/>
      <c r="C908" s="225"/>
      <c r="D908" s="225"/>
      <c r="E908" s="225"/>
      <c r="F908" s="22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</row>
    <row r="909">
      <c r="A909" s="225"/>
      <c r="B909" s="225"/>
      <c r="C909" s="225"/>
      <c r="D909" s="225"/>
      <c r="E909" s="225"/>
      <c r="F909" s="22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</row>
    <row r="910">
      <c r="A910" s="225"/>
      <c r="B910" s="225"/>
      <c r="C910" s="225"/>
      <c r="D910" s="225"/>
      <c r="E910" s="225"/>
      <c r="F910" s="22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</row>
    <row r="911">
      <c r="A911" s="225"/>
      <c r="B911" s="225"/>
      <c r="C911" s="225"/>
      <c r="D911" s="225"/>
      <c r="E911" s="225"/>
      <c r="F911" s="22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</row>
    <row r="912">
      <c r="A912" s="225"/>
      <c r="B912" s="225"/>
      <c r="C912" s="225"/>
      <c r="D912" s="225"/>
      <c r="E912" s="225"/>
      <c r="F912" s="22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</row>
    <row r="913">
      <c r="A913" s="225"/>
      <c r="B913" s="225"/>
      <c r="C913" s="225"/>
      <c r="D913" s="225"/>
      <c r="E913" s="225"/>
      <c r="F913" s="22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</row>
    <row r="914">
      <c r="A914" s="225"/>
      <c r="B914" s="225"/>
      <c r="C914" s="225"/>
      <c r="D914" s="225"/>
      <c r="E914" s="225"/>
      <c r="F914" s="22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</row>
    <row r="915">
      <c r="A915" s="225"/>
      <c r="B915" s="225"/>
      <c r="C915" s="225"/>
      <c r="D915" s="225"/>
      <c r="E915" s="225"/>
      <c r="F915" s="22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</row>
    <row r="916">
      <c r="A916" s="225"/>
      <c r="B916" s="225"/>
      <c r="C916" s="225"/>
      <c r="D916" s="225"/>
      <c r="E916" s="225"/>
      <c r="F916" s="22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</row>
    <row r="917">
      <c r="A917" s="225"/>
      <c r="B917" s="225"/>
      <c r="C917" s="225"/>
      <c r="D917" s="225"/>
      <c r="E917" s="225"/>
      <c r="F917" s="22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</row>
    <row r="918">
      <c r="A918" s="225"/>
      <c r="B918" s="225"/>
      <c r="C918" s="225"/>
      <c r="D918" s="225"/>
      <c r="E918" s="225"/>
      <c r="F918" s="22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</row>
    <row r="919">
      <c r="A919" s="225"/>
      <c r="B919" s="225"/>
      <c r="C919" s="225"/>
      <c r="D919" s="225"/>
      <c r="E919" s="225"/>
      <c r="F919" s="22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</row>
    <row r="920">
      <c r="A920" s="225"/>
      <c r="B920" s="225"/>
      <c r="C920" s="225"/>
      <c r="D920" s="225"/>
      <c r="E920" s="225"/>
      <c r="F920" s="22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</row>
    <row r="921">
      <c r="A921" s="225"/>
      <c r="B921" s="225"/>
      <c r="C921" s="225"/>
      <c r="D921" s="225"/>
      <c r="E921" s="225"/>
      <c r="F921" s="22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</row>
    <row r="922">
      <c r="A922" s="225"/>
      <c r="B922" s="225"/>
      <c r="C922" s="225"/>
      <c r="D922" s="225"/>
      <c r="E922" s="225"/>
      <c r="F922" s="22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</row>
    <row r="923">
      <c r="A923" s="225"/>
      <c r="B923" s="225"/>
      <c r="C923" s="225"/>
      <c r="D923" s="225"/>
      <c r="E923" s="225"/>
      <c r="F923" s="22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</row>
    <row r="924">
      <c r="A924" s="225"/>
      <c r="B924" s="225"/>
      <c r="C924" s="225"/>
      <c r="D924" s="225"/>
      <c r="E924" s="225"/>
      <c r="F924" s="22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</row>
    <row r="925">
      <c r="A925" s="225"/>
      <c r="B925" s="225"/>
      <c r="C925" s="225"/>
      <c r="D925" s="225"/>
      <c r="E925" s="225"/>
      <c r="F925" s="22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</row>
    <row r="926">
      <c r="A926" s="225"/>
      <c r="B926" s="225"/>
      <c r="C926" s="225"/>
      <c r="D926" s="225"/>
      <c r="E926" s="225"/>
      <c r="F926" s="22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</row>
    <row r="927">
      <c r="A927" s="225"/>
      <c r="B927" s="225"/>
      <c r="C927" s="225"/>
      <c r="D927" s="225"/>
      <c r="E927" s="225"/>
      <c r="F927" s="22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</row>
    <row r="928">
      <c r="A928" s="225"/>
      <c r="B928" s="225"/>
      <c r="C928" s="225"/>
      <c r="D928" s="225"/>
      <c r="E928" s="225"/>
      <c r="F928" s="22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</row>
    <row r="929">
      <c r="A929" s="225"/>
      <c r="B929" s="225"/>
      <c r="C929" s="225"/>
      <c r="D929" s="225"/>
      <c r="E929" s="225"/>
      <c r="F929" s="22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</row>
    <row r="930">
      <c r="A930" s="225"/>
      <c r="B930" s="225"/>
      <c r="C930" s="225"/>
      <c r="D930" s="225"/>
      <c r="E930" s="225"/>
      <c r="F930" s="22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</row>
    <row r="931">
      <c r="A931" s="225"/>
      <c r="B931" s="225"/>
      <c r="C931" s="225"/>
      <c r="D931" s="225"/>
      <c r="E931" s="225"/>
      <c r="F931" s="22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</row>
    <row r="932">
      <c r="A932" s="225"/>
      <c r="B932" s="225"/>
      <c r="C932" s="225"/>
      <c r="D932" s="225"/>
      <c r="E932" s="225"/>
      <c r="F932" s="22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</row>
    <row r="933">
      <c r="A933" s="225"/>
      <c r="B933" s="225"/>
      <c r="C933" s="225"/>
      <c r="D933" s="225"/>
      <c r="E933" s="225"/>
      <c r="F933" s="22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</row>
    <row r="934">
      <c r="A934" s="225"/>
      <c r="B934" s="225"/>
      <c r="C934" s="225"/>
      <c r="D934" s="225"/>
      <c r="E934" s="225"/>
      <c r="F934" s="22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</row>
    <row r="935">
      <c r="A935" s="225"/>
      <c r="B935" s="225"/>
      <c r="C935" s="225"/>
      <c r="D935" s="225"/>
      <c r="E935" s="225"/>
      <c r="F935" s="22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</row>
    <row r="936">
      <c r="A936" s="225"/>
      <c r="B936" s="225"/>
      <c r="C936" s="225"/>
      <c r="D936" s="225"/>
      <c r="E936" s="225"/>
      <c r="F936" s="22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</row>
    <row r="937">
      <c r="A937" s="225"/>
      <c r="B937" s="225"/>
      <c r="C937" s="225"/>
      <c r="D937" s="225"/>
      <c r="E937" s="225"/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</row>
    <row r="938">
      <c r="A938" s="225"/>
      <c r="B938" s="225"/>
      <c r="C938" s="225"/>
      <c r="D938" s="225"/>
      <c r="E938" s="225"/>
      <c r="F938" s="22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</row>
    <row r="939">
      <c r="A939" s="225"/>
      <c r="B939" s="225"/>
      <c r="C939" s="225"/>
      <c r="D939" s="225"/>
      <c r="E939" s="225"/>
      <c r="F939" s="22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</row>
    <row r="940">
      <c r="A940" s="225"/>
      <c r="B940" s="225"/>
      <c r="C940" s="225"/>
      <c r="D940" s="225"/>
      <c r="E940" s="225"/>
      <c r="F940" s="22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</row>
    <row r="941">
      <c r="A941" s="225"/>
      <c r="B941" s="225"/>
      <c r="C941" s="225"/>
      <c r="D941" s="225"/>
      <c r="E941" s="225"/>
      <c r="F941" s="22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</row>
    <row r="942">
      <c r="A942" s="225"/>
      <c r="B942" s="225"/>
      <c r="C942" s="225"/>
      <c r="D942" s="225"/>
      <c r="E942" s="225"/>
      <c r="F942" s="22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</row>
    <row r="943">
      <c r="A943" s="225"/>
      <c r="B943" s="225"/>
      <c r="C943" s="225"/>
      <c r="D943" s="225"/>
      <c r="E943" s="225"/>
      <c r="F943" s="22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</row>
    <row r="944">
      <c r="A944" s="225"/>
      <c r="B944" s="225"/>
      <c r="C944" s="225"/>
      <c r="D944" s="225"/>
      <c r="E944" s="225"/>
      <c r="F944" s="22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</row>
    <row r="945">
      <c r="A945" s="225"/>
      <c r="B945" s="225"/>
      <c r="C945" s="225"/>
      <c r="D945" s="225"/>
      <c r="E945" s="225"/>
      <c r="F945" s="22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</row>
    <row r="946">
      <c r="A946" s="225"/>
      <c r="B946" s="225"/>
      <c r="C946" s="225"/>
      <c r="D946" s="225"/>
      <c r="E946" s="225"/>
      <c r="F946" s="22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</row>
    <row r="947">
      <c r="A947" s="225"/>
      <c r="B947" s="225"/>
      <c r="C947" s="225"/>
      <c r="D947" s="225"/>
      <c r="E947" s="225"/>
      <c r="F947" s="22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</row>
    <row r="948">
      <c r="A948" s="225"/>
      <c r="B948" s="225"/>
      <c r="C948" s="225"/>
      <c r="D948" s="225"/>
      <c r="E948" s="225"/>
      <c r="F948" s="22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</row>
    <row r="949">
      <c r="A949" s="225"/>
      <c r="B949" s="225"/>
      <c r="C949" s="225"/>
      <c r="D949" s="225"/>
      <c r="E949" s="225"/>
      <c r="F949" s="22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</row>
    <row r="950">
      <c r="A950" s="225"/>
      <c r="B950" s="225"/>
      <c r="C950" s="225"/>
      <c r="D950" s="225"/>
      <c r="E950" s="225"/>
      <c r="F950" s="22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</row>
    <row r="951">
      <c r="A951" s="225"/>
      <c r="B951" s="225"/>
      <c r="C951" s="225"/>
      <c r="D951" s="225"/>
      <c r="E951" s="225"/>
      <c r="F951" s="22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</row>
    <row r="952">
      <c r="A952" s="225"/>
      <c r="B952" s="225"/>
      <c r="C952" s="225"/>
      <c r="D952" s="225"/>
      <c r="E952" s="225"/>
      <c r="F952" s="22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</row>
    <row r="953">
      <c r="A953" s="225"/>
      <c r="B953" s="225"/>
      <c r="C953" s="225"/>
      <c r="D953" s="225"/>
      <c r="E953" s="225"/>
      <c r="F953" s="22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</row>
    <row r="954">
      <c r="A954" s="225"/>
      <c r="B954" s="225"/>
      <c r="C954" s="225"/>
      <c r="D954" s="225"/>
      <c r="E954" s="225"/>
      <c r="F954" s="22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</row>
    <row r="955">
      <c r="A955" s="225"/>
      <c r="B955" s="225"/>
      <c r="C955" s="225"/>
      <c r="D955" s="225"/>
      <c r="E955" s="225"/>
      <c r="F955" s="22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</row>
    <row r="956">
      <c r="A956" s="225"/>
      <c r="B956" s="225"/>
      <c r="C956" s="225"/>
      <c r="D956" s="225"/>
      <c r="E956" s="225"/>
      <c r="F956" s="22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</row>
    <row r="957">
      <c r="A957" s="225"/>
      <c r="B957" s="225"/>
      <c r="C957" s="225"/>
      <c r="D957" s="225"/>
      <c r="E957" s="225"/>
      <c r="F957" s="22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</row>
    <row r="958">
      <c r="A958" s="225"/>
      <c r="B958" s="225"/>
      <c r="C958" s="225"/>
      <c r="D958" s="225"/>
      <c r="E958" s="225"/>
      <c r="F958" s="22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</row>
    <row r="959">
      <c r="A959" s="225"/>
      <c r="B959" s="225"/>
      <c r="C959" s="225"/>
      <c r="D959" s="225"/>
      <c r="E959" s="225"/>
      <c r="F959" s="22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</row>
    <row r="960">
      <c r="A960" s="225"/>
      <c r="B960" s="225"/>
      <c r="C960" s="225"/>
      <c r="D960" s="225"/>
      <c r="E960" s="225"/>
      <c r="F960" s="22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</row>
    <row r="961">
      <c r="A961" s="225"/>
      <c r="B961" s="225"/>
      <c r="C961" s="225"/>
      <c r="D961" s="225"/>
      <c r="E961" s="225"/>
      <c r="F961" s="22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</row>
    <row r="962">
      <c r="A962" s="225"/>
      <c r="B962" s="225"/>
      <c r="C962" s="225"/>
      <c r="D962" s="225"/>
      <c r="E962" s="225"/>
      <c r="F962" s="22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</row>
    <row r="963">
      <c r="A963" s="225"/>
      <c r="B963" s="225"/>
      <c r="C963" s="225"/>
      <c r="D963" s="225"/>
      <c r="E963" s="225"/>
      <c r="F963" s="22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</row>
    <row r="964">
      <c r="A964" s="225"/>
      <c r="B964" s="225"/>
      <c r="C964" s="225"/>
      <c r="D964" s="225"/>
      <c r="E964" s="225"/>
      <c r="F964" s="22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</row>
    <row r="965">
      <c r="A965" s="225"/>
      <c r="B965" s="225"/>
      <c r="C965" s="225"/>
      <c r="D965" s="225"/>
      <c r="E965" s="225"/>
      <c r="F965" s="22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</row>
    <row r="966">
      <c r="A966" s="225"/>
      <c r="B966" s="225"/>
      <c r="C966" s="225"/>
      <c r="D966" s="225"/>
      <c r="E966" s="225"/>
      <c r="F966" s="22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</row>
    <row r="967">
      <c r="A967" s="225"/>
      <c r="B967" s="225"/>
      <c r="C967" s="225"/>
      <c r="D967" s="225"/>
      <c r="E967" s="225"/>
      <c r="F967" s="22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</row>
    <row r="968">
      <c r="A968" s="225"/>
      <c r="B968" s="225"/>
      <c r="C968" s="225"/>
      <c r="D968" s="225"/>
      <c r="E968" s="225"/>
      <c r="F968" s="22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</row>
    <row r="969">
      <c r="A969" s="225"/>
      <c r="B969" s="225"/>
      <c r="C969" s="225"/>
      <c r="D969" s="225"/>
      <c r="E969" s="225"/>
      <c r="F969" s="22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</row>
    <row r="970">
      <c r="A970" s="225"/>
      <c r="B970" s="225"/>
      <c r="C970" s="225"/>
      <c r="D970" s="225"/>
      <c r="E970" s="225"/>
      <c r="F970" s="22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</row>
    <row r="971">
      <c r="A971" s="225"/>
      <c r="B971" s="225"/>
      <c r="C971" s="225"/>
      <c r="D971" s="225"/>
      <c r="E971" s="225"/>
      <c r="F971" s="22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</row>
    <row r="972">
      <c r="A972" s="225"/>
      <c r="B972" s="225"/>
      <c r="C972" s="225"/>
      <c r="D972" s="225"/>
      <c r="E972" s="225"/>
      <c r="F972" s="22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</row>
    <row r="973">
      <c r="A973" s="225"/>
      <c r="B973" s="225"/>
      <c r="C973" s="225"/>
      <c r="D973" s="225"/>
      <c r="E973" s="225"/>
      <c r="F973" s="22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</row>
    <row r="974">
      <c r="A974" s="225"/>
      <c r="B974" s="225"/>
      <c r="C974" s="225"/>
      <c r="D974" s="225"/>
      <c r="E974" s="225"/>
      <c r="F974" s="22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</row>
    <row r="975">
      <c r="A975" s="225"/>
      <c r="B975" s="225"/>
      <c r="C975" s="225"/>
      <c r="D975" s="225"/>
      <c r="E975" s="225"/>
      <c r="F975" s="22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</row>
    <row r="976">
      <c r="A976" s="225"/>
      <c r="B976" s="225"/>
      <c r="C976" s="225"/>
      <c r="D976" s="225"/>
      <c r="E976" s="225"/>
      <c r="F976" s="22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</row>
    <row r="977">
      <c r="A977" s="225"/>
      <c r="B977" s="225"/>
      <c r="C977" s="225"/>
      <c r="D977" s="225"/>
      <c r="E977" s="225"/>
      <c r="F977" s="22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</row>
    <row r="978">
      <c r="A978" s="225"/>
      <c r="B978" s="225"/>
      <c r="C978" s="225"/>
      <c r="D978" s="225"/>
      <c r="E978" s="225"/>
      <c r="F978" s="22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</row>
    <row r="979">
      <c r="A979" s="225"/>
      <c r="B979" s="225"/>
      <c r="C979" s="225"/>
      <c r="D979" s="225"/>
      <c r="E979" s="225"/>
      <c r="F979" s="22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</row>
    <row r="980">
      <c r="A980" s="225"/>
      <c r="B980" s="225"/>
      <c r="C980" s="225"/>
      <c r="D980" s="225"/>
      <c r="E980" s="225"/>
      <c r="F980" s="22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</row>
    <row r="981">
      <c r="A981" s="225"/>
      <c r="B981" s="225"/>
      <c r="C981" s="225"/>
      <c r="D981" s="225"/>
      <c r="E981" s="225"/>
      <c r="F981" s="22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</row>
    <row r="982">
      <c r="A982" s="225"/>
      <c r="B982" s="225"/>
      <c r="C982" s="225"/>
      <c r="D982" s="225"/>
      <c r="E982" s="225"/>
      <c r="F982" s="22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</row>
    <row r="983">
      <c r="A983" s="225"/>
      <c r="B983" s="225"/>
      <c r="C983" s="225"/>
      <c r="D983" s="225"/>
      <c r="E983" s="225"/>
      <c r="F983" s="22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</row>
    <row r="984">
      <c r="A984" s="225"/>
      <c r="B984" s="225"/>
      <c r="C984" s="225"/>
      <c r="D984" s="225"/>
      <c r="E984" s="225"/>
      <c r="F984" s="22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</row>
    <row r="985">
      <c r="A985" s="225"/>
      <c r="B985" s="225"/>
      <c r="C985" s="225"/>
      <c r="D985" s="225"/>
      <c r="E985" s="225"/>
      <c r="F985" s="22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</row>
    <row r="986">
      <c r="A986" s="225"/>
      <c r="B986" s="225"/>
      <c r="C986" s="225"/>
      <c r="D986" s="225"/>
      <c r="E986" s="225"/>
      <c r="F986" s="22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</row>
    <row r="987">
      <c r="A987" s="225"/>
      <c r="B987" s="225"/>
      <c r="C987" s="225"/>
      <c r="D987" s="225"/>
      <c r="E987" s="225"/>
      <c r="F987" s="22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</row>
    <row r="988">
      <c r="A988" s="225"/>
      <c r="B988" s="225"/>
      <c r="C988" s="225"/>
      <c r="D988" s="225"/>
      <c r="E988" s="225"/>
      <c r="F988" s="22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</row>
    <row r="989">
      <c r="A989" s="225"/>
      <c r="B989" s="225"/>
      <c r="C989" s="225"/>
      <c r="D989" s="225"/>
      <c r="E989" s="225"/>
      <c r="F989" s="22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</row>
  </sheetData>
  <mergeCells count="1">
    <mergeCell ref="B2:F2"/>
  </mergeCells>
  <drawing r:id="rId1"/>
</worksheet>
</file>