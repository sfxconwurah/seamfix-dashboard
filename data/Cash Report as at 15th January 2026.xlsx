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</sheets>
  <definedNames/>
  <calcPr/>
</workbook>
</file>

<file path=xl/sharedStrings.xml><?xml version="1.0" encoding="utf-8"?>
<sst xmlns="http://schemas.openxmlformats.org/spreadsheetml/2006/main" count="378" uniqueCount="207">
  <si>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</si>
  <si>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</si>
  <si>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</si>
  <si>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</si>
  <si>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</si>
  <si>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</si>
  <si>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</si>
  <si>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</si>
  <si>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</si>
  <si>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</si>
  <si>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Training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</si>
  <si>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</si>
  <si>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</si>
  <si>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</si>
  <si>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</si>
  <si>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</si>
  <si>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</si>
  <si>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</si>
  <si>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Pension</t>
  </si>
  <si>
    <t>Non-Executive Sitting All</t>
  </si>
  <si>
    <t>BTA</t>
  </si>
  <si>
    <t>NIMC -Licenses Fee</t>
  </si>
  <si>
    <t>VAT</t>
  </si>
  <si>
    <t>WHT</t>
  </si>
  <si>
    <t>Hosting</t>
  </si>
  <si>
    <t>Exit  Salary</t>
  </si>
  <si>
    <t>Paye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</si>
  <si>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</si>
  <si>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</si>
  <si>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</si>
  <si>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</si>
  <si>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</si>
  <si>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</si>
  <si>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</si>
  <si>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</si>
  <si>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</si>
  <si>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UBA Main</t>
  </si>
  <si>
    <t>UBA (PROJECT) </t>
  </si>
  <si>
    <t>UBA (COLLECTION 1)</t>
  </si>
  <si>
    <t>UBA (COLLECTION 2)</t>
  </si>
  <si>
    <t>Bank Charges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</si>
  <si>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</si>
  <si>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</si>
  <si>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</si>
  <si>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</si>
  <si>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</si>
  <si>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</si>
  <si>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</si>
  <si>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</si>
  <si>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</si>
  <si>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</si>
  <si>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</si>
  <si>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</si>
  <si>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</si>
  <si>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</si>
  <si>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</si>
  <si>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</si>
  <si>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</si>
  <si>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</si>
  <si>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</si>
  <si>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</si>
  <si>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</si>
  <si>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</si>
  <si>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</si>
  <si>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</si>
  <si>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</si>
  <si>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</si>
  <si>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</si>
  <si>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</si>
  <si>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CIV Inflow</t>
  </si>
  <si>
    <t>Loan Repayment</t>
  </si>
  <si>
    <t>MTN Q3 AMC</t>
  </si>
  <si>
    <t>Inflows</t>
  </si>
  <si>
    <t>Nimc Income</t>
  </si>
  <si>
    <t>UBA MAIN</t>
  </si>
  <si>
    <t>UBA Project</t>
  </si>
  <si>
    <t>sa</t>
  </si>
  <si>
    <t>SEAMFIX LIMITED</t>
  </si>
  <si>
    <t>CASH AND CASH EQUIVALENT REPORT AS AT 15TH JANUARY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</si>
  <si>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</si>
  <si>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</si>
  <si>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</si>
  <si>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</si>
  <si>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</si>
  <si>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</si>
  <si>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</si>
  <si>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</si>
  <si>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</si>
  <si>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</si>
  <si>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</si>
  <si>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</si>
  <si>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>Inflow: Refund
Outflow: Bank charges</t>
  </si>
  <si>
    <t>Inflow:iTranscript Income
Outflow: Bank charges</t>
  </si>
  <si>
    <t>Inflow: Nimc Income
Outflow: Bank cahrges, Interbank transfer,PAYE</t>
  </si>
  <si>
    <t>Inflows: 
Outflow: Flight</t>
  </si>
  <si>
    <t xml:space="preserve">C </t>
  </si>
  <si>
    <t>Inflow: Interbank, Refund
Outflow: Payment Batch, Bank charge,BTA, NIMC -License</t>
  </si>
  <si>
    <t>Inflows:
Outflow: NIMC-License Fees, Bank charges</t>
  </si>
  <si>
    <t>Wema</t>
  </si>
  <si>
    <t>Wema card A/c</t>
  </si>
  <si>
    <t>Inflow: 
Outflow:</t>
  </si>
  <si>
    <t>Momo Account</t>
  </si>
  <si>
    <t>TOTAL CASH (NGN)</t>
  </si>
  <si>
    <t>Inflow:
Outflow: BTA refund</t>
  </si>
  <si>
    <t>ZENITH BANK (USD)</t>
  </si>
  <si>
    <t>Inflow: 
Outflow:BTA</t>
  </si>
  <si>
    <t>GTB MAIN (USD)</t>
  </si>
  <si>
    <t>Inflow:Nimc Income
Outflow:</t>
  </si>
  <si>
    <t>GTB  DEBIT CARD (USD)</t>
  </si>
  <si>
    <t>Inflow: Reversal
Outflow:Software Tools, Training, Accommodation</t>
  </si>
  <si>
    <t>Inflow: NIMC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</si>
  <si>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</si>
  <si>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</si>
  <si>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</si>
  <si>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</si>
  <si>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</si>
  <si>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</si>
  <si>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</si>
  <si>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</si>
  <si>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</si>
  <si>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</si>
  <si>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</si>
  <si>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</si>
  <si>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</si>
  <si>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</si>
  <si>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</si>
  <si>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</si>
  <si>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</si>
  <si>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</si>
  <si>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</si>
  <si>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</si>
  <si>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</si>
  <si>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</si>
  <si>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</si>
  <si>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</si>
  <si>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</si>
  <si>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</si>
  <si>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</si>
  <si>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</si>
  <si>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</si>
  <si>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- 15TH JANUARY 2026</t>
  </si>
  <si>
    <t>Inflows:</t>
  </si>
  <si>
    <t>Amount</t>
  </si>
  <si>
    <t>% Ratio</t>
  </si>
  <si>
    <t>Details</t>
  </si>
  <si>
    <t>Exc rate</t>
  </si>
  <si>
    <t>Naira Equivalent</t>
  </si>
  <si>
    <t>Opening Balance- 9th Jan NGN</t>
  </si>
  <si>
    <t>Opening Balance- 9th Jan USD</t>
  </si>
  <si>
    <t>Total Cash Inflows for the week</t>
  </si>
  <si>
    <t>Total Opening Balance</t>
  </si>
  <si>
    <t>INFLOWS</t>
  </si>
  <si>
    <t>TOTAL CASH BALANCE BEFORE OUTFLOWS</t>
  </si>
  <si>
    <t>Total Cash Outflow for the week</t>
  </si>
  <si>
    <t>Net Cash Inflow for the Week</t>
  </si>
  <si>
    <t>CASH BALANCE AS AT 15TH JAN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</si>
  <si>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</si>
  <si>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</si>
  <si>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</si>
  <si>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</si>
  <si>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</si>
  <si>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</si>
  <si>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</si>
  <si>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Ini Medichem Resources</t>
  </si>
  <si>
    <t>LIRS 2022 audit Facilitation fee for Demand Notice</t>
  </si>
  <si>
    <t>Yusuf Oni</t>
  </si>
  <si>
    <t>Staff Loan to yusuf Oni</t>
  </si>
  <si>
    <t>Shuttlers Metropolitan</t>
  </si>
  <si>
    <t>Staff Shuttlers Services for Dec 2025</t>
  </si>
  <si>
    <t>Valuejet</t>
  </si>
  <si>
    <t>Funding of the Valuejet wallet</t>
  </si>
  <si>
    <t>Bolt</t>
  </si>
  <si>
    <t>Staff Bolt Rides for Dec 2025</t>
  </si>
  <si>
    <t>Oguno Ebuka Johnbosco</t>
  </si>
  <si>
    <t>Support for UNN and ESUT Staff</t>
  </si>
  <si>
    <t>BREAKDOWN OF SEAMFIX CASH BALANCES AS AT 15TH JAN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</si>
  <si>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</si>
  <si>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</si>
  <si>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</si>
  <si>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</si>
  <si>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</si>
  <si>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</si>
  <si>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</si>
  <si>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</si>
  <si>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</si>
  <si>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</si>
  <si>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</si>
  <si>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</si>
  <si>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</si>
  <si>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</si>
  <si>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</si>
  <si>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</si>
  <si>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</si>
  <si>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</si>
  <si>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</si>
  <si>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</si>
  <si>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N110.2m</t>
  </si>
  <si>
    <t>Absa Bank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</si>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</sst>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.0000;[Red]#,##0.0000"/>
    <numFmt numFmtId="169" formatCode="#,##0_);[Red]\(#,##0\)"/>
    <numFmt numFmtId="170" formatCode="#,##0.00\ [$₦-467];\-#,##0.00\ [$₦-467]"/>
    <numFmt numFmtId="171" formatCode="[$£]#,##0.00"/>
    <numFmt numFmtId="172" formatCode="&quot;$&quot;#,##0.00"/>
    <numFmt numFmtId="173" formatCode="[$₦-470]#,##0.00"/>
    <numFmt numFmtId="174" formatCode="#,##0.0"/>
    <numFmt numFmtId="175" formatCode="[$₦]#,##0.00"/>
    <numFmt numFmtId="176" formatCode="d mmm yyyy"/>
    <numFmt numFmtId="177" formatCode="[$₦-466]\ #,##0.00"/>
    <numFmt numFmtId="178" formatCode="_(&quot;$&quot;* #,##0.00_);_(&quot;$&quot;* \(#,##0.00\);_(&quot;$&quot;* &quot;-&quot;??_);_(@_)"/>
    <numFmt numFmtId="179" formatCode="[$₦-46A]#,##0.00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  <font>
      <sz val="9.0"/>
      <color rgb="FF000000"/>
      <name val="Arial"/>
    </font>
    <font>
      <b/>
      <sz val="9.0"/>
      <color theme="1"/>
      <name val="Arial"/>
    </font>
    <font>
      <sz val="12.0"/>
      <color rgb="FF000000"/>
      <name val="Arial"/>
    </font>
    <font>
      <b/>
      <sz val="9.0"/>
      <color rgb="FF000000"/>
      <name val="Arial"/>
    </font>
    <font/>
    <font>
      <b/>
      <i/>
      <sz val="9.0"/>
      <color rgb="FF000000"/>
      <name val="Arial"/>
    </font>
    <font>
      <i/>
      <sz val="10.0"/>
      <color theme="1"/>
      <name val="Arial"/>
    </font>
    <font>
      <b/>
      <sz val="10.0"/>
      <color rgb="FF222222"/>
      <name val="Arial"/>
    </font>
    <font>
      <sz val="10.0"/>
      <color rgb="FF222222"/>
      <name val="Arial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38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4" xfId="0" applyAlignment="1" applyBorder="1" applyFont="1" applyNumberFormat="1">
      <alignment horizontal="center"/>
    </xf>
    <xf borderId="5" fillId="2" fontId="4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2" fontId="5" numFmtId="0" xfId="0" applyAlignment="1" applyBorder="1" applyFont="1">
      <alignment vertical="center"/>
    </xf>
    <xf borderId="7" fillId="2" fontId="1" numFmtId="164" xfId="0" applyAlignment="1" applyBorder="1" applyFont="1" applyNumberFormat="1">
      <alignment vertical="center"/>
    </xf>
    <xf borderId="8" fillId="2" fontId="5" numFmtId="165" xfId="0" applyAlignment="1" applyBorder="1" applyFont="1" applyNumberFormat="1">
      <alignment vertical="center"/>
    </xf>
    <xf borderId="9" fillId="0" fontId="4" numFmtId="166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vertical="center"/>
    </xf>
    <xf borderId="6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6" fillId="2" fontId="1" numFmtId="167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horizontal="right" vertical="center"/>
    </xf>
    <xf borderId="9" fillId="0" fontId="3" numFmtId="166" xfId="0" applyAlignment="1" applyBorder="1" applyFont="1" applyNumberFormat="1">
      <alignment horizontal="right"/>
    </xf>
    <xf borderId="0" fillId="0" fontId="1" numFmtId="4" xfId="0" applyFont="1" applyNumberFormat="1"/>
    <xf borderId="0" fillId="0" fontId="2" numFmtId="4" xfId="0" applyFont="1" applyNumberFormat="1"/>
    <xf borderId="0" fillId="0" fontId="2" numFmtId="167" xfId="0" applyFont="1" applyNumberFormat="1"/>
    <xf borderId="0" fillId="0" fontId="1" numFmtId="0" xfId="0" applyFont="1"/>
    <xf borderId="10" fillId="2" fontId="5" numFmtId="165" xfId="0" applyAlignment="1" applyBorder="1" applyFont="1" applyNumberFormat="1">
      <alignment vertical="center"/>
    </xf>
    <xf borderId="0" fillId="0" fontId="6" numFmtId="0" xfId="0" applyFont="1"/>
    <xf borderId="1" fillId="2" fontId="2" numFmtId="4" xfId="0" applyAlignment="1" applyBorder="1" applyFont="1" applyNumberFormat="1">
      <alignment horizontal="right"/>
    </xf>
    <xf borderId="0" fillId="0" fontId="1" numFmtId="167" xfId="0" applyFont="1" applyNumberFormat="1"/>
    <xf borderId="0" fillId="0" fontId="5" numFmtId="4" xfId="0" applyFont="1" applyNumberFormat="1"/>
    <xf borderId="0" fillId="0" fontId="7" numFmtId="4" xfId="0" applyFont="1" applyNumberFormat="1"/>
    <xf borderId="0" fillId="0" fontId="7" numFmtId="167" xfId="0" applyFont="1" applyNumberFormat="1"/>
    <xf borderId="0" fillId="0" fontId="1" numFmtId="164" xfId="0" applyFont="1" applyNumberFormat="1"/>
    <xf borderId="0" fillId="0" fontId="7" numFmtId="164" xfId="0" applyFont="1" applyNumberFormat="1"/>
    <xf borderId="9" fillId="3" fontId="4" numFmtId="166" xfId="0" applyAlignment="1" applyBorder="1" applyFill="1" applyFont="1" applyNumberFormat="1">
      <alignment horizontal="right"/>
    </xf>
    <xf borderId="0" fillId="0" fontId="1" numFmtId="4" xfId="0" applyAlignment="1" applyFont="1" applyNumberFormat="1">
      <alignment horizontal="right"/>
    </xf>
    <xf borderId="0" fillId="0" fontId="7" numFmtId="168" xfId="0" applyFont="1" applyNumberFormat="1"/>
    <xf borderId="0" fillId="0" fontId="2" numFmtId="4" xfId="0" applyFont="1" applyNumberFormat="1"/>
    <xf borderId="9" fillId="0" fontId="3" numFmtId="166" xfId="0" applyAlignment="1" applyBorder="1" applyFont="1" applyNumberFormat="1">
      <alignment horizontal="right"/>
    </xf>
    <xf borderId="1" fillId="2" fontId="1" numFmtId="167" xfId="0" applyBorder="1" applyFont="1" applyNumberFormat="1"/>
    <xf borderId="7" fillId="2" fontId="5" numFmtId="164" xfId="0" applyAlignment="1" applyBorder="1" applyFont="1" applyNumberFormat="1">
      <alignment vertical="center"/>
    </xf>
    <xf borderId="11" fillId="2" fontId="1" numFmtId="165" xfId="0" applyAlignment="1" applyBorder="1" applyFont="1" applyNumberFormat="1">
      <alignment vertical="center"/>
    </xf>
    <xf borderId="7" fillId="2" fontId="1" numFmtId="0" xfId="0" applyAlignment="1" applyBorder="1" applyFont="1">
      <alignment vertical="center"/>
    </xf>
    <xf borderId="7" fillId="2" fontId="1" numFmtId="165" xfId="0" applyAlignment="1" applyBorder="1" applyFont="1" applyNumberFormat="1">
      <alignment vertical="center"/>
    </xf>
    <xf borderId="9" fillId="2" fontId="7" numFmtId="166" xfId="0" applyAlignment="1" applyBorder="1" applyFont="1" applyNumberFormat="1">
      <alignment vertical="center"/>
    </xf>
    <xf borderId="6" fillId="2" fontId="1" numFmtId="4" xfId="0" applyAlignment="1" applyBorder="1" applyFont="1" applyNumberFormat="1">
      <alignment vertical="center"/>
    </xf>
    <xf borderId="9" fillId="2" fontId="4" numFmtId="166" xfId="0" applyAlignment="1" applyBorder="1" applyFont="1" applyNumberFormat="1">
      <alignment horizontal="right"/>
    </xf>
    <xf borderId="9" fillId="3" fontId="8" numFmtId="164" xfId="0" applyAlignment="1" applyBorder="1" applyFont="1" applyNumberFormat="1">
      <alignment horizontal="right"/>
    </xf>
    <xf borderId="7" fillId="2" fontId="1" numFmtId="4" xfId="0" applyAlignment="1" applyBorder="1" applyFont="1" applyNumberFormat="1">
      <alignment vertical="center"/>
    </xf>
    <xf borderId="12" fillId="2" fontId="2" numFmtId="2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vertical="center"/>
    </xf>
    <xf borderId="14" fillId="2" fontId="1" numFmtId="0" xfId="0" applyAlignment="1" applyBorder="1" applyFont="1">
      <alignment vertical="center"/>
    </xf>
    <xf borderId="14" fillId="2" fontId="1" numFmtId="165" xfId="0" applyAlignment="1" applyBorder="1" applyFont="1" applyNumberFormat="1">
      <alignment vertical="center"/>
    </xf>
    <xf borderId="14" fillId="2" fontId="5" numFmtId="166" xfId="0" applyAlignment="1" applyBorder="1" applyFont="1" applyNumberFormat="1">
      <alignment vertical="center"/>
    </xf>
    <xf borderId="1" fillId="2" fontId="1" numFmtId="166" xfId="0" applyBorder="1" applyFont="1" applyNumberFormat="1"/>
    <xf borderId="1" fillId="2" fontId="2" numFmtId="4" xfId="0" applyBorder="1" applyFont="1" applyNumberFormat="1"/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9" numFmtId="0" xfId="0" applyFont="1"/>
    <xf borderId="0" fillId="0" fontId="3" numFmtId="164" xfId="0" applyFont="1" applyNumberFormat="1"/>
    <xf borderId="15" fillId="0" fontId="9" numFmtId="164" xfId="0" applyBorder="1" applyFont="1" applyNumberFormat="1"/>
    <xf borderId="9" fillId="0" fontId="8" numFmtId="166" xfId="0" applyBorder="1" applyFont="1" applyNumberFormat="1"/>
    <xf borderId="0" fillId="0" fontId="8" numFmtId="4" xfId="0" applyAlignment="1" applyFont="1" applyNumberFormat="1">
      <alignment horizontal="right"/>
    </xf>
    <xf borderId="1" fillId="2" fontId="10" numFmtId="4" xfId="0" applyAlignment="1" applyBorder="1" applyFont="1" applyNumberFormat="1">
      <alignment horizontal="right"/>
    </xf>
    <xf borderId="15" fillId="0" fontId="3" numFmtId="164" xfId="0" applyBorder="1" applyFont="1" applyNumberFormat="1"/>
    <xf borderId="0" fillId="0" fontId="1" numFmtId="0" xfId="0" applyFont="1"/>
    <xf borderId="0" fillId="0" fontId="5" numFmtId="0" xfId="0" applyFont="1"/>
    <xf borderId="0" fillId="0" fontId="5" numFmtId="4" xfId="0" applyFont="1" applyNumberFormat="1"/>
    <xf borderId="0" fillId="0" fontId="2" numFmtId="164" xfId="0" applyFont="1" applyNumberFormat="1"/>
    <xf borderId="1" fillId="2" fontId="7" numFmtId="4" xfId="0" applyAlignment="1" applyBorder="1" applyFont="1" applyNumberFormat="1">
      <alignment horizontal="right"/>
    </xf>
    <xf borderId="0" fillId="0" fontId="7" numFmtId="164" xfId="0" applyFont="1" applyNumberFormat="1"/>
    <xf borderId="0" fillId="0" fontId="8" numFmtId="4" xfId="0" applyFont="1" applyNumberFormat="1"/>
    <xf borderId="0" fillId="0" fontId="9" numFmtId="164" xfId="0" applyAlignment="1" applyFont="1" applyNumberFormat="1">
      <alignment horizontal="right"/>
    </xf>
    <xf borderId="0" fillId="0" fontId="9" numFmtId="4" xfId="0" applyFont="1" applyNumberFormat="1"/>
    <xf borderId="0" fillId="0" fontId="7" numFmtId="4" xfId="0" applyFont="1" applyNumberFormat="1"/>
    <xf borderId="16" fillId="0" fontId="3" numFmtId="164" xfId="0" applyBorder="1" applyFont="1" applyNumberFormat="1"/>
    <xf borderId="9" fillId="0" fontId="11" numFmtId="166" xfId="0" applyBorder="1" applyFont="1" applyNumberFormat="1"/>
    <xf borderId="9" fillId="0" fontId="3" numFmtId="4" xfId="0" applyAlignment="1" applyBorder="1" applyFont="1" applyNumberFormat="1">
      <alignment horizontal="right"/>
    </xf>
    <xf borderId="9" fillId="0" fontId="8" numFmtId="164" xfId="0" applyAlignment="1" applyBorder="1" applyFont="1" applyNumberFormat="1">
      <alignment horizontal="right"/>
    </xf>
    <xf borderId="0" fillId="0" fontId="3" numFmtId="164" xfId="0" applyAlignment="1" applyFont="1" applyNumberFormat="1">
      <alignment horizontal="center"/>
    </xf>
    <xf borderId="0" fillId="0" fontId="4" numFmtId="4" xfId="0" applyAlignment="1" applyFont="1" applyNumberFormat="1">
      <alignment horizontal="right"/>
    </xf>
    <xf borderId="9" fillId="0" fontId="3" numFmtId="164" xfId="0" applyBorder="1" applyFont="1" applyNumberFormat="1"/>
    <xf borderId="9" fillId="0" fontId="9" numFmtId="4" xfId="0" applyAlignment="1" applyBorder="1" applyFont="1" applyNumberFormat="1">
      <alignment horizontal="right"/>
    </xf>
    <xf borderId="0" fillId="0" fontId="9" numFmtId="4" xfId="0" applyAlignment="1" applyFont="1" applyNumberFormat="1">
      <alignment horizontal="right"/>
    </xf>
    <xf borderId="1" fillId="2" fontId="11" numFmtId="166" xfId="0" applyAlignment="1" applyBorder="1" applyFont="1" applyNumberFormat="1">
      <alignment horizontal="right"/>
    </xf>
    <xf borderId="1" fillId="2" fontId="8" numFmtId="4" xfId="0" applyAlignment="1" applyBorder="1" applyFont="1" applyNumberFormat="1">
      <alignment horizontal="right"/>
    </xf>
    <xf borderId="1" fillId="2" fontId="8" numFmtId="166" xfId="0" applyAlignment="1" applyBorder="1" applyFont="1" applyNumberFormat="1">
      <alignment horizontal="right"/>
    </xf>
    <xf borderId="17" fillId="2" fontId="8" numFmtId="166" xfId="0" applyAlignment="1" applyBorder="1" applyFont="1" applyNumberFormat="1">
      <alignment horizontal="right"/>
    </xf>
    <xf borderId="1" fillId="2" fontId="8" numFmtId="164" xfId="0" applyBorder="1" applyFont="1" applyNumberFormat="1"/>
    <xf borderId="15" fillId="0" fontId="9" numFmtId="169" xfId="0" applyAlignment="1" applyBorder="1" applyFont="1" applyNumberFormat="1">
      <alignment horizontal="center" shrinkToFit="0" wrapText="1"/>
    </xf>
    <xf borderId="18" fillId="0" fontId="12" numFmtId="0" xfId="0" applyBorder="1" applyFont="1"/>
    <xf borderId="19" fillId="0" fontId="12" numFmtId="0" xfId="0" applyBorder="1" applyFont="1"/>
    <xf borderId="9" fillId="4" fontId="9" numFmtId="169" xfId="0" applyAlignment="1" applyBorder="1" applyFill="1" applyFont="1" applyNumberFormat="1">
      <alignment horizontal="center" shrinkToFit="0" wrapText="1"/>
    </xf>
    <xf borderId="9" fillId="4" fontId="9" numFmtId="170" xfId="0" applyAlignment="1" applyBorder="1" applyFont="1" applyNumberFormat="1">
      <alignment horizontal="center" shrinkToFit="0" wrapText="1"/>
    </xf>
    <xf borderId="9" fillId="4" fontId="9" numFmtId="0" xfId="0" applyAlignment="1" applyBorder="1" applyFont="1">
      <alignment horizontal="center" shrinkToFit="0" wrapText="1"/>
    </xf>
    <xf borderId="9" fillId="0" fontId="8" numFmtId="169" xfId="0" applyAlignment="1" applyBorder="1" applyFont="1" applyNumberFormat="1">
      <alignment horizontal="center"/>
    </xf>
    <xf borderId="9" fillId="0" fontId="11" numFmtId="164" xfId="0" applyBorder="1" applyFont="1" applyNumberFormat="1"/>
    <xf borderId="9" fillId="0" fontId="8" numFmtId="164" xfId="0" applyAlignment="1" applyBorder="1" applyFont="1" applyNumberFormat="1">
      <alignment horizontal="center"/>
    </xf>
    <xf borderId="9" fillId="0" fontId="8" numFmtId="164" xfId="0" applyBorder="1" applyFont="1" applyNumberFormat="1"/>
    <xf borderId="9" fillId="0" fontId="3" numFmtId="0" xfId="0" applyAlignment="1" applyBorder="1" applyFont="1">
      <alignment shrinkToFit="0" wrapText="1"/>
    </xf>
    <xf borderId="0" fillId="0" fontId="3" numFmtId="170" xfId="0" applyFont="1" applyNumberFormat="1"/>
    <xf borderId="9" fillId="2" fontId="11" numFmtId="164" xfId="0" applyBorder="1" applyFont="1" applyNumberFormat="1"/>
    <xf borderId="20" fillId="2" fontId="9" numFmtId="166" xfId="0" applyBorder="1" applyFont="1" applyNumberFormat="1"/>
    <xf borderId="20" fillId="2" fontId="3" numFmtId="166" xfId="0" applyBorder="1" applyFont="1" applyNumberFormat="1"/>
    <xf borderId="9" fillId="0" fontId="3" numFmtId="0" xfId="0" applyAlignment="1" applyBorder="1" applyFont="1">
      <alignment horizontal="left" shrinkToFit="0" wrapText="1"/>
    </xf>
    <xf borderId="1" fillId="2" fontId="9" numFmtId="166" xfId="0" applyAlignment="1" applyBorder="1" applyFont="1" applyNumberFormat="1">
      <alignment horizontal="right"/>
    </xf>
    <xf borderId="1" fillId="2" fontId="3" numFmtId="166" xfId="0" applyAlignment="1" applyBorder="1" applyFont="1" applyNumberFormat="1">
      <alignment horizontal="right"/>
    </xf>
    <xf borderId="19" fillId="0" fontId="11" numFmtId="164" xfId="0" applyBorder="1" applyFont="1" applyNumberFormat="1"/>
    <xf borderId="9" fillId="0" fontId="8" numFmtId="0" xfId="0" applyBorder="1" applyFont="1"/>
    <xf borderId="21" fillId="0" fontId="11" numFmtId="169" xfId="0" applyAlignment="1" applyBorder="1" applyFont="1" applyNumberFormat="1">
      <alignment horizontal="center" shrinkToFit="0" wrapText="1"/>
    </xf>
    <xf borderId="9" fillId="0" fontId="9" numFmtId="166" xfId="0" applyBorder="1" applyFont="1" applyNumberFormat="1"/>
    <xf borderId="21" fillId="0" fontId="3" numFmtId="0" xfId="0" applyBorder="1" applyFont="1"/>
    <xf borderId="9" fillId="0" fontId="11" numFmtId="164" xfId="0" applyAlignment="1" applyBorder="1" applyFont="1" applyNumberFormat="1">
      <alignment horizontal="right" shrinkToFit="0" wrapText="1"/>
    </xf>
    <xf borderId="22" fillId="0" fontId="8" numFmtId="169" xfId="0" applyAlignment="1" applyBorder="1" applyFont="1" applyNumberFormat="1">
      <alignment horizontal="center"/>
    </xf>
    <xf borderId="18" fillId="0" fontId="8" numFmtId="164" xfId="0" applyBorder="1" applyFont="1" applyNumberFormat="1"/>
    <xf borderId="23" fillId="0" fontId="8" numFmtId="0" xfId="0" applyAlignment="1" applyBorder="1" applyFont="1">
      <alignment horizontal="right"/>
    </xf>
    <xf borderId="18" fillId="0" fontId="8" numFmtId="164" xfId="0" applyAlignment="1" applyBorder="1" applyFont="1" applyNumberFormat="1">
      <alignment horizontal="center"/>
    </xf>
    <xf borderId="18" fillId="0" fontId="8" numFmtId="164" xfId="0" applyAlignment="1" applyBorder="1" applyFont="1" applyNumberFormat="1">
      <alignment horizontal="right"/>
    </xf>
    <xf borderId="18" fillId="0" fontId="8" numFmtId="166" xfId="0" applyAlignment="1" applyBorder="1" applyFont="1" applyNumberFormat="1">
      <alignment horizontal="right"/>
    </xf>
    <xf borderId="0" fillId="0" fontId="8" numFmtId="166" xfId="0" applyFont="1" applyNumberFormat="1"/>
    <xf borderId="24" fillId="0" fontId="3" numFmtId="171" xfId="0" applyAlignment="1" applyBorder="1" applyFont="1" applyNumberFormat="1">
      <alignment horizontal="right" shrinkToFit="0" wrapText="1"/>
    </xf>
    <xf borderId="25" fillId="2" fontId="11" numFmtId="164" xfId="0" applyBorder="1" applyFont="1" applyNumberFormat="1"/>
    <xf borderId="9" fillId="0" fontId="1" numFmtId="172" xfId="0" applyAlignment="1" applyBorder="1" applyFont="1" applyNumberFormat="1">
      <alignment horizontal="right"/>
    </xf>
    <xf borderId="19" fillId="0" fontId="8" numFmtId="164" xfId="0" applyAlignment="1" applyBorder="1" applyFont="1" applyNumberFormat="1">
      <alignment horizontal="center"/>
    </xf>
    <xf borderId="15" fillId="0" fontId="11" numFmtId="164" xfId="0" applyBorder="1" applyFont="1" applyNumberFormat="1"/>
    <xf borderId="9" fillId="0" fontId="4" numFmtId="172" xfId="0" applyAlignment="1" applyBorder="1" applyFont="1" applyNumberFormat="1">
      <alignment horizontal="right"/>
    </xf>
    <xf borderId="26" fillId="0" fontId="8" numFmtId="172" xfId="0" applyAlignment="1" applyBorder="1" applyFont="1" applyNumberFormat="1">
      <alignment horizontal="right"/>
    </xf>
    <xf borderId="9" fillId="0" fontId="9" numFmtId="172" xfId="0" applyBorder="1" applyFont="1" applyNumberFormat="1"/>
    <xf borderId="27" fillId="0" fontId="11" numFmtId="164" xfId="0" applyBorder="1" applyFont="1" applyNumberFormat="1"/>
    <xf borderId="26" fillId="0" fontId="8" numFmtId="164" xfId="0" applyAlignment="1" applyBorder="1" applyFont="1" applyNumberFormat="1">
      <alignment horizontal="center"/>
    </xf>
    <xf borderId="26" fillId="0" fontId="8" numFmtId="164" xfId="0" applyAlignment="1" applyBorder="1" applyFont="1" applyNumberFormat="1">
      <alignment horizontal="right"/>
    </xf>
    <xf borderId="15" fillId="0" fontId="9" numFmtId="0" xfId="0" applyAlignment="1" applyBorder="1" applyFont="1">
      <alignment horizontal="center"/>
    </xf>
    <xf borderId="28" fillId="0" fontId="8" numFmtId="164" xfId="0" applyAlignment="1" applyBorder="1" applyFont="1" applyNumberFormat="1">
      <alignment horizontal="center"/>
    </xf>
    <xf borderId="9" fillId="0" fontId="13" numFmtId="164" xfId="0" applyAlignment="1" applyBorder="1" applyFont="1" applyNumberFormat="1">
      <alignment horizontal="right" shrinkToFit="0" wrapText="1"/>
    </xf>
    <xf borderId="9" fillId="0" fontId="11" numFmtId="173" xfId="0" applyAlignment="1" applyBorder="1" applyFont="1" applyNumberFormat="1">
      <alignment horizontal="right" shrinkToFit="0" wrapText="1"/>
    </xf>
    <xf borderId="9" fillId="0" fontId="9" numFmtId="170" xfId="0" applyBorder="1" applyFont="1" applyNumberFormat="1"/>
    <xf borderId="0" fillId="0" fontId="8" numFmtId="0" xfId="0" applyFont="1"/>
    <xf borderId="0" fillId="0" fontId="8" numFmtId="170" xfId="0" applyFont="1" applyNumberFormat="1"/>
    <xf borderId="0" fillId="0" fontId="8" numFmtId="174" xfId="0" applyFont="1" applyNumberFormat="1"/>
    <xf borderId="1" fillId="2" fontId="8" numFmtId="4" xfId="0" applyBorder="1" applyFont="1" applyNumberFormat="1"/>
    <xf borderId="15" fillId="0" fontId="11" numFmtId="169" xfId="0" applyAlignment="1" applyBorder="1" applyFont="1" applyNumberFormat="1">
      <alignment horizontal="center" shrinkToFit="0" wrapText="1"/>
    </xf>
    <xf borderId="9" fillId="0" fontId="9" numFmtId="0" xfId="0" applyAlignment="1" applyBorder="1" applyFont="1">
      <alignment horizontal="center"/>
    </xf>
    <xf borderId="29" fillId="4" fontId="8" numFmtId="169" xfId="0" applyAlignment="1" applyBorder="1" applyFont="1" applyNumberFormat="1">
      <alignment horizontal="center" shrinkToFit="0" wrapText="1"/>
    </xf>
    <xf borderId="5" fillId="4" fontId="11" numFmtId="164" xfId="0" applyAlignment="1" applyBorder="1" applyFont="1" applyNumberFormat="1">
      <alignment shrinkToFit="0" wrapText="1"/>
    </xf>
    <xf borderId="9" fillId="4" fontId="11" numFmtId="0" xfId="0" applyAlignment="1" applyBorder="1" applyFont="1">
      <alignment horizontal="center" shrinkToFit="0" wrapText="1"/>
    </xf>
    <xf borderId="9" fillId="4" fontId="9" numFmtId="0" xfId="0" applyAlignment="1" applyBorder="1" applyFont="1">
      <alignment horizontal="center"/>
    </xf>
    <xf borderId="26" fillId="0" fontId="3" numFmtId="169" xfId="0" applyAlignment="1" applyBorder="1" applyFont="1" applyNumberFormat="1">
      <alignment horizontal="center" shrinkToFit="0" wrapText="1"/>
    </xf>
    <xf borderId="28" fillId="0" fontId="3" numFmtId="164" xfId="0" applyAlignment="1" applyBorder="1" applyFont="1" applyNumberFormat="1">
      <alignment shrinkToFit="0" wrapText="1"/>
    </xf>
    <xf borderId="28" fillId="0" fontId="8" numFmtId="175" xfId="0" applyAlignment="1" applyBorder="1" applyFont="1" applyNumberFormat="1">
      <alignment horizontal="right"/>
    </xf>
    <xf borderId="28" fillId="0" fontId="3" numFmtId="164" xfId="0" applyAlignment="1" applyBorder="1" applyFont="1" applyNumberFormat="1">
      <alignment horizontal="center" shrinkToFit="0" wrapText="1"/>
    </xf>
    <xf borderId="28" fillId="0" fontId="3" numFmtId="175" xfId="0" applyAlignment="1" applyBorder="1" applyFont="1" applyNumberFormat="1">
      <alignment horizontal="right" shrinkToFit="0" wrapText="1"/>
    </xf>
    <xf borderId="28" fillId="0" fontId="3" numFmtId="164" xfId="0" applyAlignment="1" applyBorder="1" applyFont="1" applyNumberFormat="1">
      <alignment horizontal="right" shrinkToFit="0" wrapText="1"/>
    </xf>
    <xf borderId="9" fillId="0" fontId="9" numFmtId="0" xfId="0" applyBorder="1" applyFont="1"/>
    <xf borderId="26" fillId="0" fontId="8" numFmtId="175" xfId="0" applyAlignment="1" applyBorder="1" applyFont="1" applyNumberFormat="1">
      <alignment horizontal="right"/>
    </xf>
    <xf borderId="26" fillId="0" fontId="8" numFmtId="166" xfId="0" applyAlignment="1" applyBorder="1" applyFont="1" applyNumberFormat="1">
      <alignment horizontal="right"/>
    </xf>
    <xf borderId="9" fillId="0" fontId="8" numFmtId="175" xfId="0" applyAlignment="1" applyBorder="1" applyFont="1" applyNumberFormat="1">
      <alignment horizontal="right"/>
    </xf>
    <xf borderId="9" fillId="0" fontId="9" numFmtId="0" xfId="0" applyAlignment="1" applyBorder="1" applyFont="1">
      <alignment horizontal="left"/>
    </xf>
    <xf borderId="22" fillId="0" fontId="9" numFmtId="169" xfId="0" applyAlignment="1" applyBorder="1" applyFont="1" applyNumberFormat="1">
      <alignment horizontal="center" shrinkToFit="0" wrapText="1"/>
    </xf>
    <xf borderId="23" fillId="0" fontId="12" numFmtId="0" xfId="0" applyBorder="1" applyFont="1"/>
    <xf borderId="28" fillId="0" fontId="12" numFmtId="0" xfId="0" applyBorder="1" applyFont="1"/>
    <xf borderId="28" fillId="0" fontId="9" numFmtId="175" xfId="0" applyAlignment="1" applyBorder="1" applyFont="1" applyNumberFormat="1">
      <alignment horizontal="right" shrinkToFit="0" wrapText="1"/>
    </xf>
    <xf borderId="29" fillId="4" fontId="3" numFmtId="169" xfId="0" applyAlignment="1" applyBorder="1" applyFont="1" applyNumberFormat="1">
      <alignment horizontal="center" shrinkToFit="0" wrapText="1"/>
    </xf>
    <xf borderId="5" fillId="4" fontId="9" numFmtId="164" xfId="0" applyAlignment="1" applyBorder="1" applyFont="1" applyNumberFormat="1">
      <alignment shrinkToFit="0" wrapText="1"/>
    </xf>
    <xf borderId="9" fillId="4" fontId="11" numFmtId="0" xfId="0" applyAlignment="1" applyBorder="1" applyFont="1">
      <alignment horizontal="center"/>
    </xf>
    <xf borderId="30" fillId="4" fontId="11" numFmtId="0" xfId="0" applyAlignment="1" applyBorder="1" applyFont="1">
      <alignment horizontal="center"/>
    </xf>
    <xf borderId="29" fillId="2" fontId="8" numFmtId="172" xfId="0" applyAlignment="1" applyBorder="1" applyFont="1" applyNumberFormat="1">
      <alignment horizontal="right"/>
    </xf>
    <xf borderId="31" fillId="2" fontId="3" numFmtId="172" xfId="0" applyAlignment="1" applyBorder="1" applyFont="1" applyNumberFormat="1">
      <alignment horizontal="right" readingOrder="0"/>
    </xf>
    <xf borderId="9" fillId="0" fontId="8" numFmtId="172" xfId="0" applyAlignment="1" applyBorder="1" applyFont="1" applyNumberFormat="1">
      <alignment horizontal="right"/>
    </xf>
    <xf borderId="23" fillId="0" fontId="8" numFmtId="164" xfId="0" applyAlignment="1" applyBorder="1" applyFont="1" applyNumberFormat="1">
      <alignment horizontal="right" shrinkToFit="0" wrapText="1"/>
    </xf>
    <xf borderId="9" fillId="0" fontId="3" numFmtId="164" xfId="0" applyAlignment="1" applyBorder="1" applyFont="1" applyNumberFormat="1">
      <alignment horizontal="center" shrinkToFit="0" wrapText="1"/>
    </xf>
    <xf borderId="9" fillId="0" fontId="3" numFmtId="175" xfId="0" applyAlignment="1" applyBorder="1" applyFont="1" applyNumberFormat="1">
      <alignment horizontal="center"/>
    </xf>
    <xf borderId="9" fillId="2" fontId="8" numFmtId="172" xfId="0" applyAlignment="1" applyBorder="1" applyFont="1" applyNumberFormat="1">
      <alignment horizontal="right"/>
    </xf>
    <xf borderId="9" fillId="0" fontId="3" numFmtId="0" xfId="0" applyAlignment="1" applyBorder="1" applyFont="1">
      <alignment horizontal="center"/>
    </xf>
    <xf borderId="9" fillId="0" fontId="3" numFmtId="164" xfId="0" applyAlignment="1" applyBorder="1" applyFont="1" applyNumberFormat="1">
      <alignment shrinkToFit="0" wrapText="1"/>
    </xf>
    <xf borderId="22" fillId="0" fontId="3" numFmtId="169" xfId="0" applyAlignment="1" applyBorder="1" applyFont="1" applyNumberFormat="1">
      <alignment horizontal="left" shrinkToFit="0" wrapText="1"/>
    </xf>
    <xf borderId="29" fillId="2" fontId="8" numFmtId="172" xfId="0" applyAlignment="1" applyBorder="1" applyFont="1" applyNumberFormat="1">
      <alignment horizontal="right" readingOrder="0"/>
    </xf>
    <xf borderId="31" fillId="2" fontId="3" numFmtId="172" xfId="0" applyAlignment="1" applyBorder="1" applyFont="1" applyNumberFormat="1">
      <alignment horizontal="right"/>
    </xf>
    <xf borderId="9" fillId="0" fontId="3" numFmtId="172" xfId="0" applyAlignment="1" applyBorder="1" applyFont="1" applyNumberFormat="1">
      <alignment horizontal="center" shrinkToFit="0" wrapText="1"/>
    </xf>
    <xf borderId="9" fillId="0" fontId="3" numFmtId="176" xfId="0" applyAlignment="1" applyBorder="1" applyFont="1" applyNumberFormat="1">
      <alignment horizontal="center" readingOrder="0"/>
    </xf>
    <xf borderId="9" fillId="0" fontId="9" numFmtId="172" xfId="0" applyAlignment="1" applyBorder="1" applyFont="1" applyNumberFormat="1">
      <alignment horizontal="right" shrinkToFit="0" wrapText="1"/>
    </xf>
    <xf borderId="15" fillId="0" fontId="8" numFmtId="164" xfId="0" applyAlignment="1" applyBorder="1" applyFont="1" applyNumberFormat="1">
      <alignment horizontal="right" shrinkToFit="0" wrapText="1"/>
    </xf>
    <xf borderId="9" fillId="0" fontId="9" numFmtId="172" xfId="0" applyAlignment="1" applyBorder="1" applyFont="1" applyNumberFormat="1">
      <alignment horizontal="center" shrinkToFit="0" wrapText="1"/>
    </xf>
    <xf borderId="0" fillId="0" fontId="3" numFmtId="172" xfId="0" applyFont="1" applyNumberFormat="1"/>
    <xf borderId="0" fillId="0" fontId="9" numFmtId="0" xfId="0" applyAlignment="1" applyFont="1">
      <alignment horizontal="center" shrinkToFit="0" wrapText="1"/>
    </xf>
    <xf borderId="32" fillId="4" fontId="9" numFmtId="0" xfId="0" applyAlignment="1" applyBorder="1" applyFont="1">
      <alignment horizontal="center" shrinkToFit="0" wrapText="1"/>
    </xf>
    <xf borderId="30" fillId="4" fontId="9" numFmtId="0" xfId="0" applyAlignment="1" applyBorder="1" applyFont="1">
      <alignment horizontal="center" shrinkToFit="0" wrapText="1"/>
    </xf>
    <xf borderId="33" fillId="0" fontId="3" numFmtId="172" xfId="0" applyBorder="1" applyFont="1" applyNumberFormat="1"/>
    <xf borderId="26" fillId="0" fontId="3" numFmtId="0" xfId="0" applyAlignment="1" applyBorder="1" applyFont="1">
      <alignment shrinkToFit="0" wrapText="1"/>
    </xf>
    <xf borderId="28" fillId="0" fontId="3" numFmtId="177" xfId="0" applyAlignment="1" applyBorder="1" applyFont="1" applyNumberFormat="1">
      <alignment horizontal="right" shrinkToFit="0" wrapText="1"/>
    </xf>
    <xf borderId="28" fillId="0" fontId="3" numFmtId="4" xfId="0" applyAlignment="1" applyBorder="1" applyFont="1" applyNumberFormat="1">
      <alignment horizontal="center" shrinkToFit="0" wrapText="1"/>
    </xf>
    <xf borderId="0" fillId="0" fontId="3" numFmtId="4" xfId="0" applyAlignment="1" applyFont="1" applyNumberFormat="1">
      <alignment horizontal="right" shrinkToFit="0" wrapText="1"/>
    </xf>
    <xf borderId="33" fillId="0" fontId="3" numFmtId="0" xfId="0" applyBorder="1" applyFont="1"/>
    <xf borderId="28" fillId="0" fontId="3" numFmtId="178" xfId="0" applyAlignment="1" applyBorder="1" applyFont="1" applyNumberFormat="1">
      <alignment horizontal="right" shrinkToFit="0" wrapText="1"/>
    </xf>
    <xf borderId="15" fillId="0" fontId="3" numFmtId="164" xfId="0" applyAlignment="1" applyBorder="1" applyFont="1" applyNumberFormat="1">
      <alignment horizontal="center"/>
    </xf>
    <xf borderId="16" fillId="0" fontId="3" numFmtId="4" xfId="0" applyAlignment="1" applyBorder="1" applyFont="1" applyNumberFormat="1">
      <alignment horizontal="right" shrinkToFit="0" wrapText="1"/>
    </xf>
    <xf borderId="28" fillId="0" fontId="3" numFmtId="171" xfId="0" applyAlignment="1" applyBorder="1" applyFont="1" applyNumberFormat="1">
      <alignment horizontal="right" shrinkToFit="0" wrapText="1"/>
    </xf>
    <xf borderId="22" fillId="0" fontId="3" numFmtId="4" xfId="0" applyAlignment="1" applyBorder="1" applyFont="1" applyNumberFormat="1">
      <alignment horizontal="center" shrinkToFit="0" wrapText="1"/>
    </xf>
    <xf borderId="33" fillId="0" fontId="9" numFmtId="4" xfId="0" applyBorder="1" applyFont="1" applyNumberFormat="1"/>
    <xf borderId="22" fillId="0" fontId="9" numFmtId="0" xfId="0" applyAlignment="1" applyBorder="1" applyFont="1">
      <alignment horizontal="center" shrinkToFit="0" wrapText="1"/>
    </xf>
    <xf borderId="15" fillId="0" fontId="9" numFmtId="4" xfId="0" applyAlignment="1" applyBorder="1" applyFont="1" applyNumberFormat="1">
      <alignment horizontal="right" shrinkToFit="0" wrapText="1"/>
    </xf>
    <xf borderId="9" fillId="2" fontId="1" numFmtId="0" xfId="0" applyBorder="1" applyFont="1"/>
    <xf borderId="15" fillId="2" fontId="5" numFmtId="0" xfId="0" applyAlignment="1" applyBorder="1" applyFont="1">
      <alignment horizontal="center"/>
    </xf>
    <xf borderId="31" fillId="2" fontId="5" numFmtId="0" xfId="0" applyAlignment="1" applyBorder="1" applyFont="1">
      <alignment shrinkToFit="0" wrapText="1"/>
    </xf>
    <xf borderId="34" fillId="2" fontId="5" numFmtId="0" xfId="0" applyAlignment="1" applyBorder="1" applyFont="1">
      <alignment horizontal="center"/>
    </xf>
    <xf borderId="9" fillId="2" fontId="5" numFmtId="0" xfId="0" applyAlignment="1" applyBorder="1" applyFont="1">
      <alignment horizontal="right"/>
    </xf>
    <xf borderId="9" fillId="2" fontId="5" numFmtId="0" xfId="0" applyAlignment="1" applyBorder="1" applyFont="1">
      <alignment horizontal="center"/>
    </xf>
    <xf borderId="9" fillId="2" fontId="1" numFmtId="167" xfId="0" applyAlignment="1" applyBorder="1" applyFont="1" applyNumberFormat="1">
      <alignment shrinkToFit="0" wrapText="1"/>
    </xf>
    <xf borderId="9" fillId="2" fontId="1" numFmtId="167" xfId="0" applyAlignment="1" applyBorder="1" applyFont="1" applyNumberFormat="1">
      <alignment horizontal="center"/>
    </xf>
    <xf borderId="32" fillId="2" fontId="1" numFmtId="4" xfId="0" applyAlignment="1" applyBorder="1" applyFont="1" applyNumberFormat="1">
      <alignment horizontal="right"/>
    </xf>
    <xf borderId="9" fillId="2" fontId="2" numFmtId="175" xfId="0" applyAlignment="1" applyBorder="1" applyFont="1" applyNumberFormat="1">
      <alignment horizontal="right"/>
    </xf>
    <xf borderId="9" fillId="2" fontId="1" numFmtId="4" xfId="0" applyAlignment="1" applyBorder="1" applyFont="1" applyNumberFormat="1">
      <alignment horizontal="center"/>
    </xf>
    <xf borderId="9" fillId="2" fontId="1" numFmtId="4" xfId="0" applyAlignment="1" applyBorder="1" applyFont="1" applyNumberFormat="1">
      <alignment horizontal="right"/>
    </xf>
    <xf borderId="9" fillId="2" fontId="2" numFmtId="172" xfId="0" applyAlignment="1" applyBorder="1" applyFont="1" applyNumberFormat="1">
      <alignment horizontal="right"/>
    </xf>
    <xf borderId="9" fillId="2" fontId="1" numFmtId="164" xfId="0" applyAlignment="1" applyBorder="1" applyFont="1" applyNumberFormat="1">
      <alignment horizontal="center"/>
    </xf>
    <xf borderId="9" fillId="0" fontId="1" numFmtId="164" xfId="0" applyAlignment="1" applyBorder="1" applyFont="1" applyNumberFormat="1">
      <alignment horizontal="center"/>
    </xf>
    <xf borderId="29" fillId="2" fontId="5" numFmtId="0" xfId="0" applyAlignment="1" applyBorder="1" applyFont="1">
      <alignment shrinkToFit="0" wrapText="1"/>
    </xf>
    <xf borderId="29" fillId="2" fontId="5" numFmtId="4" xfId="0" applyAlignment="1" applyBorder="1" applyFont="1" applyNumberFormat="1">
      <alignment horizontal="right"/>
    </xf>
    <xf borderId="9" fillId="2" fontId="5" numFmtId="4" xfId="0" applyAlignment="1" applyBorder="1" applyFont="1" applyNumberFormat="1">
      <alignment horizontal="right"/>
    </xf>
    <xf borderId="9" fillId="2" fontId="5" numFmtId="0" xfId="0" applyBorder="1" applyFont="1"/>
    <xf borderId="9" fillId="0" fontId="1" numFmtId="0" xfId="0" applyBorder="1" applyFont="1"/>
    <xf borderId="9" fillId="0" fontId="1" numFmtId="0" xfId="0" applyAlignment="1" applyBorder="1" applyFont="1">
      <alignment horizontal="right"/>
    </xf>
    <xf borderId="9" fillId="2" fontId="5" numFmtId="0" xfId="0" applyAlignment="1" applyBorder="1" applyFont="1">
      <alignment shrinkToFit="0" wrapText="1"/>
    </xf>
    <xf borderId="31" fillId="2" fontId="5" numFmtId="0" xfId="0" applyBorder="1" applyFont="1"/>
    <xf borderId="7" fillId="2" fontId="1" numFmtId="167" xfId="0" applyAlignment="1" applyBorder="1" applyFont="1" applyNumberFormat="1">
      <alignment horizontal="right" vertical="center"/>
    </xf>
    <xf borderId="31" fillId="2" fontId="1" numFmtId="0" xfId="0" applyBorder="1" applyFont="1"/>
    <xf borderId="32" fillId="2" fontId="1" numFmtId="0" xfId="0" applyBorder="1" applyFont="1"/>
    <xf borderId="9" fillId="2" fontId="1" numFmtId="167" xfId="0" applyAlignment="1" applyBorder="1" applyFont="1" applyNumberFormat="1">
      <alignment horizontal="right"/>
    </xf>
    <xf borderId="9" fillId="0" fontId="2" numFmtId="4" xfId="0" applyAlignment="1" applyBorder="1" applyFont="1" applyNumberFormat="1">
      <alignment horizontal="right"/>
    </xf>
    <xf borderId="9" fillId="0" fontId="1" numFmtId="4" xfId="0" applyAlignment="1" applyBorder="1" applyFont="1" applyNumberFormat="1">
      <alignment horizontal="right"/>
    </xf>
    <xf borderId="9" fillId="2" fontId="2" numFmtId="0" xfId="0" applyBorder="1" applyFont="1"/>
    <xf borderId="32" fillId="2" fontId="5" numFmtId="164" xfId="0" applyAlignment="1" applyBorder="1" applyFont="1" applyNumberFormat="1">
      <alignment horizontal="right"/>
    </xf>
    <xf borderId="9" fillId="0" fontId="14" numFmtId="164" xfId="0" applyBorder="1" applyFont="1" applyNumberFormat="1"/>
    <xf borderId="29" fillId="2" fontId="5" numFmtId="0" xfId="0" applyBorder="1" applyFont="1"/>
    <xf borderId="9" fillId="2" fontId="5" numFmtId="4" xfId="0" applyBorder="1" applyFont="1" applyNumberFormat="1"/>
    <xf borderId="31" fillId="2" fontId="1" numFmtId="4" xfId="0" applyAlignment="1" applyBorder="1" applyFont="1" applyNumberFormat="1">
      <alignment horizontal="right"/>
    </xf>
    <xf borderId="20" fillId="2" fontId="1" numFmtId="0" xfId="0" applyBorder="1" applyFont="1"/>
    <xf borderId="15" fillId="0" fontId="1" numFmtId="0" xfId="0" applyBorder="1" applyFont="1"/>
    <xf borderId="9" fillId="2" fontId="1" numFmtId="167" xfId="0" applyAlignment="1" applyBorder="1" applyFont="1" applyNumberFormat="1">
      <alignment horizontal="right" vertical="center"/>
    </xf>
    <xf borderId="9" fillId="2" fontId="5" numFmtId="164" xfId="0" applyBorder="1" applyFont="1" applyNumberFormat="1"/>
    <xf borderId="29" fillId="2" fontId="1" numFmtId="167" xfId="0" applyAlignment="1" applyBorder="1" applyFont="1" applyNumberFormat="1">
      <alignment horizontal="right"/>
    </xf>
    <xf borderId="9" fillId="2" fontId="7" numFmtId="0" xfId="0" applyBorder="1" applyFont="1"/>
    <xf borderId="9" fillId="2" fontId="7" numFmtId="4" xfId="0" applyBorder="1" applyFont="1" applyNumberFormat="1"/>
    <xf borderId="9" fillId="2" fontId="15" numFmtId="0" xfId="0" applyAlignment="1" applyBorder="1" applyFont="1">
      <alignment horizontal="left"/>
    </xf>
    <xf borderId="9" fillId="2" fontId="15" numFmtId="0" xfId="0" applyAlignment="1" applyBorder="1" applyFont="1">
      <alignment horizontal="right"/>
    </xf>
    <xf borderId="9" fillId="2" fontId="15" numFmtId="0" xfId="0" applyAlignment="1" applyBorder="1" applyFont="1">
      <alignment horizontal="center"/>
    </xf>
    <xf borderId="9" fillId="2" fontId="16" numFmtId="0" xfId="0" applyBorder="1" applyFont="1"/>
    <xf borderId="9" fillId="2" fontId="16" numFmtId="172" xfId="0" applyAlignment="1" applyBorder="1" applyFont="1" applyNumberFormat="1">
      <alignment horizontal="right"/>
    </xf>
    <xf borderId="9" fillId="2" fontId="16" numFmtId="164" xfId="0" applyAlignment="1" applyBorder="1" applyFont="1" applyNumberFormat="1">
      <alignment horizontal="right"/>
    </xf>
    <xf borderId="9" fillId="2" fontId="1" numFmtId="4" xfId="0" applyBorder="1" applyFont="1" applyNumberFormat="1"/>
    <xf borderId="31" fillId="2" fontId="16" numFmtId="0" xfId="0" applyBorder="1" applyFont="1"/>
    <xf borderId="31" fillId="2" fontId="16" numFmtId="0" xfId="0" applyAlignment="1" applyBorder="1" applyFont="1">
      <alignment horizontal="right"/>
    </xf>
    <xf borderId="31" fillId="2" fontId="16" numFmtId="164" xfId="0" applyAlignment="1" applyBorder="1" applyFont="1" applyNumberFormat="1">
      <alignment horizontal="right"/>
    </xf>
    <xf borderId="31" fillId="2" fontId="2" numFmtId="4" xfId="0" applyBorder="1" applyFont="1" applyNumberFormat="1"/>
    <xf borderId="9" fillId="2" fontId="15" numFmtId="0" xfId="0" applyBorder="1" applyFont="1"/>
    <xf borderId="15" fillId="0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9" fillId="0" fontId="1" numFmtId="164" xfId="0" applyBorder="1" applyFont="1" applyNumberFormat="1"/>
    <xf borderId="35" fillId="0" fontId="8" numFmtId="0" xfId="0" applyAlignment="1" applyBorder="1" applyFont="1">
      <alignment shrinkToFit="0" wrapText="1"/>
    </xf>
    <xf borderId="15" fillId="0" fontId="2" numFmtId="4" xfId="0" applyBorder="1" applyFont="1" applyNumberFormat="1"/>
    <xf borderId="9" fillId="5" fontId="1" numFmtId="0" xfId="0" applyAlignment="1" applyBorder="1" applyFill="1" applyFont="1">
      <alignment readingOrder="0"/>
    </xf>
    <xf borderId="15" fillId="2" fontId="1" numFmtId="0" xfId="0" applyBorder="1" applyFont="1"/>
    <xf borderId="15" fillId="4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 shrinkToFit="0" wrapText="1"/>
    </xf>
    <xf borderId="19" fillId="0" fontId="5" numFmtId="0" xfId="0" applyAlignment="1" applyBorder="1" applyFont="1">
      <alignment horizontal="center"/>
    </xf>
    <xf borderId="9" fillId="0" fontId="1" numFmtId="175" xfId="0" applyBorder="1" applyFont="1" applyNumberFormat="1"/>
    <xf borderId="28" fillId="0" fontId="1" numFmtId="171" xfId="0" applyAlignment="1" applyBorder="1" applyFont="1" applyNumberFormat="1">
      <alignment horizontal="right" shrinkToFit="0" wrapText="1"/>
    </xf>
    <xf borderId="9" fillId="0" fontId="1" numFmtId="4" xfId="0" applyAlignment="1" applyBorder="1" applyFont="1" applyNumberFormat="1">
      <alignment horizontal="center"/>
    </xf>
    <xf borderId="1" fillId="2" fontId="2" numFmtId="172" xfId="0" applyAlignment="1" applyBorder="1" applyFont="1" applyNumberFormat="1">
      <alignment horizontal="right"/>
    </xf>
    <xf borderId="0" fillId="0" fontId="2" numFmtId="172" xfId="0" applyAlignment="1" applyFont="1" applyNumberFormat="1">
      <alignment horizontal="right"/>
    </xf>
    <xf borderId="22" fillId="0" fontId="1" numFmtId="4" xfId="0" applyAlignment="1" applyBorder="1" applyFont="1" applyNumberFormat="1">
      <alignment horizontal="center" shrinkToFit="0" wrapText="1"/>
    </xf>
    <xf borderId="0" fillId="0" fontId="1" numFmtId="179" xfId="0" applyFont="1" applyNumberFormat="1"/>
    <xf borderId="9" fillId="0" fontId="1" numFmtId="0" xfId="0" applyAlignment="1" applyBorder="1" applyFont="1">
      <alignment horizontal="left"/>
    </xf>
    <xf borderId="9" fillId="0" fontId="5" numFmtId="175" xfId="0" applyAlignment="1" applyBorder="1" applyFont="1" applyNumberFormat="1">
      <alignment horizontal="center"/>
    </xf>
    <xf borderId="9" fillId="0" fontId="5" numFmtId="172" xfId="0" applyAlignment="1" applyBorder="1" applyFont="1" applyNumberFormat="1">
      <alignment horizontal="right"/>
    </xf>
    <xf borderId="9" fillId="0" fontId="5" numFmtId="171" xfId="0" applyBorder="1" applyFont="1" applyNumberFormat="1"/>
    <xf borderId="9" fillId="0" fontId="5" numFmtId="175" xfId="0" applyBorder="1" applyFont="1" applyNumberFormat="1"/>
    <xf borderId="1" fillId="2" fontId="1" numFmtId="172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2" xfId="0" applyFont="1" applyNumberFormat="1"/>
    <xf borderId="26" fillId="0" fontId="5" numFmtId="0" xfId="0" applyAlignment="1" applyBorder="1" applyFont="1">
      <alignment horizontal="center"/>
    </xf>
    <xf borderId="28" fillId="0" fontId="5" numFmtId="0" xfId="0" applyAlignment="1" applyBorder="1" applyFont="1">
      <alignment horizontal="center"/>
    </xf>
    <xf borderId="26" fillId="0" fontId="1" numFmtId="0" xfId="0" applyBorder="1" applyFont="1"/>
    <xf borderId="28" fillId="0" fontId="1" numFmtId="172" xfId="0" applyAlignment="1" applyBorder="1" applyFont="1" applyNumberFormat="1">
      <alignment horizontal="right"/>
    </xf>
    <xf borderId="9" fillId="0" fontId="2" numFmtId="172" xfId="0" applyAlignment="1" applyBorder="1" applyFont="1" applyNumberFormat="1">
      <alignment horizontal="right" readingOrder="0"/>
    </xf>
    <xf borderId="28" fillId="0" fontId="1" numFmtId="0" xfId="0" applyBorder="1" applyFont="1"/>
    <xf borderId="0" fillId="0" fontId="4" numFmtId="172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9" fillId="0" fontId="17" numFmtId="172" xfId="0" applyAlignment="1" applyBorder="1" applyFont="1" applyNumberFormat="1">
      <alignment horizontal="right" readingOrder="0"/>
    </xf>
    <xf borderId="28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vertical="center"/>
    </xf>
    <xf borderId="9" fillId="0" fontId="2" numFmtId="172" xfId="0" applyAlignment="1" applyBorder="1" applyFont="1" applyNumberFormat="1">
      <alignment horizontal="right"/>
    </xf>
    <xf borderId="28" fillId="0" fontId="1" numFmtId="0" xfId="0" applyAlignment="1" applyBorder="1" applyFont="1">
      <alignment vertical="center"/>
    </xf>
    <xf borderId="28" fillId="0" fontId="1" numFmtId="0" xfId="0" applyAlignment="1" applyBorder="1" applyFont="1">
      <alignment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9" fillId="0" fontId="1" numFmtId="172" xfId="0" applyAlignment="1" applyBorder="1" applyFont="1" applyNumberFormat="1">
      <alignment horizontal="right" readingOrder="0"/>
    </xf>
    <xf borderId="9" fillId="0" fontId="1" numFmtId="172" xfId="0" applyBorder="1" applyFont="1" applyNumberFormat="1"/>
    <xf borderId="28" fillId="0" fontId="1" numFmtId="176" xfId="0" applyAlignment="1" applyBorder="1" applyFont="1" applyNumberFormat="1">
      <alignment readingOrder="0"/>
    </xf>
    <xf borderId="5" fillId="2" fontId="5" numFmtId="172" xfId="0" applyAlignment="1" applyBorder="1" applyFont="1" applyNumberFormat="1">
      <alignment horizontal="right"/>
    </xf>
    <xf borderId="36" fillId="2" fontId="5" numFmtId="172" xfId="0" applyAlignment="1" applyBorder="1" applyFont="1" applyNumberFormat="1">
      <alignment horizontal="right"/>
    </xf>
    <xf borderId="27" fillId="0" fontId="1" numFmtId="0" xfId="0" applyBorder="1" applyFont="1"/>
    <xf borderId="21" fillId="0" fontId="1" numFmtId="0" xfId="0" applyBorder="1" applyFont="1"/>
    <xf borderId="21" fillId="0" fontId="2" numFmtId="164" xfId="0" applyAlignment="1" applyBorder="1" applyFont="1" applyNumberFormat="1">
      <alignment horizontal="center"/>
    </xf>
    <xf borderId="0" fillId="0" fontId="1" numFmtId="175" xfId="0" applyAlignment="1" applyFont="1" applyNumberFormat="1">
      <alignment horizontal="right" shrinkToFit="0" wrapText="1"/>
    </xf>
    <xf borderId="0" fillId="0" fontId="2" numFmtId="172" xfId="0" applyAlignment="1" applyFont="1" applyNumberFormat="1">
      <alignment horizontal="right" readingOrder="0"/>
    </xf>
    <xf borderId="9" fillId="0" fontId="2" numFmtId="172" xfId="0" applyAlignment="1" applyBorder="1" applyFont="1" applyNumberFormat="1">
      <alignment horizontal="center"/>
    </xf>
    <xf borderId="9" fillId="0" fontId="2" numFmtId="164" xfId="0" applyAlignment="1" applyBorder="1" applyFont="1" applyNumberFormat="1">
      <alignment horizontal="center"/>
    </xf>
    <xf borderId="9" fillId="0" fontId="2" numFmtId="175" xfId="0" applyAlignment="1" applyBorder="1" applyFont="1" applyNumberFormat="1">
      <alignment horizontal="left"/>
    </xf>
    <xf borderId="9" fillId="0" fontId="5" numFmtId="0" xfId="0" applyBorder="1" applyFont="1"/>
    <xf borderId="9" fillId="0" fontId="5" numFmtId="172" xfId="0" applyBorder="1" applyFont="1" applyNumberFormat="1"/>
    <xf borderId="9" fillId="0" fontId="7" numFmtId="172" xfId="0" applyAlignment="1" applyBorder="1" applyFont="1" applyNumberFormat="1">
      <alignment horizontal="center"/>
    </xf>
    <xf borderId="9" fillId="0" fontId="2" numFmtId="175" xfId="0" applyBorder="1" applyFont="1" applyNumberFormat="1"/>
    <xf borderId="21" fillId="0" fontId="2" numFmtId="172" xfId="0" applyAlignment="1" applyBorder="1" applyFont="1" applyNumberFormat="1">
      <alignment horizontal="right"/>
    </xf>
    <xf borderId="0" fillId="0" fontId="1" numFmtId="172" xfId="0" applyAlignment="1" applyFont="1" applyNumberFormat="1">
      <alignment horizontal="right"/>
    </xf>
    <xf borderId="37" fillId="0" fontId="12" numFmtId="0" xfId="0" applyBorder="1" applyFont="1"/>
    <xf borderId="9" fillId="0" fontId="1" numFmtId="166" xfId="0" applyAlignment="1" applyBorder="1" applyFont="1" applyNumberFormat="1">
      <alignment horizontal="right" shrinkToFit="0" vertical="top" wrapText="1"/>
    </xf>
    <xf borderId="9" fillId="0" fontId="1" numFmtId="166" xfId="0" applyAlignment="1" applyBorder="1" applyFont="1" applyNumberFormat="1">
      <alignment horizontal="right"/>
    </xf>
    <xf borderId="9" fillId="0" fontId="1" numFmtId="166" xfId="0" applyAlignment="1" applyBorder="1" applyFont="1" applyNumberFormat="1">
      <alignment horizontal="center"/>
    </xf>
    <xf borderId="9" fillId="0" fontId="1" numFmtId="0" xfId="0" applyAlignment="1" applyBorder="1" applyFont="1">
      <alignment horizontal="center"/>
    </xf>
    <xf borderId="9" fillId="2" fontId="1" numFmtId="164" xfId="0" applyAlignment="1" applyBorder="1" applyFont="1" applyNumberFormat="1">
      <alignment shrinkToFit="0" wrapText="1"/>
    </xf>
    <xf borderId="9" fillId="0" fontId="2" numFmtId="166" xfId="0" applyAlignment="1" applyBorder="1" applyFont="1" applyNumberFormat="1">
      <alignment horizontal="right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101727156.2</v>
      </c>
      <c r="E2" s="3">
        <f>SUM(G2:AB2)</f>
        <v>101727156.2</v>
      </c>
      <c r="F2" s="6"/>
      <c r="G2" s="6">
        <f t="shared" ref="G2:AB2" si="1">G38</f>
        <v>50000000</v>
      </c>
      <c r="H2" s="6">
        <f t="shared" si="1"/>
        <v>11188116.27</v>
      </c>
      <c r="I2" s="6">
        <f t="shared" si="1"/>
        <v>530.75</v>
      </c>
      <c r="J2" s="6">
        <f t="shared" si="1"/>
        <v>0</v>
      </c>
      <c r="K2" s="6">
        <f t="shared" si="1"/>
        <v>0</v>
      </c>
      <c r="L2" s="6">
        <f t="shared" si="1"/>
        <v>569172</v>
      </c>
      <c r="M2" s="6">
        <f t="shared" si="1"/>
        <v>820011.6791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310013.7591</v>
      </c>
      <c r="S2" s="6">
        <f t="shared" si="1"/>
        <v>0</v>
      </c>
      <c r="T2" s="6">
        <f t="shared" si="1"/>
        <v>0</v>
      </c>
      <c r="U2" s="3">
        <f t="shared" si="1"/>
        <v>0</v>
      </c>
      <c r="V2" s="3">
        <f t="shared" si="1"/>
        <v>770000</v>
      </c>
      <c r="W2" s="3">
        <f t="shared" si="1"/>
        <v>14752935</v>
      </c>
      <c r="X2" s="3">
        <f t="shared" si="1"/>
        <v>0</v>
      </c>
      <c r="Y2" s="3">
        <f t="shared" si="1"/>
        <v>0</v>
      </c>
      <c r="Z2" s="3">
        <f t="shared" si="1"/>
        <v>0</v>
      </c>
      <c r="AA2" s="3">
        <f t="shared" si="1"/>
        <v>3876666.67</v>
      </c>
      <c r="AB2" s="3">
        <f t="shared" si="1"/>
        <v>19439710.09</v>
      </c>
      <c r="AC2" s="1"/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0" t="s">
        <v>5</v>
      </c>
      <c r="H3" s="10" t="s">
        <v>6</v>
      </c>
      <c r="I3" s="11" t="s">
        <v>7</v>
      </c>
      <c r="J3" s="12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0" t="s">
        <v>15</v>
      </c>
      <c r="R3" s="10" t="s">
        <v>16</v>
      </c>
      <c r="S3" s="10" t="s">
        <v>17</v>
      </c>
      <c r="T3" s="10" t="s">
        <v>18</v>
      </c>
      <c r="U3" s="10" t="s">
        <v>19</v>
      </c>
      <c r="V3" s="11" t="s">
        <v>20</v>
      </c>
      <c r="W3" s="11" t="s">
        <v>21</v>
      </c>
      <c r="X3" s="13" t="s">
        <v>22</v>
      </c>
      <c r="Y3" s="11" t="s">
        <v>23</v>
      </c>
      <c r="Z3" s="11" t="s">
        <v>24</v>
      </c>
      <c r="AA3" s="10" t="s">
        <v>25</v>
      </c>
      <c r="AB3" s="10" t="s">
        <v>26</v>
      </c>
      <c r="AC3" s="10"/>
    </row>
    <row r="4" ht="15.75" customHeight="1">
      <c r="A4" s="14" t="s">
        <v>27</v>
      </c>
      <c r="B4" s="15"/>
      <c r="C4" s="16" t="s">
        <v>28</v>
      </c>
      <c r="D4" s="17">
        <v>0.0</v>
      </c>
      <c r="E4" s="18">
        <f>SUM(G4:AB4)</f>
        <v>0</v>
      </c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  <c r="AB4" s="3"/>
      <c r="AC4" s="1"/>
    </row>
    <row r="5" ht="15.75" customHeight="1">
      <c r="A5" s="19" t="s">
        <v>29</v>
      </c>
      <c r="B5" s="15">
        <f>G2</f>
        <v>50000000</v>
      </c>
      <c r="C5" s="20" t="s">
        <v>30</v>
      </c>
      <c r="D5" s="17">
        <v>0.0</v>
      </c>
      <c r="E5" s="18">
        <f t="shared" ref="E5:E17" si="2">SUM(G5:AA5)</f>
        <v>0</v>
      </c>
      <c r="F5" s="3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1"/>
      <c r="AB5" s="1"/>
      <c r="AC5" s="1"/>
    </row>
    <row r="6" ht="15.75" customHeight="1">
      <c r="A6" s="21" t="s">
        <v>31</v>
      </c>
      <c r="B6" s="22">
        <f>H2</f>
        <v>11188116.27</v>
      </c>
      <c r="C6" s="16" t="s">
        <v>32</v>
      </c>
      <c r="D6" s="17">
        <v>0.0</v>
      </c>
      <c r="E6" s="18">
        <f t="shared" si="2"/>
        <v>0</v>
      </c>
      <c r="F6" s="3"/>
      <c r="G6" s="6"/>
      <c r="H6" s="6"/>
      <c r="I6" s="23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  <c r="AB6" s="1"/>
      <c r="AC6" s="1"/>
    </row>
    <row r="7" ht="15.75" customHeight="1">
      <c r="A7" s="24" t="str">
        <f>R3</f>
        <v>Software Tools</v>
      </c>
      <c r="B7" s="25">
        <f>R2</f>
        <v>310013.7591</v>
      </c>
      <c r="C7" s="20" t="s">
        <v>33</v>
      </c>
      <c r="D7" s="17">
        <v>0.0</v>
      </c>
      <c r="E7" s="18">
        <f t="shared" si="2"/>
        <v>0</v>
      </c>
      <c r="F7" s="3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1"/>
      <c r="AB7" s="1"/>
      <c r="AC7" s="1"/>
    </row>
    <row r="8" ht="15.75" customHeight="1">
      <c r="A8" s="24" t="str">
        <f>M3</f>
        <v>Flight Ticket/Accommodation</v>
      </c>
      <c r="B8" s="26">
        <f>M2</f>
        <v>820011.6791</v>
      </c>
      <c r="C8" s="20" t="s">
        <v>34</v>
      </c>
      <c r="D8" s="17">
        <v>0.0</v>
      </c>
      <c r="E8" s="18">
        <f t="shared" si="2"/>
        <v>0</v>
      </c>
      <c r="F8" s="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  <c r="AB8" s="1"/>
      <c r="AC8" s="1"/>
    </row>
    <row r="9" ht="15.75" customHeight="1">
      <c r="A9" s="25" t="str">
        <f>W3</f>
        <v>NIMC -Licenses Fee</v>
      </c>
      <c r="B9" s="25">
        <f>W2</f>
        <v>14752935</v>
      </c>
      <c r="C9" s="16" t="s">
        <v>35</v>
      </c>
      <c r="D9" s="17">
        <v>0.0</v>
      </c>
      <c r="E9" s="18">
        <f t="shared" si="2"/>
        <v>0</v>
      </c>
      <c r="F9" s="3"/>
      <c r="G9" s="6"/>
      <c r="H9" s="6"/>
      <c r="I9" s="2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  <c r="AB9" s="1"/>
      <c r="AC9" s="1"/>
    </row>
    <row r="10" ht="15.75" customHeight="1">
      <c r="A10" s="27" t="str">
        <f>AA3</f>
        <v>Exit  Salary</v>
      </c>
      <c r="B10" s="25">
        <f>AA2</f>
        <v>3876666.67</v>
      </c>
      <c r="C10" s="28" t="s">
        <v>36</v>
      </c>
      <c r="D10" s="17">
        <v>12.0</v>
      </c>
      <c r="E10" s="18">
        <f t="shared" si="2"/>
        <v>12</v>
      </c>
      <c r="F10" s="3"/>
      <c r="G10" s="6"/>
      <c r="H10" s="6"/>
      <c r="I10" s="6">
        <v>12.0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1"/>
      <c r="AB10" s="1"/>
      <c r="AC10" s="1"/>
    </row>
    <row r="11" ht="15.75" customHeight="1">
      <c r="A11" s="25" t="str">
        <f>V3</f>
        <v>BTA</v>
      </c>
      <c r="B11" s="25">
        <f>V2</f>
        <v>770000</v>
      </c>
      <c r="C11" s="16" t="s">
        <v>37</v>
      </c>
      <c r="D11" s="17">
        <v>0.0</v>
      </c>
      <c r="E11" s="18">
        <f t="shared" si="2"/>
        <v>0</v>
      </c>
      <c r="F11" s="3"/>
      <c r="G11" s="6"/>
      <c r="H11" s="6"/>
      <c r="I11" s="2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"/>
      <c r="AB11" s="1"/>
      <c r="AC11" s="1"/>
    </row>
    <row r="12" ht="15.75" customHeight="1">
      <c r="A12" s="27" t="str">
        <f>AB3</f>
        <v>Paye</v>
      </c>
      <c r="B12" s="25">
        <f>AB2</f>
        <v>19439710.09</v>
      </c>
      <c r="C12" s="20" t="s">
        <v>38</v>
      </c>
      <c r="D12" s="17">
        <v>0.0</v>
      </c>
      <c r="E12" s="18">
        <f t="shared" si="2"/>
        <v>0</v>
      </c>
      <c r="F12" s="3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1"/>
      <c r="AB12" s="1"/>
      <c r="AC12" s="1"/>
    </row>
    <row r="13" ht="15.75" customHeight="1">
      <c r="A13" s="29" t="str">
        <f>L3</f>
        <v>Training</v>
      </c>
      <c r="B13" s="25">
        <f>L2</f>
        <v>569172</v>
      </c>
      <c r="C13" s="16" t="s">
        <v>39</v>
      </c>
      <c r="D13" s="17">
        <v>0.0</v>
      </c>
      <c r="E13" s="18">
        <f t="shared" si="2"/>
        <v>0</v>
      </c>
      <c r="F13" s="3"/>
      <c r="G13" s="6"/>
      <c r="H13" s="30"/>
      <c r="I13" s="30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1"/>
      <c r="AB13" s="1"/>
      <c r="AC13" s="1"/>
    </row>
    <row r="14" ht="15.75" customHeight="1">
      <c r="A14" s="31" t="s">
        <v>40</v>
      </c>
      <c r="B14" s="26">
        <f>I2</f>
        <v>530.75</v>
      </c>
      <c r="C14" s="20" t="s">
        <v>41</v>
      </c>
      <c r="D14" s="17">
        <v>0.0</v>
      </c>
      <c r="E14" s="18">
        <f t="shared" si="2"/>
        <v>0</v>
      </c>
      <c r="F14" s="3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1"/>
      <c r="AB14" s="1"/>
      <c r="AC14" s="1"/>
    </row>
    <row r="15" ht="15.75" customHeight="1">
      <c r="A15" s="32" t="s">
        <v>4</v>
      </c>
      <c r="B15" s="33">
        <f>SUM(B5:B14)</f>
        <v>101727156.2</v>
      </c>
      <c r="C15" s="16" t="s">
        <v>42</v>
      </c>
      <c r="D15" s="17">
        <v>0.0</v>
      </c>
      <c r="E15" s="18">
        <f t="shared" si="2"/>
        <v>0</v>
      </c>
      <c r="F15" s="3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1"/>
      <c r="AB15" s="1"/>
      <c r="AC15" s="1"/>
    </row>
    <row r="16" ht="15.75" customHeight="1">
      <c r="A16" s="24" t="s">
        <v>29</v>
      </c>
      <c r="B16" s="26">
        <f>B5</f>
        <v>50000000</v>
      </c>
      <c r="C16" s="16" t="s">
        <v>43</v>
      </c>
      <c r="D16" s="17">
        <v>0.0</v>
      </c>
      <c r="E16" s="18">
        <f t="shared" si="2"/>
        <v>0</v>
      </c>
      <c r="F16" s="3"/>
      <c r="G16" s="6"/>
      <c r="H16" s="6"/>
      <c r="I16" s="6"/>
      <c r="J16" s="6"/>
      <c r="K16" s="6"/>
      <c r="L16" s="6"/>
      <c r="M16" s="23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1"/>
      <c r="AB16" s="1"/>
      <c r="AC16" s="1"/>
    </row>
    <row r="17" ht="15.75" customHeight="1">
      <c r="A17" s="27"/>
      <c r="B17" s="34">
        <f>SUM(B15-B16)</f>
        <v>51727156.22</v>
      </c>
      <c r="C17" s="20" t="s">
        <v>44</v>
      </c>
      <c r="D17" s="17">
        <v>0.0</v>
      </c>
      <c r="E17" s="18">
        <f t="shared" si="2"/>
        <v>0</v>
      </c>
      <c r="F17" s="3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1"/>
      <c r="AB17" s="1"/>
      <c r="AC17" s="1"/>
    </row>
    <row r="18" ht="15.75" customHeight="1">
      <c r="A18" s="27"/>
      <c r="B18" s="35"/>
      <c r="C18" s="16" t="s">
        <v>45</v>
      </c>
      <c r="D18" s="17">
        <v>6.943996384E7</v>
      </c>
      <c r="E18" s="18">
        <f t="shared" ref="E18:E19" si="3">SUM(G18:AB18)</f>
        <v>69439963.84</v>
      </c>
      <c r="F18" s="1"/>
      <c r="G18" s="6">
        <v>5.0E7</v>
      </c>
      <c r="H18" s="6"/>
      <c r="I18" s="23">
        <v>253.75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1"/>
      <c r="AB18" s="3">
        <v>1.943971009E7</v>
      </c>
      <c r="AC18" s="1"/>
    </row>
    <row r="19" ht="15.75" customHeight="1">
      <c r="A19" s="27"/>
      <c r="B19" s="36"/>
      <c r="C19" s="16" t="s">
        <v>46</v>
      </c>
      <c r="D19" s="17">
        <v>518535.5</v>
      </c>
      <c r="E19" s="18">
        <f t="shared" si="3"/>
        <v>518535.5</v>
      </c>
      <c r="F19" s="3"/>
      <c r="G19" s="6"/>
      <c r="H19" s="6"/>
      <c r="I19" s="23"/>
      <c r="J19" s="6"/>
      <c r="K19" s="6"/>
      <c r="L19" s="6"/>
      <c r="M19" s="37">
        <v>518535.5</v>
      </c>
      <c r="N19" s="6"/>
      <c r="O19" s="6"/>
      <c r="P19" s="6"/>
      <c r="Q19" s="6"/>
      <c r="R19" s="37"/>
      <c r="S19" s="6"/>
      <c r="T19" s="6"/>
      <c r="U19" s="6"/>
      <c r="V19" s="38"/>
      <c r="W19" s="6"/>
      <c r="X19" s="6"/>
      <c r="Y19" s="6"/>
      <c r="Z19" s="37"/>
      <c r="AA19" s="1"/>
      <c r="AB19" s="23"/>
      <c r="AC19" s="1"/>
    </row>
    <row r="20" ht="15.75" customHeight="1">
      <c r="A20" s="27"/>
      <c r="B20" s="39"/>
      <c r="C20" s="16" t="s">
        <v>47</v>
      </c>
      <c r="D20" s="17">
        <v>2.283499419E7</v>
      </c>
      <c r="E20" s="18">
        <f t="shared" ref="E20:E24" si="4">SUM(G20:AA20)</f>
        <v>22834994.19</v>
      </c>
      <c r="F20" s="3"/>
      <c r="G20" s="6"/>
      <c r="H20" s="6">
        <v>1.118811627E7</v>
      </c>
      <c r="I20" s="23">
        <v>211.25</v>
      </c>
      <c r="J20" s="6"/>
      <c r="K20" s="6"/>
      <c r="L20" s="6"/>
      <c r="M20" s="6"/>
      <c r="N20" s="6"/>
      <c r="O20" s="6"/>
      <c r="P20" s="40"/>
      <c r="Q20" s="6"/>
      <c r="R20" s="6"/>
      <c r="S20" s="6"/>
      <c r="T20" s="6"/>
      <c r="U20" s="6"/>
      <c r="V20" s="6">
        <v>770000.0</v>
      </c>
      <c r="W20" s="6">
        <v>7000000.0</v>
      </c>
      <c r="X20" s="6"/>
      <c r="Y20" s="6"/>
      <c r="Z20" s="6"/>
      <c r="AA20" s="6">
        <v>3876666.67</v>
      </c>
      <c r="AB20" s="1"/>
      <c r="AC20" s="1"/>
    </row>
    <row r="21" ht="15.75" customHeight="1">
      <c r="A21" s="27"/>
      <c r="B21" s="27"/>
      <c r="C21" s="16" t="s">
        <v>48</v>
      </c>
      <c r="D21" s="41">
        <v>7752988.75</v>
      </c>
      <c r="E21" s="18">
        <f t="shared" si="4"/>
        <v>7752988.75</v>
      </c>
      <c r="F21" s="3"/>
      <c r="G21" s="6"/>
      <c r="H21" s="6"/>
      <c r="I21" s="6">
        <v>53.75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7752935.0</v>
      </c>
      <c r="X21" s="6"/>
      <c r="Y21" s="6"/>
      <c r="Z21" s="6"/>
      <c r="AA21" s="42"/>
      <c r="AB21" s="1"/>
      <c r="AC21" s="1"/>
    </row>
    <row r="22" ht="15.75" customHeight="1">
      <c r="A22" s="27"/>
      <c r="B22" s="43"/>
      <c r="C22" s="16" t="s">
        <v>49</v>
      </c>
      <c r="D22" s="17">
        <v>0.0</v>
      </c>
      <c r="E22" s="18">
        <f t="shared" si="4"/>
        <v>0</v>
      </c>
      <c r="F22" s="3"/>
      <c r="H22" s="6"/>
      <c r="I22" s="6"/>
      <c r="J22" s="6"/>
      <c r="K22" s="6"/>
      <c r="L22" s="6"/>
      <c r="M22" s="6"/>
      <c r="N22" s="6"/>
      <c r="O22" s="6"/>
      <c r="P22" s="6"/>
      <c r="Q22" s="23"/>
      <c r="R22" s="6"/>
      <c r="S22" s="6"/>
      <c r="T22" s="6"/>
      <c r="U22" s="6"/>
      <c r="V22" s="6"/>
      <c r="W22" s="6"/>
      <c r="X22" s="6"/>
      <c r="Y22" s="6"/>
      <c r="Z22" s="6"/>
      <c r="AA22" s="1"/>
      <c r="AB22" s="1"/>
      <c r="AC22" s="1"/>
    </row>
    <row r="23" ht="15.75" customHeight="1">
      <c r="A23" s="27"/>
      <c r="B23" s="31"/>
      <c r="C23" s="44" t="s">
        <v>50</v>
      </c>
      <c r="D23" s="17">
        <v>0.0</v>
      </c>
      <c r="E23" s="18">
        <f t="shared" si="4"/>
        <v>0</v>
      </c>
      <c r="F23" s="3"/>
      <c r="G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1"/>
      <c r="AB23" s="1"/>
      <c r="AC23" s="1"/>
    </row>
    <row r="24" ht="15.75" customHeight="1">
      <c r="A24" s="27"/>
      <c r="B24" s="27"/>
      <c r="C24" s="16" t="s">
        <v>51</v>
      </c>
      <c r="D24" s="17">
        <v>0.0</v>
      </c>
      <c r="E24" s="18">
        <f t="shared" si="4"/>
        <v>0</v>
      </c>
      <c r="F24" s="3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1"/>
      <c r="AB24" s="1"/>
      <c r="AC24" s="1"/>
    </row>
    <row r="25" ht="15.75" customHeight="1">
      <c r="A25" s="19"/>
      <c r="B25" s="45"/>
      <c r="C25" s="46"/>
      <c r="D25" s="47"/>
      <c r="E25" s="18"/>
      <c r="F25" s="3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1"/>
      <c r="AB25" s="1"/>
      <c r="AC25" s="1"/>
    </row>
    <row r="26" ht="15.75" customHeight="1">
      <c r="A26" s="19"/>
      <c r="B26" s="45"/>
      <c r="C26" s="16" t="s">
        <v>52</v>
      </c>
      <c r="D26" s="17">
        <v>0.0</v>
      </c>
      <c r="E26" s="18">
        <f t="shared" ref="E26:E36" si="5">SUM(G26:AA26)</f>
        <v>0</v>
      </c>
      <c r="F26" s="3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1"/>
      <c r="AB26" s="1"/>
      <c r="AC26" s="1"/>
    </row>
    <row r="27" ht="15.75" customHeight="1">
      <c r="A27" s="19"/>
      <c r="B27" s="45"/>
      <c r="C27" s="16" t="s">
        <v>53</v>
      </c>
      <c r="D27" s="17">
        <v>0.0</v>
      </c>
      <c r="E27" s="18">
        <f t="shared" si="5"/>
        <v>0</v>
      </c>
      <c r="F27" s="3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1"/>
      <c r="AB27" s="1"/>
      <c r="AC27" s="1"/>
    </row>
    <row r="28" ht="15.75" customHeight="1">
      <c r="A28" s="19"/>
      <c r="B28" s="45"/>
      <c r="C28" s="20" t="s">
        <v>54</v>
      </c>
      <c r="D28" s="17">
        <v>0.0</v>
      </c>
      <c r="E28" s="18">
        <f t="shared" si="5"/>
        <v>0</v>
      </c>
      <c r="F28" s="3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1"/>
      <c r="AB28" s="1"/>
      <c r="AC28" s="1"/>
    </row>
    <row r="29" ht="15.75" customHeight="1">
      <c r="A29" s="48"/>
      <c r="B29" s="45"/>
      <c r="C29" s="20" t="s">
        <v>55</v>
      </c>
      <c r="D29" s="17">
        <v>0.0</v>
      </c>
      <c r="E29" s="18">
        <f t="shared" si="5"/>
        <v>0</v>
      </c>
      <c r="F29" s="3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"/>
      <c r="AB29" s="1"/>
      <c r="AC29" s="1"/>
    </row>
    <row r="30" ht="15.75" customHeight="1">
      <c r="A30" s="48"/>
      <c r="B30" s="45"/>
      <c r="C30" s="16" t="s">
        <v>45</v>
      </c>
      <c r="D30" s="17">
        <v>0.0</v>
      </c>
      <c r="E30" s="18">
        <f t="shared" si="5"/>
        <v>0</v>
      </c>
      <c r="F30" s="1"/>
      <c r="G30" s="6"/>
      <c r="H30" s="6"/>
      <c r="I30" s="49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3"/>
      <c r="AB30" s="1"/>
      <c r="AC30" s="1"/>
    </row>
    <row r="31" ht="15.75" customHeight="1">
      <c r="A31" s="19"/>
      <c r="B31" s="45"/>
      <c r="C31" s="16" t="s">
        <v>56</v>
      </c>
      <c r="D31" s="17">
        <f>829.74*C36</f>
        <v>1180661.938</v>
      </c>
      <c r="E31" s="18">
        <f t="shared" si="5"/>
        <v>1180661.938</v>
      </c>
      <c r="F31" s="3"/>
      <c r="G31" s="6"/>
      <c r="H31" s="6"/>
      <c r="I31" s="6"/>
      <c r="J31" s="6"/>
      <c r="K31" s="6"/>
      <c r="L31" s="6">
        <f>400*C36</f>
        <v>569172</v>
      </c>
      <c r="M31" s="6">
        <f>211.87*C36</f>
        <v>301476.1791</v>
      </c>
      <c r="N31" s="6"/>
      <c r="O31" s="40"/>
      <c r="P31" s="6"/>
      <c r="Q31" s="6"/>
      <c r="R31" s="50">
        <f>217.87*C36</f>
        <v>310013.7591</v>
      </c>
      <c r="S31" s="6"/>
      <c r="T31" s="6"/>
      <c r="U31" s="6"/>
      <c r="V31" s="6"/>
      <c r="W31" s="6"/>
      <c r="X31" s="6"/>
      <c r="Y31" s="6"/>
      <c r="Z31" s="6"/>
      <c r="AA31" s="3"/>
      <c r="AB31" s="1"/>
      <c r="AC31" s="1"/>
    </row>
    <row r="32" ht="15.75" customHeight="1">
      <c r="A32" s="19"/>
      <c r="B32" s="51"/>
      <c r="C32" s="16" t="s">
        <v>35</v>
      </c>
      <c r="D32" s="17">
        <v>0.0</v>
      </c>
      <c r="E32" s="18">
        <f t="shared" si="5"/>
        <v>0</v>
      </c>
      <c r="F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3"/>
      <c r="AB32" s="1"/>
      <c r="AC32" s="1"/>
    </row>
    <row r="33" ht="15.75" customHeight="1">
      <c r="A33" s="19"/>
      <c r="B33" s="51"/>
      <c r="C33" s="16" t="s">
        <v>57</v>
      </c>
      <c r="D33" s="17">
        <v>0.0</v>
      </c>
      <c r="E33" s="18">
        <f t="shared" si="5"/>
        <v>0</v>
      </c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1"/>
      <c r="AB33" s="1"/>
      <c r="AC33" s="1"/>
    </row>
    <row r="34" ht="15.75" customHeight="1">
      <c r="A34" s="19"/>
      <c r="B34" s="45"/>
      <c r="C34" s="16" t="s">
        <v>58</v>
      </c>
      <c r="D34" s="17">
        <v>0.0</v>
      </c>
      <c r="E34" s="18">
        <f t="shared" si="5"/>
        <v>0</v>
      </c>
      <c r="F34" s="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1"/>
      <c r="AB34" s="1"/>
      <c r="AC34" s="1"/>
    </row>
    <row r="35" ht="15.75" customHeight="1">
      <c r="A35" s="19"/>
      <c r="B35" s="45"/>
      <c r="C35" s="20" t="s">
        <v>59</v>
      </c>
      <c r="D35" s="17">
        <v>0.0</v>
      </c>
      <c r="E35" s="18">
        <f t="shared" si="5"/>
        <v>0</v>
      </c>
      <c r="F35" s="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"/>
      <c r="AB35" s="1"/>
      <c r="AC35" s="1"/>
    </row>
    <row r="36" ht="15.75" customHeight="1">
      <c r="A36" s="19"/>
      <c r="B36" s="45"/>
      <c r="C36" s="52">
        <f>Income!C36</f>
        <v>1422.93</v>
      </c>
      <c r="D36" s="17"/>
      <c r="E36" s="18">
        <f t="shared" si="5"/>
        <v>0</v>
      </c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"/>
      <c r="AB36" s="1"/>
      <c r="AC36" s="1"/>
    </row>
    <row r="37" ht="15.75" customHeight="1">
      <c r="A37" s="53"/>
      <c r="B37" s="54"/>
      <c r="C37" s="55"/>
      <c r="D37" s="56">
        <f t="shared" ref="D37:E37" si="6">SUM(D4:D36)</f>
        <v>101727156.2</v>
      </c>
      <c r="E37" s="18">
        <f t="shared" si="6"/>
        <v>101727156.2</v>
      </c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1"/>
      <c r="AB37" s="1"/>
      <c r="AC37" s="1"/>
    </row>
    <row r="38" ht="15.75" customHeight="1">
      <c r="A38" s="1"/>
      <c r="B38" s="1"/>
      <c r="C38" s="3"/>
      <c r="D38" s="57"/>
      <c r="E38" s="1"/>
      <c r="F38" s="6"/>
      <c r="G38" s="6">
        <f t="shared" ref="G38:AB38" si="7">SUM(G4:G37)</f>
        <v>50000000</v>
      </c>
      <c r="H38" s="6">
        <f t="shared" si="7"/>
        <v>11188116.27</v>
      </c>
      <c r="I38" s="6">
        <f t="shared" si="7"/>
        <v>530.75</v>
      </c>
      <c r="J38" s="6">
        <f t="shared" si="7"/>
        <v>0</v>
      </c>
      <c r="K38" s="6">
        <f t="shared" si="7"/>
        <v>0</v>
      </c>
      <c r="L38" s="6">
        <f t="shared" si="7"/>
        <v>569172</v>
      </c>
      <c r="M38" s="6">
        <f t="shared" si="7"/>
        <v>820011.6791</v>
      </c>
      <c r="N38" s="6">
        <f t="shared" si="7"/>
        <v>0</v>
      </c>
      <c r="O38" s="6">
        <f t="shared" si="7"/>
        <v>0</v>
      </c>
      <c r="P38" s="6">
        <f t="shared" si="7"/>
        <v>0</v>
      </c>
      <c r="Q38" s="6">
        <f t="shared" si="7"/>
        <v>0</v>
      </c>
      <c r="R38" s="6">
        <f t="shared" si="7"/>
        <v>310013.7591</v>
      </c>
      <c r="S38" s="6">
        <f t="shared" si="7"/>
        <v>0</v>
      </c>
      <c r="T38" s="6">
        <f t="shared" si="7"/>
        <v>0</v>
      </c>
      <c r="U38" s="6">
        <f t="shared" si="7"/>
        <v>0</v>
      </c>
      <c r="V38" s="6">
        <f t="shared" si="7"/>
        <v>770000</v>
      </c>
      <c r="W38" s="6">
        <f t="shared" si="7"/>
        <v>14752935</v>
      </c>
      <c r="X38" s="3">
        <f t="shared" si="7"/>
        <v>0</v>
      </c>
      <c r="Y38" s="3">
        <f t="shared" si="7"/>
        <v>0</v>
      </c>
      <c r="Z38" s="3">
        <f t="shared" si="7"/>
        <v>0</v>
      </c>
      <c r="AA38" s="3">
        <f t="shared" si="7"/>
        <v>3876666.67</v>
      </c>
      <c r="AB38" s="3">
        <f t="shared" si="7"/>
        <v>19439710.09</v>
      </c>
      <c r="AC38" s="1"/>
    </row>
    <row r="39" ht="15.75" customHeight="1">
      <c r="A39" s="1"/>
      <c r="B39" s="3"/>
      <c r="C39" s="58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M19 R19 Z19 AB19 I30 R31 D4:E37">
      <formula1>AND(ISNUMBER(D4),(NOT(OR(NOT(ISERROR(DATEVALUE(D4))), AND(ISNUMBER(D4), LEFT(CELL("format", D4))="D")))))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  <col customWidth="1" min="16" max="16" width="14.13"/>
  </cols>
  <sheetData>
    <row r="1" ht="15.75" customHeight="1">
      <c r="A1" s="59"/>
      <c r="B1" s="59"/>
      <c r="C1" s="4"/>
      <c r="D1" s="60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</row>
    <row r="2" ht="15.75" customHeight="1">
      <c r="A2" s="59"/>
      <c r="B2" s="59"/>
      <c r="C2" s="59"/>
      <c r="D2" s="61">
        <f>SUM(D4:D35)</f>
        <v>94229492.44</v>
      </c>
      <c r="E2" s="4">
        <f>SUM(F2:AG2)</f>
        <v>94229492.44</v>
      </c>
      <c r="F2" s="61">
        <f t="shared" ref="F2:Z2" si="1">F36</f>
        <v>50000000</v>
      </c>
      <c r="G2" s="61">
        <f t="shared" si="1"/>
        <v>1517937.64</v>
      </c>
      <c r="H2" s="61">
        <f t="shared" si="1"/>
        <v>0</v>
      </c>
      <c r="I2" s="61">
        <f t="shared" si="1"/>
        <v>0</v>
      </c>
      <c r="J2" s="61">
        <f t="shared" si="1"/>
        <v>0</v>
      </c>
      <c r="K2" s="61">
        <f t="shared" si="1"/>
        <v>0</v>
      </c>
      <c r="L2" s="61">
        <f t="shared" si="1"/>
        <v>0</v>
      </c>
      <c r="M2" s="61">
        <f t="shared" si="1"/>
        <v>41013886</v>
      </c>
      <c r="N2" s="61">
        <f t="shared" si="1"/>
        <v>1697668.801</v>
      </c>
      <c r="O2" s="61">
        <f t="shared" si="1"/>
        <v>0</v>
      </c>
      <c r="P2" s="61">
        <f t="shared" si="1"/>
        <v>0</v>
      </c>
      <c r="Q2" s="61">
        <f t="shared" si="1"/>
        <v>0</v>
      </c>
      <c r="R2" s="61">
        <f t="shared" si="1"/>
        <v>0</v>
      </c>
      <c r="S2" s="61">
        <f t="shared" si="1"/>
        <v>0</v>
      </c>
      <c r="T2" s="61">
        <f t="shared" si="1"/>
        <v>0</v>
      </c>
      <c r="U2" s="61">
        <f t="shared" si="1"/>
        <v>0</v>
      </c>
      <c r="V2" s="61">
        <f t="shared" si="1"/>
        <v>0</v>
      </c>
      <c r="W2" s="61">
        <f t="shared" si="1"/>
        <v>0</v>
      </c>
      <c r="X2" s="61">
        <f t="shared" si="1"/>
        <v>0</v>
      </c>
      <c r="Y2" s="59" t="str">
        <f t="shared" si="1"/>
        <v/>
      </c>
      <c r="Z2" s="59" t="str">
        <f t="shared" si="1"/>
        <v/>
      </c>
      <c r="AA2" s="59"/>
      <c r="AB2" s="59"/>
      <c r="AC2" s="59"/>
      <c r="AD2" s="59"/>
      <c r="AE2" s="59"/>
      <c r="AF2" s="59"/>
      <c r="AG2" s="59"/>
      <c r="AH2" s="59"/>
    </row>
    <row r="3" ht="15.75" customHeight="1">
      <c r="A3" s="59"/>
      <c r="B3" s="59"/>
      <c r="C3" s="59"/>
      <c r="D3" s="62"/>
      <c r="E3" s="59" t="s">
        <v>4</v>
      </c>
      <c r="F3" s="59" t="s">
        <v>29</v>
      </c>
      <c r="G3" s="59" t="s">
        <v>60</v>
      </c>
      <c r="H3" s="59" t="s">
        <v>61</v>
      </c>
      <c r="I3" s="59" t="s">
        <v>62</v>
      </c>
      <c r="J3" s="59" t="s">
        <v>63</v>
      </c>
      <c r="K3" s="59" t="s">
        <v>64</v>
      </c>
      <c r="L3" s="59" t="s">
        <v>65</v>
      </c>
      <c r="M3" s="59" t="s">
        <v>66</v>
      </c>
      <c r="N3" s="59" t="s">
        <v>67</v>
      </c>
      <c r="O3" s="59" t="s">
        <v>68</v>
      </c>
      <c r="P3" s="59" t="s">
        <v>69</v>
      </c>
      <c r="Q3" s="59" t="s">
        <v>70</v>
      </c>
      <c r="R3" s="59" t="s">
        <v>63</v>
      </c>
      <c r="S3" s="59" t="s">
        <v>71</v>
      </c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</row>
    <row r="4" ht="15.75" customHeight="1">
      <c r="A4" s="63" t="s">
        <v>72</v>
      </c>
      <c r="B4" s="64"/>
      <c r="C4" s="65" t="s">
        <v>28</v>
      </c>
      <c r="D4" s="23">
        <v>0.0</v>
      </c>
      <c r="E4" s="66">
        <f t="shared" ref="E4:E24" si="2">SUM(F4:X4)</f>
        <v>0</v>
      </c>
      <c r="F4" s="4"/>
      <c r="G4" s="4"/>
      <c r="H4" s="23"/>
      <c r="I4" s="4"/>
      <c r="J4" s="4"/>
      <c r="K4" s="4"/>
      <c r="L4" s="67"/>
      <c r="M4" s="4"/>
      <c r="N4" s="4"/>
      <c r="O4" s="4"/>
      <c r="P4" s="4"/>
      <c r="Q4" s="68"/>
      <c r="R4" s="4"/>
      <c r="S4" s="4"/>
      <c r="T4" s="4"/>
      <c r="U4" s="4"/>
      <c r="V4" s="4"/>
      <c r="W4" s="4"/>
      <c r="X4" s="4"/>
      <c r="Y4" s="59"/>
      <c r="Z4" s="59"/>
      <c r="AA4" s="59"/>
      <c r="AB4" s="59"/>
      <c r="AC4" s="59"/>
      <c r="AD4" s="59"/>
      <c r="AE4" s="59"/>
      <c r="AF4" s="59"/>
      <c r="AG4" s="59"/>
      <c r="AH4" s="59"/>
    </row>
    <row r="5" ht="15.75" customHeight="1">
      <c r="A5" s="59" t="s">
        <v>29</v>
      </c>
      <c r="B5" s="64">
        <f>F2</f>
        <v>50000000</v>
      </c>
      <c r="C5" s="69" t="s">
        <v>30</v>
      </c>
      <c r="D5" s="23">
        <v>0.0</v>
      </c>
      <c r="E5" s="66">
        <f t="shared" si="2"/>
        <v>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9"/>
      <c r="Z5" s="59"/>
      <c r="AA5" s="59"/>
      <c r="AB5" s="59"/>
      <c r="AC5" s="59"/>
      <c r="AD5" s="59"/>
      <c r="AE5" s="59"/>
      <c r="AF5" s="59"/>
      <c r="AG5" s="59"/>
      <c r="AH5" s="59"/>
    </row>
    <row r="6" ht="15.75" customHeight="1">
      <c r="A6" s="59" t="s">
        <v>73</v>
      </c>
      <c r="B6" s="61">
        <f>M2</f>
        <v>41013886</v>
      </c>
      <c r="C6" s="65" t="s">
        <v>32</v>
      </c>
      <c r="D6" s="23">
        <v>0.0</v>
      </c>
      <c r="E6" s="66">
        <f t="shared" si="2"/>
        <v>0</v>
      </c>
      <c r="F6" s="4"/>
      <c r="G6" s="2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9"/>
      <c r="Z6" s="59"/>
      <c r="AA6" s="59"/>
      <c r="AB6" s="59"/>
      <c r="AC6" s="59"/>
      <c r="AD6" s="59"/>
      <c r="AE6" s="59"/>
      <c r="AF6" s="59"/>
      <c r="AG6" s="59"/>
      <c r="AH6" s="59"/>
    </row>
    <row r="7" ht="15.75" customHeight="1">
      <c r="A7" s="70" t="str">
        <f>G3</f>
        <v>Refund/Reversal</v>
      </c>
      <c r="B7" s="40">
        <f>G2</f>
        <v>1517937.64</v>
      </c>
      <c r="C7" s="69" t="s">
        <v>33</v>
      </c>
      <c r="D7" s="23">
        <v>0.0</v>
      </c>
      <c r="E7" s="66">
        <f t="shared" si="2"/>
        <v>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9"/>
      <c r="Z7" s="59"/>
      <c r="AA7" s="59"/>
      <c r="AB7" s="59"/>
      <c r="AC7" s="59"/>
      <c r="AD7" s="59"/>
      <c r="AE7" s="59"/>
      <c r="AF7" s="59"/>
      <c r="AG7" s="59"/>
      <c r="AH7" s="59"/>
    </row>
    <row r="8" ht="15.75" customHeight="1">
      <c r="A8" s="70" t="str">
        <f>N3</f>
        <v>iTranscript Income</v>
      </c>
      <c r="B8" s="40">
        <f>N2</f>
        <v>1697668.801</v>
      </c>
      <c r="C8" s="69" t="s">
        <v>34</v>
      </c>
      <c r="D8" s="23">
        <v>0.0</v>
      </c>
      <c r="E8" s="66">
        <f t="shared" si="2"/>
        <v>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9"/>
      <c r="Z8" s="59"/>
      <c r="AA8" s="59"/>
      <c r="AB8" s="59"/>
      <c r="AC8" s="59"/>
      <c r="AD8" s="59"/>
      <c r="AE8" s="59"/>
      <c r="AF8" s="59"/>
      <c r="AG8" s="59"/>
      <c r="AH8" s="59"/>
    </row>
    <row r="9" ht="15.75" customHeight="1">
      <c r="A9" s="71" t="s">
        <v>4</v>
      </c>
      <c r="B9" s="72">
        <f>SUM(B5:B8)</f>
        <v>94229492.44</v>
      </c>
      <c r="C9" s="65" t="s">
        <v>35</v>
      </c>
      <c r="D9" s="23">
        <v>0.0</v>
      </c>
      <c r="E9" s="66">
        <f t="shared" si="2"/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9"/>
      <c r="Z9" s="59"/>
      <c r="AA9" s="59"/>
      <c r="AB9" s="59"/>
      <c r="AC9" s="59"/>
      <c r="AD9" s="59"/>
      <c r="AE9" s="59"/>
      <c r="AF9" s="59"/>
      <c r="AG9" s="59"/>
      <c r="AH9" s="59"/>
    </row>
    <row r="10" ht="15.75" customHeight="1">
      <c r="A10" s="70"/>
      <c r="B10" s="73">
        <f>B5</f>
        <v>50000000</v>
      </c>
      <c r="C10" s="65" t="s">
        <v>74</v>
      </c>
      <c r="D10" s="23">
        <v>10500.7</v>
      </c>
      <c r="E10" s="66">
        <f t="shared" si="2"/>
        <v>10500.7</v>
      </c>
      <c r="F10" s="4"/>
      <c r="G10" s="4"/>
      <c r="H10" s="74"/>
      <c r="I10" s="4"/>
      <c r="J10" s="4"/>
      <c r="K10" s="4"/>
      <c r="L10" s="4"/>
      <c r="N10" s="23">
        <v>10500.7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59"/>
      <c r="Z10" s="59"/>
      <c r="AA10" s="59"/>
      <c r="AB10" s="59"/>
      <c r="AC10" s="59"/>
      <c r="AD10" s="59"/>
      <c r="AE10" s="59"/>
      <c r="AF10" s="59"/>
      <c r="AG10" s="59"/>
      <c r="AH10" s="59"/>
    </row>
    <row r="11" ht="15.75" customHeight="1">
      <c r="A11" s="63"/>
      <c r="B11" s="75">
        <f>B9-B10</f>
        <v>44229492.44</v>
      </c>
      <c r="C11" s="65" t="s">
        <v>75</v>
      </c>
      <c r="D11" s="23">
        <v>0.0</v>
      </c>
      <c r="E11" s="66">
        <f t="shared" si="2"/>
        <v>0</v>
      </c>
      <c r="F11" s="4"/>
      <c r="G11" s="4"/>
      <c r="H11" s="4"/>
      <c r="I11" s="4"/>
      <c r="J11" s="4"/>
      <c r="K11" s="4"/>
      <c r="L11" s="4"/>
      <c r="M11" s="4"/>
      <c r="N11" s="23"/>
      <c r="O11" s="4"/>
      <c r="P11" s="4"/>
      <c r="Q11" s="4"/>
      <c r="R11" s="4"/>
      <c r="S11" s="4"/>
      <c r="T11" s="4"/>
      <c r="U11" s="4"/>
      <c r="V11" s="4"/>
      <c r="W11" s="4"/>
      <c r="X11" s="4"/>
      <c r="Y11" s="59"/>
      <c r="Z11" s="59"/>
      <c r="AA11" s="59"/>
      <c r="AB11" s="59"/>
      <c r="AC11" s="59"/>
      <c r="AD11" s="59"/>
      <c r="AE11" s="59"/>
      <c r="AF11" s="59"/>
      <c r="AG11" s="59"/>
      <c r="AH11" s="59"/>
    </row>
    <row r="12" ht="15.75" customHeight="1">
      <c r="A12" s="59"/>
      <c r="C12" s="69" t="s">
        <v>38</v>
      </c>
      <c r="D12" s="23">
        <v>0.0</v>
      </c>
      <c r="E12" s="66">
        <f t="shared" si="2"/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9"/>
      <c r="Z12" s="59"/>
      <c r="AA12" s="59"/>
      <c r="AB12" s="59"/>
      <c r="AC12" s="59"/>
      <c r="AD12" s="59"/>
      <c r="AE12" s="59"/>
      <c r="AF12" s="59"/>
      <c r="AG12" s="59"/>
      <c r="AH12" s="59"/>
    </row>
    <row r="13" ht="15.75" customHeight="1">
      <c r="A13" s="70"/>
      <c r="C13" s="65" t="s">
        <v>39</v>
      </c>
      <c r="D13" s="23">
        <v>0.0</v>
      </c>
      <c r="E13" s="66">
        <f t="shared" si="2"/>
        <v>0</v>
      </c>
      <c r="F13" s="4"/>
      <c r="G13" s="4"/>
      <c r="H13" s="4"/>
      <c r="I13" s="4"/>
      <c r="J13" s="4"/>
      <c r="K13" s="4"/>
      <c r="L13" s="4"/>
      <c r="M13" s="4"/>
      <c r="N13" s="23"/>
      <c r="O13" s="4"/>
      <c r="P13" s="4"/>
      <c r="Q13" s="4"/>
      <c r="R13" s="4"/>
      <c r="S13" s="4"/>
      <c r="T13" s="4"/>
      <c r="U13" s="4"/>
      <c r="V13" s="4"/>
      <c r="W13" s="4"/>
      <c r="X13" s="4"/>
      <c r="Y13" s="59"/>
      <c r="Z13" s="59"/>
      <c r="AA13" s="59"/>
      <c r="AB13" s="59"/>
      <c r="AC13" s="59"/>
      <c r="AD13" s="59"/>
      <c r="AE13" s="59"/>
      <c r="AF13" s="59"/>
      <c r="AG13" s="59"/>
      <c r="AH13" s="59"/>
    </row>
    <row r="14" ht="15.75" customHeight="1">
      <c r="A14" s="59"/>
      <c r="C14" s="69" t="s">
        <v>41</v>
      </c>
      <c r="D14" s="23">
        <v>0.0</v>
      </c>
      <c r="E14" s="66">
        <f t="shared" si="2"/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9"/>
      <c r="Z14" s="59"/>
      <c r="AA14" s="59"/>
      <c r="AB14" s="59"/>
      <c r="AC14" s="59"/>
      <c r="AD14" s="59"/>
      <c r="AE14" s="59"/>
      <c r="AF14" s="59"/>
      <c r="AG14" s="59"/>
      <c r="AH14" s="59"/>
    </row>
    <row r="15" ht="15.75" customHeight="1">
      <c r="C15" s="65" t="s">
        <v>42</v>
      </c>
      <c r="D15" s="23">
        <v>0.0</v>
      </c>
      <c r="E15" s="66">
        <f t="shared" si="2"/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9"/>
      <c r="Z15" s="59"/>
      <c r="AA15" s="59"/>
      <c r="AB15" s="59"/>
      <c r="AC15" s="59"/>
      <c r="AD15" s="59"/>
      <c r="AE15" s="59"/>
      <c r="AF15" s="59"/>
      <c r="AG15" s="59"/>
      <c r="AH15" s="59"/>
    </row>
    <row r="16" ht="15.75" customHeight="1">
      <c r="A16" s="59"/>
      <c r="B16" s="59"/>
      <c r="C16" s="65" t="s">
        <v>43</v>
      </c>
      <c r="D16" s="23">
        <v>0.0</v>
      </c>
      <c r="E16" s="66">
        <f t="shared" si="2"/>
        <v>0</v>
      </c>
      <c r="F16" s="4"/>
      <c r="G16" s="4"/>
      <c r="H16" s="4"/>
      <c r="I16" s="4"/>
      <c r="J16" s="4"/>
      <c r="K16" s="4"/>
      <c r="L16" s="4"/>
      <c r="M16" s="2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9"/>
      <c r="Z16" s="59"/>
      <c r="AA16" s="59"/>
      <c r="AB16" s="59"/>
      <c r="AC16" s="59"/>
      <c r="AD16" s="59"/>
      <c r="AE16" s="59"/>
      <c r="AF16" s="59"/>
      <c r="AG16" s="59"/>
      <c r="AH16" s="59"/>
    </row>
    <row r="17" ht="15.75" customHeight="1">
      <c r="A17" s="59"/>
      <c r="B17" s="76"/>
      <c r="C17" s="69" t="s">
        <v>44</v>
      </c>
      <c r="D17" s="23">
        <v>0.0</v>
      </c>
      <c r="E17" s="66">
        <f t="shared" si="2"/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9"/>
      <c r="Z17" s="59"/>
      <c r="AA17" s="59"/>
      <c r="AB17" s="59"/>
      <c r="AC17" s="59"/>
      <c r="AD17" s="59"/>
      <c r="AE17" s="59"/>
      <c r="AF17" s="59"/>
      <c r="AG17" s="59"/>
      <c r="AH17" s="59"/>
    </row>
    <row r="18" ht="15.75" customHeight="1">
      <c r="A18" s="59"/>
      <c r="B18" s="77"/>
      <c r="C18" s="65" t="s">
        <v>45</v>
      </c>
      <c r="D18" s="23">
        <v>2.65E7</v>
      </c>
      <c r="E18" s="66">
        <f t="shared" si="2"/>
        <v>26500000</v>
      </c>
      <c r="F18" s="4"/>
      <c r="G18" s="4"/>
      <c r="H18" s="4"/>
      <c r="I18" s="4"/>
      <c r="J18" s="4"/>
      <c r="K18" s="4"/>
      <c r="L18" s="4"/>
      <c r="M18" s="23">
        <v>2.65E7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9"/>
      <c r="Z18" s="59"/>
      <c r="AA18" s="59"/>
      <c r="AB18" s="59"/>
      <c r="AC18" s="59"/>
      <c r="AD18" s="59"/>
      <c r="AE18" s="59"/>
      <c r="AF18" s="59"/>
      <c r="AG18" s="59"/>
      <c r="AH18" s="59"/>
    </row>
    <row r="19" ht="15.75" customHeight="1">
      <c r="A19" s="59"/>
      <c r="B19" s="59"/>
      <c r="C19" s="65" t="s">
        <v>46</v>
      </c>
      <c r="D19" s="23">
        <v>0.0</v>
      </c>
      <c r="E19" s="66">
        <f t="shared" si="2"/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9"/>
      <c r="Z19" s="59"/>
      <c r="AA19" s="59"/>
      <c r="AB19" s="59"/>
      <c r="AC19" s="59"/>
      <c r="AD19" s="59"/>
      <c r="AE19" s="59"/>
      <c r="AF19" s="59"/>
      <c r="AG19" s="59"/>
      <c r="AH19" s="59"/>
    </row>
    <row r="20" ht="15.75" customHeight="1">
      <c r="A20" s="59"/>
      <c r="B20" s="59"/>
      <c r="C20" s="65" t="s">
        <v>47</v>
      </c>
      <c r="D20" s="23">
        <v>5.0169E7</v>
      </c>
      <c r="E20" s="66">
        <f t="shared" si="2"/>
        <v>50169000</v>
      </c>
      <c r="F20" s="4">
        <v>5.0E7</v>
      </c>
      <c r="G20" s="40">
        <v>169000.0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9"/>
      <c r="Z20" s="59"/>
      <c r="AA20" s="59"/>
      <c r="AB20" s="59"/>
      <c r="AC20" s="59"/>
      <c r="AD20" s="59"/>
      <c r="AE20" s="59"/>
      <c r="AF20" s="59"/>
      <c r="AG20" s="59"/>
      <c r="AH20" s="59"/>
    </row>
    <row r="21" ht="15.75" customHeight="1">
      <c r="A21" s="59"/>
      <c r="B21" s="64"/>
      <c r="C21" s="65" t="s">
        <v>48</v>
      </c>
      <c r="D21" s="23">
        <v>0.0</v>
      </c>
      <c r="E21" s="66">
        <f t="shared" si="2"/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9"/>
      <c r="Z21" s="59"/>
      <c r="AA21" s="59"/>
      <c r="AB21" s="59"/>
      <c r="AC21" s="59"/>
      <c r="AD21" s="59"/>
      <c r="AE21" s="59"/>
      <c r="AF21" s="59"/>
      <c r="AG21" s="59"/>
      <c r="AH21" s="59"/>
    </row>
    <row r="22" ht="15.75" customHeight="1">
      <c r="A22" s="59"/>
      <c r="B22" s="78"/>
      <c r="C22" s="65" t="s">
        <v>49</v>
      </c>
      <c r="D22" s="23">
        <v>0.0</v>
      </c>
      <c r="E22" s="66">
        <f t="shared" si="2"/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9"/>
      <c r="Z22" s="59"/>
      <c r="AA22" s="59"/>
      <c r="AB22" s="59"/>
      <c r="AC22" s="59"/>
      <c r="AD22" s="59"/>
      <c r="AE22" s="59"/>
      <c r="AF22" s="59"/>
      <c r="AG22" s="59"/>
      <c r="AH22" s="59"/>
    </row>
    <row r="23" ht="15.75" customHeight="1">
      <c r="A23" s="59"/>
      <c r="B23" s="79"/>
      <c r="C23" s="80" t="s">
        <v>50</v>
      </c>
      <c r="D23" s="23">
        <v>0.0</v>
      </c>
      <c r="E23" s="66">
        <f t="shared" si="2"/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9"/>
      <c r="Z23" s="59"/>
      <c r="AA23" s="59"/>
      <c r="AB23" s="59"/>
      <c r="AC23" s="59"/>
      <c r="AD23" s="59"/>
      <c r="AE23" s="59"/>
      <c r="AF23" s="59"/>
      <c r="AG23" s="59"/>
      <c r="AH23" s="59"/>
    </row>
    <row r="24" ht="15.75" customHeight="1">
      <c r="A24" s="4"/>
      <c r="B24" s="64"/>
      <c r="C24" s="65" t="s">
        <v>51</v>
      </c>
      <c r="D24" s="23">
        <v>0.0</v>
      </c>
      <c r="E24" s="66">
        <f t="shared" si="2"/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9"/>
      <c r="Z24" s="59"/>
      <c r="AA24" s="59"/>
      <c r="AB24" s="59"/>
      <c r="AC24" s="59"/>
      <c r="AD24" s="59"/>
      <c r="AE24" s="59"/>
      <c r="AF24" s="59"/>
      <c r="AG24" s="59"/>
      <c r="AH24" s="59"/>
    </row>
    <row r="25" ht="15.75" customHeight="1">
      <c r="A25" s="4"/>
      <c r="B25" s="64"/>
      <c r="C25" s="59"/>
      <c r="D25" s="81"/>
      <c r="E25" s="82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9"/>
      <c r="Z25" s="59"/>
      <c r="AA25" s="59"/>
      <c r="AB25" s="59"/>
      <c r="AC25" s="59"/>
      <c r="AD25" s="59"/>
      <c r="AE25" s="59"/>
      <c r="AF25" s="59"/>
      <c r="AG25" s="59"/>
      <c r="AH25" s="59"/>
    </row>
    <row r="26" ht="15.75" customHeight="1">
      <c r="A26" s="4"/>
      <c r="B26" s="64"/>
      <c r="C26" s="65" t="s">
        <v>52</v>
      </c>
      <c r="D26" s="83">
        <f>1185.7*C36</f>
        <v>1687168.101</v>
      </c>
      <c r="E26" s="66">
        <f t="shared" ref="E26:E35" si="3">SUM(F26:X26)</f>
        <v>1687168.101</v>
      </c>
      <c r="F26" s="4"/>
      <c r="G26" s="4"/>
      <c r="H26" s="4"/>
      <c r="I26" s="4"/>
      <c r="J26" s="4"/>
      <c r="K26" s="4"/>
      <c r="L26" s="4"/>
      <c r="M26" s="4"/>
      <c r="N26" s="4">
        <f>1185.7*C36</f>
        <v>1687168.101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59"/>
      <c r="Z26" s="59"/>
      <c r="AA26" s="59"/>
      <c r="AB26" s="59"/>
      <c r="AC26" s="59"/>
      <c r="AD26" s="59"/>
      <c r="AE26" s="59"/>
      <c r="AF26" s="59"/>
      <c r="AG26" s="59"/>
      <c r="AH26" s="59"/>
    </row>
    <row r="27" ht="14.25" customHeight="1">
      <c r="A27" s="4"/>
      <c r="B27" s="59"/>
      <c r="C27" s="65" t="s">
        <v>53</v>
      </c>
      <c r="D27" s="83">
        <v>0.0</v>
      </c>
      <c r="E27" s="66">
        <f t="shared" si="3"/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9"/>
      <c r="Z27" s="59"/>
      <c r="AA27" s="59"/>
      <c r="AB27" s="59"/>
      <c r="AC27" s="59"/>
      <c r="AD27" s="59"/>
      <c r="AE27" s="59"/>
      <c r="AF27" s="59"/>
      <c r="AG27" s="59"/>
      <c r="AH27" s="59"/>
    </row>
    <row r="28" ht="15.75" customHeight="1">
      <c r="A28" s="4"/>
      <c r="B28" s="84"/>
      <c r="C28" s="69" t="s">
        <v>54</v>
      </c>
      <c r="D28" s="83">
        <v>0.0</v>
      </c>
      <c r="E28" s="66">
        <f t="shared" si="3"/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9"/>
      <c r="Z28" s="59"/>
      <c r="AA28" s="59"/>
      <c r="AB28" s="59"/>
      <c r="AC28" s="59"/>
      <c r="AD28" s="59"/>
      <c r="AE28" s="59"/>
      <c r="AF28" s="59"/>
      <c r="AG28" s="59"/>
      <c r="AH28" s="59"/>
    </row>
    <row r="29" ht="15.75" customHeight="1">
      <c r="A29" s="59"/>
      <c r="B29" s="64"/>
      <c r="C29" s="69" t="s">
        <v>55</v>
      </c>
      <c r="D29" s="83">
        <v>0.0</v>
      </c>
      <c r="E29" s="66">
        <f t="shared" si="3"/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9"/>
      <c r="Z29" s="59"/>
      <c r="AA29" s="59"/>
      <c r="AB29" s="59"/>
      <c r="AC29" s="59"/>
      <c r="AD29" s="59"/>
      <c r="AE29" s="59"/>
      <c r="AF29" s="59"/>
      <c r="AG29" s="59"/>
      <c r="AH29" s="59"/>
    </row>
    <row r="30" ht="15.75" customHeight="1">
      <c r="A30" s="59"/>
      <c r="B30" s="64"/>
      <c r="C30" s="65" t="s">
        <v>45</v>
      </c>
      <c r="D30" s="83">
        <f>9300*C36</f>
        <v>13233249</v>
      </c>
      <c r="E30" s="66">
        <f t="shared" si="3"/>
        <v>13233249</v>
      </c>
      <c r="F30" s="4"/>
      <c r="G30" s="4"/>
      <c r="H30" s="4"/>
      <c r="I30" s="4"/>
      <c r="J30" s="4"/>
      <c r="K30" s="4"/>
      <c r="L30" s="4"/>
      <c r="M30" s="23">
        <f>9300*C36</f>
        <v>13233249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9"/>
      <c r="Z30" s="59"/>
      <c r="AA30" s="59"/>
      <c r="AB30" s="59"/>
      <c r="AC30" s="59"/>
      <c r="AD30" s="59"/>
      <c r="AE30" s="59"/>
      <c r="AF30" s="59"/>
      <c r="AG30" s="59"/>
      <c r="AH30" s="59"/>
    </row>
    <row r="31" ht="13.5" customHeight="1">
      <c r="A31" s="59"/>
      <c r="B31" s="64"/>
      <c r="C31" s="65" t="s">
        <v>56</v>
      </c>
      <c r="D31" s="83">
        <f>948*C36</f>
        <v>1348937.64</v>
      </c>
      <c r="E31" s="66">
        <f t="shared" si="3"/>
        <v>1348937.64</v>
      </c>
      <c r="F31" s="4"/>
      <c r="G31" s="4">
        <f>948*C36</f>
        <v>1348937.64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9"/>
      <c r="Z31" s="59"/>
      <c r="AA31" s="59"/>
      <c r="AB31" s="59"/>
      <c r="AC31" s="59"/>
      <c r="AD31" s="59"/>
      <c r="AE31" s="59"/>
      <c r="AF31" s="59"/>
      <c r="AG31" s="59"/>
      <c r="AH31" s="59"/>
    </row>
    <row r="32" ht="15.75" customHeight="1">
      <c r="A32" s="59"/>
      <c r="B32" s="64"/>
      <c r="C32" s="65" t="s">
        <v>35</v>
      </c>
      <c r="D32" s="83">
        <v>0.0</v>
      </c>
      <c r="E32" s="66">
        <f t="shared" si="3"/>
        <v>0</v>
      </c>
      <c r="F32" s="4"/>
      <c r="G32" s="4"/>
      <c r="H32" s="4"/>
      <c r="I32" s="4"/>
      <c r="J32" s="4"/>
      <c r="K32" s="8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9"/>
      <c r="Z32" s="59"/>
      <c r="AA32" s="59"/>
      <c r="AB32" s="59"/>
      <c r="AC32" s="59"/>
      <c r="AD32" s="59"/>
      <c r="AE32" s="59"/>
      <c r="AF32" s="59"/>
      <c r="AG32" s="59"/>
      <c r="AH32" s="59"/>
    </row>
    <row r="33" ht="15.75" customHeight="1">
      <c r="A33" s="59"/>
      <c r="B33" s="64"/>
      <c r="C33" s="65" t="s">
        <v>57</v>
      </c>
      <c r="D33" s="83">
        <v>0.0</v>
      </c>
      <c r="E33" s="66">
        <f t="shared" si="3"/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9"/>
      <c r="Z33" s="59"/>
      <c r="AA33" s="59"/>
      <c r="AB33" s="59"/>
      <c r="AC33" s="59"/>
      <c r="AD33" s="59"/>
      <c r="AE33" s="59"/>
      <c r="AF33" s="59"/>
      <c r="AG33" s="59"/>
      <c r="AH33" s="59"/>
    </row>
    <row r="34" ht="15.75" customHeight="1">
      <c r="A34" s="59"/>
      <c r="B34" s="64"/>
      <c r="C34" s="65" t="s">
        <v>58</v>
      </c>
      <c r="D34" s="83">
        <v>0.0</v>
      </c>
      <c r="E34" s="66">
        <f t="shared" si="3"/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9"/>
      <c r="Z34" s="59"/>
      <c r="AA34" s="59"/>
      <c r="AB34" s="59"/>
      <c r="AC34" s="59"/>
      <c r="AD34" s="59"/>
      <c r="AE34" s="59"/>
      <c r="AF34" s="59"/>
      <c r="AG34" s="59"/>
      <c r="AH34" s="59"/>
    </row>
    <row r="35" ht="15.75" customHeight="1">
      <c r="A35" s="59"/>
      <c r="B35" s="64"/>
      <c r="C35" s="69" t="s">
        <v>59</v>
      </c>
      <c r="D35" s="83">
        <f>900*C36</f>
        <v>1280637</v>
      </c>
      <c r="E35" s="66">
        <f t="shared" si="3"/>
        <v>1280637</v>
      </c>
      <c r="F35" s="4"/>
      <c r="G35" s="4"/>
      <c r="H35" s="4"/>
      <c r="I35" s="4"/>
      <c r="J35" s="4"/>
      <c r="K35" s="4"/>
      <c r="L35" s="4"/>
      <c r="M35" s="4">
        <f>900*C36</f>
        <v>1280637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9"/>
      <c r="Z35" s="59"/>
      <c r="AA35" s="59"/>
      <c r="AB35" s="59"/>
      <c r="AC35" s="59"/>
      <c r="AD35" s="59"/>
      <c r="AE35" s="59"/>
      <c r="AF35" s="59"/>
      <c r="AG35" s="59"/>
      <c r="AH35" s="59"/>
    </row>
    <row r="36" ht="15.75" customHeight="1">
      <c r="A36" s="59"/>
      <c r="B36" s="64"/>
      <c r="C36" s="86">
        <f>'Cash Report'!E39</f>
        <v>1422.93</v>
      </c>
      <c r="D36" s="87">
        <f t="shared" ref="D36:X36" si="4">SUM(D4:D35)</f>
        <v>94229492.44</v>
      </c>
      <c r="E36" s="87">
        <f t="shared" si="4"/>
        <v>94229492.44</v>
      </c>
      <c r="F36" s="87">
        <f t="shared" si="4"/>
        <v>50000000</v>
      </c>
      <c r="G36" s="87">
        <f t="shared" si="4"/>
        <v>1517937.64</v>
      </c>
      <c r="H36" s="87">
        <f t="shared" si="4"/>
        <v>0</v>
      </c>
      <c r="I36" s="87">
        <f t="shared" si="4"/>
        <v>0</v>
      </c>
      <c r="J36" s="87">
        <f t="shared" si="4"/>
        <v>0</v>
      </c>
      <c r="K36" s="87">
        <f t="shared" si="4"/>
        <v>0</v>
      </c>
      <c r="L36" s="87">
        <f t="shared" si="4"/>
        <v>0</v>
      </c>
      <c r="M36" s="87">
        <f t="shared" si="4"/>
        <v>41013886</v>
      </c>
      <c r="N36" s="87">
        <f t="shared" si="4"/>
        <v>1697668.801</v>
      </c>
      <c r="O36" s="87">
        <f t="shared" si="4"/>
        <v>0</v>
      </c>
      <c r="P36" s="87">
        <f t="shared" si="4"/>
        <v>0</v>
      </c>
      <c r="Q36" s="87">
        <f t="shared" si="4"/>
        <v>0</v>
      </c>
      <c r="R36" s="87">
        <f t="shared" si="4"/>
        <v>0</v>
      </c>
      <c r="S36" s="87">
        <f t="shared" si="4"/>
        <v>0</v>
      </c>
      <c r="T36" s="87">
        <f t="shared" si="4"/>
        <v>0</v>
      </c>
      <c r="U36" s="87">
        <f t="shared" si="4"/>
        <v>0</v>
      </c>
      <c r="V36" s="87">
        <f t="shared" si="4"/>
        <v>0</v>
      </c>
      <c r="W36" s="87">
        <f t="shared" si="4"/>
        <v>0</v>
      </c>
      <c r="X36" s="87">
        <f t="shared" si="4"/>
        <v>0</v>
      </c>
      <c r="Y36" s="59"/>
      <c r="Z36" s="59"/>
      <c r="AA36" s="59"/>
      <c r="AB36" s="59"/>
      <c r="AC36" s="59"/>
      <c r="AD36" s="59"/>
      <c r="AE36" s="59"/>
      <c r="AF36" s="59"/>
      <c r="AG36" s="59"/>
      <c r="AH36" s="59"/>
    </row>
    <row r="37" ht="15.75" customHeight="1">
      <c r="A37" s="59"/>
      <c r="B37" s="64"/>
      <c r="C37" s="59"/>
      <c r="D37" s="88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</row>
    <row r="38" ht="15.75" customHeight="1">
      <c r="A38" s="59"/>
      <c r="B38" s="59"/>
      <c r="C38" s="59"/>
      <c r="D38" s="62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</row>
    <row r="39" ht="15.75" customHeight="1">
      <c r="A39" s="59"/>
      <c r="B39" s="59"/>
      <c r="C39" s="59"/>
      <c r="D39" s="62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</row>
    <row r="40" ht="15.75" customHeight="1">
      <c r="A40" s="59"/>
      <c r="B40" s="59"/>
      <c r="C40" s="59"/>
      <c r="D40" s="62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</row>
    <row r="41" ht="15.75" customHeight="1">
      <c r="A41" s="59"/>
      <c r="B41" s="59"/>
      <c r="C41" s="59"/>
      <c r="D41" s="62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</row>
    <row r="42" ht="15.75" customHeight="1">
      <c r="A42" s="59"/>
      <c r="B42" s="59"/>
      <c r="C42" s="59"/>
      <c r="D42" s="62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</row>
    <row r="43" ht="15.75" customHeight="1">
      <c r="A43" s="59"/>
      <c r="B43" s="59"/>
      <c r="C43" s="59"/>
      <c r="D43" s="62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</row>
    <row r="44" ht="15.75" customHeight="1">
      <c r="A44" s="59"/>
      <c r="B44" s="59"/>
      <c r="C44" s="59"/>
      <c r="D44" s="62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</row>
    <row r="45" ht="15.75" customHeight="1">
      <c r="A45" s="59"/>
      <c r="B45" s="59"/>
      <c r="C45" s="59"/>
      <c r="D45" s="62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</row>
    <row r="46" ht="15.75" customHeight="1">
      <c r="A46" s="59"/>
      <c r="B46" s="59"/>
      <c r="C46" s="59"/>
      <c r="D46" s="62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</row>
    <row r="47" ht="15.75" customHeight="1">
      <c r="A47" s="59"/>
      <c r="B47" s="59"/>
      <c r="C47" s="59"/>
      <c r="D47" s="62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</row>
    <row r="48" ht="15.75" customHeight="1">
      <c r="A48" s="59"/>
      <c r="B48" s="59"/>
      <c r="C48" s="59"/>
      <c r="D48" s="62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</row>
    <row r="49" ht="15.75" customHeight="1">
      <c r="A49" s="59"/>
      <c r="B49" s="59"/>
      <c r="C49" s="59"/>
      <c r="D49" s="62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</row>
    <row r="50" ht="15.75" customHeight="1">
      <c r="A50" s="59"/>
      <c r="B50" s="59"/>
      <c r="C50" s="59"/>
      <c r="D50" s="62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</row>
    <row r="51" ht="15.75" customHeight="1">
      <c r="A51" s="59"/>
      <c r="B51" s="59"/>
      <c r="C51" s="59"/>
      <c r="D51" s="62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</row>
    <row r="52" ht="15.75" customHeight="1">
      <c r="A52" s="59"/>
      <c r="B52" s="59"/>
      <c r="C52" s="59"/>
      <c r="D52" s="62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</row>
    <row r="53" ht="15.75" customHeight="1">
      <c r="A53" s="59"/>
      <c r="B53" s="59"/>
      <c r="C53" s="59"/>
      <c r="D53" s="62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</row>
    <row r="54" ht="15.75" customHeight="1">
      <c r="A54" s="59"/>
      <c r="B54" s="59"/>
      <c r="C54" s="59"/>
      <c r="D54" s="62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</row>
    <row r="55" ht="15.75" customHeight="1">
      <c r="A55" s="59"/>
      <c r="B55" s="59"/>
      <c r="C55" s="59"/>
      <c r="D55" s="62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</row>
    <row r="56" ht="15.75" customHeight="1">
      <c r="A56" s="59"/>
      <c r="B56" s="59"/>
      <c r="C56" s="59"/>
      <c r="D56" s="62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</row>
    <row r="57" ht="15.75" customHeight="1">
      <c r="A57" s="59"/>
      <c r="B57" s="59"/>
      <c r="C57" s="59"/>
      <c r="D57" s="62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</row>
    <row r="58" ht="15.75" customHeight="1">
      <c r="A58" s="59"/>
      <c r="B58" s="59"/>
      <c r="C58" s="59"/>
      <c r="D58" s="62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</row>
    <row r="59" ht="15.75" customHeight="1">
      <c r="A59" s="59"/>
      <c r="B59" s="59"/>
      <c r="C59" s="59"/>
      <c r="D59" s="62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</row>
    <row r="60" ht="15.75" customHeight="1">
      <c r="A60" s="59"/>
      <c r="B60" s="59"/>
      <c r="C60" s="59"/>
      <c r="D60" s="62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</row>
    <row r="61" ht="15.75" customHeight="1">
      <c r="A61" s="59"/>
      <c r="B61" s="59"/>
      <c r="C61" s="59"/>
      <c r="D61" s="62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</row>
    <row r="62" ht="15.75" customHeight="1">
      <c r="A62" s="59"/>
      <c r="B62" s="59"/>
      <c r="C62" s="59"/>
      <c r="D62" s="62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</row>
    <row r="63" ht="15.75" customHeight="1">
      <c r="A63" s="59"/>
      <c r="B63" s="59"/>
      <c r="C63" s="59"/>
      <c r="D63" s="62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</row>
    <row r="64" ht="15.75" customHeight="1">
      <c r="A64" s="59"/>
      <c r="B64" s="59"/>
      <c r="C64" s="59"/>
      <c r="D64" s="62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</row>
    <row r="65" ht="15.75" customHeight="1">
      <c r="A65" s="59"/>
      <c r="B65" s="59"/>
      <c r="C65" s="59"/>
      <c r="D65" s="62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</row>
    <row r="66" ht="15.75" customHeight="1">
      <c r="A66" s="59"/>
      <c r="B66" s="59"/>
      <c r="C66" s="59"/>
      <c r="D66" s="62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</row>
    <row r="67" ht="15.75" customHeight="1">
      <c r="A67" s="59"/>
      <c r="B67" s="59"/>
      <c r="C67" s="59"/>
      <c r="D67" s="62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</row>
    <row r="68" ht="15.75" customHeight="1">
      <c r="A68" s="59"/>
      <c r="B68" s="59"/>
      <c r="C68" s="59"/>
      <c r="D68" s="62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</row>
    <row r="69" ht="15.75" customHeight="1">
      <c r="A69" s="59"/>
      <c r="B69" s="59"/>
      <c r="C69" s="59"/>
      <c r="D69" s="62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</row>
    <row r="70" ht="15.75" customHeight="1">
      <c r="A70" s="59"/>
      <c r="B70" s="59"/>
      <c r="C70" s="59"/>
      <c r="D70" s="62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</row>
    <row r="71" ht="15.75" customHeight="1">
      <c r="A71" s="59"/>
      <c r="B71" s="59"/>
      <c r="C71" s="59"/>
      <c r="D71" s="62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</row>
    <row r="72" ht="15.75" customHeight="1">
      <c r="A72" s="59"/>
      <c r="B72" s="59"/>
      <c r="C72" s="59"/>
      <c r="D72" s="62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</row>
    <row r="73" ht="15.75" customHeight="1">
      <c r="A73" s="59"/>
      <c r="B73" s="59"/>
      <c r="C73" s="59"/>
      <c r="D73" s="62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</row>
    <row r="74" ht="15.75" customHeight="1">
      <c r="A74" s="59"/>
      <c r="B74" s="59"/>
      <c r="C74" s="59"/>
      <c r="D74" s="62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</row>
    <row r="75" ht="15.75" customHeight="1">
      <c r="A75" s="59"/>
      <c r="B75" s="59"/>
      <c r="C75" s="59"/>
      <c r="D75" s="62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</row>
    <row r="76" ht="15.75" customHeight="1">
      <c r="A76" s="59"/>
      <c r="B76" s="59"/>
      <c r="C76" s="59"/>
      <c r="D76" s="62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</row>
    <row r="77" ht="15.75" customHeight="1">
      <c r="A77" s="59"/>
      <c r="B77" s="59"/>
      <c r="C77" s="59"/>
      <c r="D77" s="62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</row>
    <row r="78" ht="15.75" customHeight="1">
      <c r="A78" s="59"/>
      <c r="B78" s="59"/>
      <c r="C78" s="59"/>
      <c r="D78" s="62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</row>
    <row r="79" ht="15.75" customHeight="1">
      <c r="A79" s="59"/>
      <c r="B79" s="59"/>
      <c r="C79" s="59"/>
      <c r="D79" s="62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</row>
    <row r="80" ht="15.75" customHeight="1">
      <c r="A80" s="59"/>
      <c r="B80" s="59"/>
      <c r="C80" s="59"/>
      <c r="D80" s="62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</row>
    <row r="81" ht="15.75" customHeight="1">
      <c r="A81" s="59"/>
      <c r="B81" s="59"/>
      <c r="C81" s="59"/>
      <c r="D81" s="62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</row>
    <row r="82" ht="15.75" customHeight="1">
      <c r="A82" s="59"/>
      <c r="B82" s="59"/>
      <c r="C82" s="59"/>
      <c r="D82" s="62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</row>
    <row r="83" ht="15.75" customHeight="1">
      <c r="A83" s="59"/>
      <c r="B83" s="59"/>
      <c r="C83" s="59"/>
      <c r="D83" s="62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</row>
    <row r="84" ht="15.75" customHeight="1">
      <c r="A84" s="59"/>
      <c r="B84" s="59"/>
      <c r="C84" s="59"/>
      <c r="D84" s="62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</row>
    <row r="85" ht="15.75" customHeight="1">
      <c r="A85" s="59"/>
      <c r="B85" s="59"/>
      <c r="C85" s="59"/>
      <c r="D85" s="62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</row>
    <row r="86" ht="15.75" customHeight="1">
      <c r="A86" s="59"/>
      <c r="B86" s="59"/>
      <c r="C86" s="59"/>
      <c r="D86" s="62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</row>
    <row r="87" ht="15.75" customHeight="1">
      <c r="A87" s="59"/>
      <c r="B87" s="59"/>
      <c r="C87" s="59"/>
      <c r="D87" s="62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</row>
    <row r="88" ht="15.75" customHeight="1">
      <c r="A88" s="59"/>
      <c r="B88" s="59"/>
      <c r="C88" s="59"/>
      <c r="D88" s="62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</row>
    <row r="89" ht="15.75" customHeight="1">
      <c r="A89" s="59"/>
      <c r="B89" s="59"/>
      <c r="C89" s="59"/>
      <c r="D89" s="62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</row>
    <row r="90" ht="15.75" customHeight="1">
      <c r="A90" s="59"/>
      <c r="B90" s="59"/>
      <c r="C90" s="59"/>
      <c r="D90" s="62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</row>
    <row r="91" ht="15.75" customHeight="1">
      <c r="A91" s="59"/>
      <c r="B91" s="59"/>
      <c r="C91" s="59"/>
      <c r="D91" s="62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</row>
    <row r="92" ht="15.75" customHeight="1">
      <c r="A92" s="59"/>
      <c r="B92" s="59"/>
      <c r="C92" s="59"/>
      <c r="D92" s="62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</row>
    <row r="93" ht="15.75" customHeight="1">
      <c r="A93" s="59"/>
      <c r="B93" s="59"/>
      <c r="C93" s="59"/>
      <c r="D93" s="62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</row>
    <row r="94" ht="15.75" customHeight="1">
      <c r="A94" s="59"/>
      <c r="B94" s="59"/>
      <c r="C94" s="59"/>
      <c r="D94" s="62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</row>
    <row r="95" ht="15.75" customHeight="1">
      <c r="A95" s="59"/>
      <c r="B95" s="59"/>
      <c r="C95" s="59"/>
      <c r="D95" s="62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</row>
    <row r="96" ht="15.75" customHeight="1">
      <c r="A96" s="59"/>
      <c r="B96" s="59"/>
      <c r="C96" s="59"/>
      <c r="D96" s="62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</row>
    <row r="97" ht="15.75" customHeight="1">
      <c r="A97" s="59"/>
      <c r="B97" s="59"/>
      <c r="C97" s="59"/>
      <c r="D97" s="62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</row>
    <row r="98" ht="15.75" customHeight="1">
      <c r="A98" s="59"/>
      <c r="B98" s="59"/>
      <c r="C98" s="59"/>
      <c r="D98" s="62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</row>
    <row r="99" ht="15.75" customHeight="1">
      <c r="A99" s="59"/>
      <c r="B99" s="59"/>
      <c r="C99" s="59"/>
      <c r="D99" s="62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</row>
    <row r="100" ht="15.75" customHeight="1">
      <c r="A100" s="59"/>
      <c r="B100" s="59"/>
      <c r="C100" s="59"/>
      <c r="D100" s="62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</row>
    <row r="101" ht="15.75" customHeight="1">
      <c r="A101" s="59"/>
      <c r="B101" s="59"/>
      <c r="C101" s="59"/>
      <c r="D101" s="62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</row>
    <row r="102" ht="15.75" customHeight="1">
      <c r="A102" s="59"/>
      <c r="B102" s="59"/>
      <c r="C102" s="59"/>
      <c r="D102" s="62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</row>
    <row r="103" ht="15.75" customHeight="1">
      <c r="A103" s="59"/>
      <c r="B103" s="59"/>
      <c r="C103" s="59"/>
      <c r="D103" s="62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</row>
    <row r="104" ht="15.75" customHeight="1">
      <c r="A104" s="59"/>
      <c r="B104" s="59"/>
      <c r="C104" s="59"/>
      <c r="D104" s="62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</row>
    <row r="105" ht="15.75" customHeight="1">
      <c r="A105" s="59"/>
      <c r="B105" s="59"/>
      <c r="C105" s="59"/>
      <c r="D105" s="62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</row>
    <row r="106" ht="15.75" customHeight="1">
      <c r="A106" s="59"/>
      <c r="B106" s="59"/>
      <c r="C106" s="59"/>
      <c r="D106" s="62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</row>
    <row r="107" ht="15.75" customHeight="1">
      <c r="A107" s="59"/>
      <c r="B107" s="59"/>
      <c r="C107" s="59"/>
      <c r="D107" s="62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</row>
    <row r="108" ht="15.75" customHeight="1">
      <c r="A108" s="59"/>
      <c r="B108" s="59"/>
      <c r="C108" s="59"/>
      <c r="D108" s="62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</row>
    <row r="109" ht="15.75" customHeight="1">
      <c r="A109" s="59"/>
      <c r="B109" s="59"/>
      <c r="C109" s="59"/>
      <c r="D109" s="62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</row>
    <row r="110" ht="15.75" customHeight="1">
      <c r="A110" s="59"/>
      <c r="B110" s="59"/>
      <c r="C110" s="59"/>
      <c r="D110" s="62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</row>
    <row r="111" ht="15.75" customHeight="1">
      <c r="A111" s="59"/>
      <c r="B111" s="59"/>
      <c r="C111" s="59"/>
      <c r="D111" s="62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</row>
    <row r="112" ht="15.75" customHeight="1">
      <c r="A112" s="59"/>
      <c r="B112" s="59"/>
      <c r="C112" s="59"/>
      <c r="D112" s="62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</row>
    <row r="113" ht="15.75" customHeight="1">
      <c r="A113" s="59"/>
      <c r="B113" s="59"/>
      <c r="C113" s="59"/>
      <c r="D113" s="62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</row>
    <row r="114" ht="15.75" customHeight="1">
      <c r="A114" s="59"/>
      <c r="B114" s="59"/>
      <c r="C114" s="59"/>
      <c r="D114" s="62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</row>
    <row r="115" ht="15.75" customHeight="1">
      <c r="A115" s="59"/>
      <c r="B115" s="59"/>
      <c r="C115" s="59"/>
      <c r="D115" s="62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</row>
    <row r="116" ht="15.75" customHeight="1">
      <c r="A116" s="59"/>
      <c r="B116" s="59"/>
      <c r="C116" s="59"/>
      <c r="D116" s="62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</row>
    <row r="117" ht="15.75" customHeight="1">
      <c r="A117" s="59"/>
      <c r="B117" s="59"/>
      <c r="C117" s="59"/>
      <c r="D117" s="62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</row>
    <row r="118" ht="15.75" customHeight="1">
      <c r="A118" s="59"/>
      <c r="B118" s="59"/>
      <c r="C118" s="59"/>
      <c r="D118" s="62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</row>
    <row r="119" ht="15.75" customHeight="1">
      <c r="A119" s="59"/>
      <c r="B119" s="59"/>
      <c r="C119" s="59"/>
      <c r="D119" s="62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</row>
    <row r="120" ht="15.75" customHeight="1">
      <c r="A120" s="59"/>
      <c r="B120" s="59"/>
      <c r="C120" s="59"/>
      <c r="D120" s="62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</row>
    <row r="121" ht="15.75" customHeight="1">
      <c r="A121" s="59"/>
      <c r="B121" s="59"/>
      <c r="C121" s="59"/>
      <c r="D121" s="62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</row>
    <row r="122" ht="15.75" customHeight="1">
      <c r="A122" s="59"/>
      <c r="B122" s="59"/>
      <c r="C122" s="59"/>
      <c r="D122" s="62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</row>
    <row r="123" ht="15.75" customHeight="1">
      <c r="A123" s="59"/>
      <c r="B123" s="59"/>
      <c r="C123" s="59"/>
      <c r="D123" s="62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</row>
    <row r="124" ht="15.75" customHeight="1">
      <c r="A124" s="59"/>
      <c r="B124" s="59"/>
      <c r="C124" s="59"/>
      <c r="D124" s="62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</row>
    <row r="125" ht="15.75" customHeight="1">
      <c r="A125" s="59"/>
      <c r="B125" s="59"/>
      <c r="C125" s="59"/>
      <c r="D125" s="62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</row>
    <row r="126" ht="15.75" customHeight="1">
      <c r="A126" s="59"/>
      <c r="B126" s="59"/>
      <c r="C126" s="59"/>
      <c r="D126" s="62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</row>
    <row r="127" ht="15.75" customHeight="1">
      <c r="A127" s="59"/>
      <c r="B127" s="59"/>
      <c r="C127" s="59"/>
      <c r="D127" s="62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</row>
    <row r="128" ht="15.75" customHeight="1">
      <c r="A128" s="59"/>
      <c r="B128" s="59"/>
      <c r="C128" s="59"/>
      <c r="D128" s="62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</row>
    <row r="129" ht="15.75" customHeight="1">
      <c r="A129" s="59"/>
      <c r="B129" s="59"/>
      <c r="C129" s="59"/>
      <c r="D129" s="62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</row>
    <row r="130" ht="15.75" customHeight="1">
      <c r="A130" s="59"/>
      <c r="B130" s="59"/>
      <c r="C130" s="59"/>
      <c r="D130" s="62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</row>
    <row r="131" ht="15.75" customHeight="1">
      <c r="A131" s="59"/>
      <c r="B131" s="59"/>
      <c r="C131" s="59"/>
      <c r="D131" s="62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</row>
    <row r="132" ht="15.75" customHeight="1">
      <c r="A132" s="59"/>
      <c r="B132" s="59"/>
      <c r="C132" s="59"/>
      <c r="D132" s="62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</row>
    <row r="133" ht="15.75" customHeight="1">
      <c r="A133" s="59"/>
      <c r="B133" s="59"/>
      <c r="C133" s="59"/>
      <c r="D133" s="62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</row>
    <row r="134" ht="15.75" customHeight="1">
      <c r="A134" s="59"/>
      <c r="B134" s="59"/>
      <c r="C134" s="59"/>
      <c r="D134" s="62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</row>
    <row r="135" ht="15.75" customHeight="1">
      <c r="A135" s="59"/>
      <c r="B135" s="59"/>
      <c r="C135" s="59"/>
      <c r="D135" s="62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</row>
    <row r="136" ht="15.75" customHeight="1">
      <c r="A136" s="59"/>
      <c r="B136" s="59"/>
      <c r="C136" s="59"/>
      <c r="D136" s="62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</row>
    <row r="137" ht="15.75" customHeight="1">
      <c r="A137" s="59"/>
      <c r="B137" s="59"/>
      <c r="C137" s="59"/>
      <c r="D137" s="62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</row>
    <row r="138" ht="15.75" customHeight="1">
      <c r="A138" s="59"/>
      <c r="B138" s="59"/>
      <c r="C138" s="59"/>
      <c r="D138" s="62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</row>
    <row r="139" ht="15.75" customHeight="1">
      <c r="A139" s="59"/>
      <c r="B139" s="59"/>
      <c r="C139" s="59"/>
      <c r="D139" s="62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</row>
    <row r="140" ht="15.75" customHeight="1">
      <c r="A140" s="59"/>
      <c r="B140" s="59"/>
      <c r="C140" s="59"/>
      <c r="D140" s="62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</row>
    <row r="141" ht="15.75" customHeight="1">
      <c r="A141" s="59"/>
      <c r="B141" s="59"/>
      <c r="C141" s="59"/>
      <c r="D141" s="62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</row>
    <row r="142" ht="15.75" customHeight="1">
      <c r="A142" s="59"/>
      <c r="B142" s="59"/>
      <c r="C142" s="59"/>
      <c r="D142" s="62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</row>
    <row r="143" ht="15.75" customHeight="1">
      <c r="A143" s="59"/>
      <c r="B143" s="59"/>
      <c r="C143" s="59"/>
      <c r="D143" s="62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</row>
    <row r="144" ht="15.75" customHeight="1">
      <c r="A144" s="59"/>
      <c r="B144" s="59"/>
      <c r="C144" s="59"/>
      <c r="D144" s="62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</row>
    <row r="145" ht="15.75" customHeight="1">
      <c r="A145" s="59"/>
      <c r="B145" s="59"/>
      <c r="C145" s="59"/>
      <c r="D145" s="62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</row>
    <row r="146" ht="15.75" customHeight="1">
      <c r="A146" s="59"/>
      <c r="B146" s="59"/>
      <c r="C146" s="59"/>
      <c r="D146" s="62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</row>
    <row r="147" ht="15.75" customHeight="1">
      <c r="A147" s="59"/>
      <c r="B147" s="59"/>
      <c r="C147" s="59"/>
      <c r="D147" s="62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</row>
    <row r="148" ht="15.75" customHeight="1">
      <c r="A148" s="59"/>
      <c r="B148" s="59"/>
      <c r="C148" s="59"/>
      <c r="D148" s="62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</row>
    <row r="149" ht="15.75" customHeight="1">
      <c r="A149" s="59"/>
      <c r="B149" s="59"/>
      <c r="C149" s="59"/>
      <c r="D149" s="62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</row>
    <row r="150" ht="15.75" customHeight="1">
      <c r="A150" s="59"/>
      <c r="B150" s="59"/>
      <c r="C150" s="59"/>
      <c r="D150" s="62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</row>
    <row r="151" ht="15.75" customHeight="1">
      <c r="A151" s="59"/>
      <c r="B151" s="59"/>
      <c r="C151" s="59"/>
      <c r="D151" s="62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</row>
    <row r="152" ht="15.75" customHeight="1">
      <c r="A152" s="59"/>
      <c r="B152" s="59"/>
      <c r="C152" s="59"/>
      <c r="D152" s="62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</row>
    <row r="153" ht="15.75" customHeight="1">
      <c r="A153" s="59"/>
      <c r="B153" s="59"/>
      <c r="C153" s="59"/>
      <c r="D153" s="62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</row>
    <row r="154" ht="15.75" customHeight="1">
      <c r="A154" s="59"/>
      <c r="B154" s="59"/>
      <c r="C154" s="59"/>
      <c r="D154" s="62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</row>
    <row r="155" ht="15.75" customHeight="1">
      <c r="A155" s="59"/>
      <c r="B155" s="59"/>
      <c r="C155" s="59"/>
      <c r="D155" s="62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</row>
    <row r="156" ht="15.75" customHeight="1">
      <c r="A156" s="59"/>
      <c r="B156" s="59"/>
      <c r="C156" s="59"/>
      <c r="D156" s="62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</row>
    <row r="157" ht="15.75" customHeight="1">
      <c r="A157" s="59"/>
      <c r="B157" s="59"/>
      <c r="C157" s="59"/>
      <c r="D157" s="62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</row>
    <row r="158" ht="15.75" customHeight="1">
      <c r="A158" s="59"/>
      <c r="B158" s="59"/>
      <c r="C158" s="59"/>
      <c r="D158" s="62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</row>
    <row r="159" ht="15.75" customHeight="1">
      <c r="A159" s="59"/>
      <c r="B159" s="59"/>
      <c r="C159" s="59"/>
      <c r="D159" s="62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</row>
    <row r="160" ht="15.75" customHeight="1">
      <c r="A160" s="59"/>
      <c r="B160" s="59"/>
      <c r="C160" s="59"/>
      <c r="D160" s="62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</row>
    <row r="161" ht="15.75" customHeight="1">
      <c r="A161" s="59"/>
      <c r="B161" s="59"/>
      <c r="C161" s="59"/>
      <c r="D161" s="62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</row>
    <row r="162" ht="15.75" customHeight="1">
      <c r="A162" s="59"/>
      <c r="B162" s="59"/>
      <c r="C162" s="59"/>
      <c r="D162" s="62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</row>
    <row r="163" ht="15.75" customHeight="1">
      <c r="A163" s="59"/>
      <c r="B163" s="59"/>
      <c r="C163" s="59"/>
      <c r="D163" s="62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</row>
    <row r="164" ht="15.75" customHeight="1">
      <c r="A164" s="59"/>
      <c r="B164" s="59"/>
      <c r="C164" s="59"/>
      <c r="D164" s="62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</row>
    <row r="165" ht="15.75" customHeight="1">
      <c r="A165" s="59"/>
      <c r="B165" s="59"/>
      <c r="C165" s="59"/>
      <c r="D165" s="62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</row>
    <row r="166" ht="15.75" customHeight="1">
      <c r="A166" s="59"/>
      <c r="B166" s="59"/>
      <c r="C166" s="59"/>
      <c r="D166" s="62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</row>
    <row r="167" ht="15.75" customHeight="1">
      <c r="A167" s="59"/>
      <c r="B167" s="59"/>
      <c r="C167" s="59"/>
      <c r="D167" s="62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</row>
    <row r="168" ht="15.75" customHeight="1">
      <c r="A168" s="59"/>
      <c r="B168" s="59"/>
      <c r="C168" s="59"/>
      <c r="D168" s="62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</row>
    <row r="169" ht="15.75" customHeight="1">
      <c r="A169" s="59"/>
      <c r="B169" s="59"/>
      <c r="C169" s="59"/>
      <c r="D169" s="62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</row>
    <row r="170" ht="15.75" customHeight="1">
      <c r="A170" s="59"/>
      <c r="B170" s="59"/>
      <c r="C170" s="59"/>
      <c r="D170" s="62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</row>
    <row r="171" ht="15.75" customHeight="1">
      <c r="A171" s="59"/>
      <c r="B171" s="59"/>
      <c r="C171" s="59"/>
      <c r="D171" s="62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</row>
    <row r="172" ht="15.75" customHeight="1">
      <c r="A172" s="59"/>
      <c r="B172" s="59"/>
      <c r="C172" s="59"/>
      <c r="D172" s="62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</row>
    <row r="173" ht="15.75" customHeight="1">
      <c r="A173" s="59"/>
      <c r="B173" s="59"/>
      <c r="C173" s="59"/>
      <c r="D173" s="62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</row>
    <row r="174" ht="15.75" customHeight="1">
      <c r="A174" s="59"/>
      <c r="B174" s="59"/>
      <c r="C174" s="59"/>
      <c r="D174" s="62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</row>
    <row r="175" ht="15.75" customHeight="1">
      <c r="A175" s="59"/>
      <c r="B175" s="59"/>
      <c r="C175" s="59"/>
      <c r="D175" s="62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</row>
    <row r="176" ht="15.75" customHeight="1">
      <c r="A176" s="59"/>
      <c r="B176" s="59"/>
      <c r="C176" s="59"/>
      <c r="D176" s="62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</row>
    <row r="177" ht="15.75" customHeight="1">
      <c r="A177" s="59"/>
      <c r="B177" s="59"/>
      <c r="C177" s="59"/>
      <c r="D177" s="62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</row>
    <row r="178" ht="15.75" customHeight="1">
      <c r="A178" s="59"/>
      <c r="B178" s="59"/>
      <c r="C178" s="59"/>
      <c r="D178" s="62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</row>
    <row r="179" ht="15.75" customHeight="1">
      <c r="A179" s="59"/>
      <c r="B179" s="59"/>
      <c r="C179" s="59"/>
      <c r="D179" s="62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</row>
    <row r="180" ht="15.75" customHeight="1">
      <c r="A180" s="59"/>
      <c r="B180" s="59"/>
      <c r="C180" s="59"/>
      <c r="D180" s="62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</row>
    <row r="181" ht="15.75" customHeight="1">
      <c r="A181" s="59"/>
      <c r="B181" s="59"/>
      <c r="C181" s="59"/>
      <c r="D181" s="62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</row>
    <row r="182" ht="15.75" customHeight="1">
      <c r="A182" s="59"/>
      <c r="B182" s="59"/>
      <c r="C182" s="59"/>
      <c r="D182" s="62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</row>
    <row r="183" ht="15.75" customHeight="1">
      <c r="A183" s="59"/>
      <c r="B183" s="59"/>
      <c r="C183" s="59"/>
      <c r="D183" s="62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</row>
    <row r="184" ht="15.75" customHeight="1">
      <c r="A184" s="59"/>
      <c r="B184" s="59"/>
      <c r="C184" s="59"/>
      <c r="D184" s="62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</row>
    <row r="185" ht="15.75" customHeight="1">
      <c r="A185" s="59"/>
      <c r="B185" s="59"/>
      <c r="C185" s="59"/>
      <c r="D185" s="62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</row>
    <row r="186" ht="15.75" customHeight="1">
      <c r="A186" s="59"/>
      <c r="B186" s="59"/>
      <c r="C186" s="59"/>
      <c r="D186" s="62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</row>
    <row r="187" ht="15.75" customHeight="1">
      <c r="A187" s="59"/>
      <c r="B187" s="59"/>
      <c r="C187" s="59"/>
      <c r="D187" s="62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</row>
    <row r="188" ht="15.75" customHeight="1">
      <c r="A188" s="59"/>
      <c r="B188" s="59"/>
      <c r="C188" s="59"/>
      <c r="D188" s="62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</row>
    <row r="189" ht="15.75" customHeight="1">
      <c r="A189" s="59"/>
      <c r="B189" s="59"/>
      <c r="C189" s="59"/>
      <c r="D189" s="62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</row>
    <row r="190" ht="15.75" customHeight="1">
      <c r="A190" s="59"/>
      <c r="B190" s="59"/>
      <c r="C190" s="59"/>
      <c r="D190" s="62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</row>
    <row r="191" ht="15.75" customHeight="1">
      <c r="A191" s="59"/>
      <c r="B191" s="59"/>
      <c r="C191" s="59"/>
      <c r="D191" s="62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</row>
    <row r="192" ht="15.75" customHeight="1">
      <c r="A192" s="59"/>
      <c r="B192" s="59"/>
      <c r="C192" s="59"/>
      <c r="D192" s="62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</row>
    <row r="193" ht="15.75" customHeight="1">
      <c r="A193" s="59"/>
      <c r="B193" s="59"/>
      <c r="C193" s="59"/>
      <c r="D193" s="62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</row>
    <row r="194" ht="15.75" customHeight="1">
      <c r="A194" s="59"/>
      <c r="B194" s="59"/>
      <c r="C194" s="59"/>
      <c r="D194" s="62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</row>
    <row r="195" ht="15.75" customHeight="1">
      <c r="A195" s="59"/>
      <c r="B195" s="59"/>
      <c r="C195" s="59"/>
      <c r="D195" s="62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</row>
    <row r="196" ht="15.75" customHeight="1">
      <c r="A196" s="59"/>
      <c r="B196" s="59"/>
      <c r="C196" s="59"/>
      <c r="D196" s="62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</row>
    <row r="197" ht="15.75" customHeight="1">
      <c r="A197" s="59"/>
      <c r="B197" s="59"/>
      <c r="C197" s="59"/>
      <c r="D197" s="62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</row>
    <row r="198" ht="15.75" customHeight="1">
      <c r="A198" s="59"/>
      <c r="B198" s="59"/>
      <c r="C198" s="59"/>
      <c r="D198" s="62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</row>
    <row r="199" ht="15.75" customHeight="1">
      <c r="A199" s="59"/>
      <c r="B199" s="59"/>
      <c r="C199" s="59"/>
      <c r="D199" s="62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</row>
    <row r="200" ht="15.75" customHeight="1">
      <c r="A200" s="59"/>
      <c r="B200" s="59"/>
      <c r="C200" s="59"/>
      <c r="D200" s="62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</row>
    <row r="201" ht="15.75" customHeight="1">
      <c r="A201" s="59"/>
      <c r="B201" s="59"/>
      <c r="C201" s="59"/>
      <c r="D201" s="62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</row>
    <row r="202" ht="15.75" customHeight="1">
      <c r="A202" s="59"/>
      <c r="B202" s="59"/>
      <c r="C202" s="59"/>
      <c r="D202" s="62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</row>
    <row r="203" ht="15.75" customHeight="1">
      <c r="A203" s="59"/>
      <c r="B203" s="59"/>
      <c r="C203" s="59"/>
      <c r="D203" s="62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</row>
    <row r="204" ht="15.75" customHeight="1">
      <c r="A204" s="59"/>
      <c r="B204" s="59"/>
      <c r="C204" s="59"/>
      <c r="D204" s="62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</row>
    <row r="205" ht="15.75" customHeight="1">
      <c r="A205" s="59"/>
      <c r="B205" s="59"/>
      <c r="C205" s="59"/>
      <c r="D205" s="62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</row>
    <row r="206" ht="15.75" customHeight="1">
      <c r="A206" s="59"/>
      <c r="B206" s="59"/>
      <c r="C206" s="59"/>
      <c r="D206" s="62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</row>
    <row r="207" ht="15.75" customHeight="1">
      <c r="A207" s="59"/>
      <c r="B207" s="59"/>
      <c r="C207" s="59"/>
      <c r="D207" s="62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</row>
    <row r="208" ht="15.75" customHeight="1">
      <c r="A208" s="59"/>
      <c r="B208" s="59"/>
      <c r="C208" s="59"/>
      <c r="D208" s="62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</row>
    <row r="209" ht="15.75" customHeight="1">
      <c r="A209" s="59"/>
      <c r="B209" s="59"/>
      <c r="C209" s="59"/>
      <c r="D209" s="62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</row>
    <row r="210" ht="15.75" customHeight="1">
      <c r="A210" s="59"/>
      <c r="B210" s="59"/>
      <c r="C210" s="59"/>
      <c r="D210" s="62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</row>
    <row r="211" ht="15.75" customHeight="1">
      <c r="A211" s="59"/>
      <c r="B211" s="59"/>
      <c r="C211" s="59"/>
      <c r="D211" s="62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</row>
    <row r="212" ht="15.75" customHeight="1">
      <c r="A212" s="59"/>
      <c r="B212" s="59"/>
      <c r="C212" s="59"/>
      <c r="D212" s="62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</row>
    <row r="213" ht="15.75" customHeight="1">
      <c r="A213" s="59"/>
      <c r="B213" s="59"/>
      <c r="C213" s="59"/>
      <c r="D213" s="62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</row>
    <row r="214" ht="15.75" customHeight="1">
      <c r="A214" s="59"/>
      <c r="B214" s="59"/>
      <c r="C214" s="59"/>
      <c r="D214" s="62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</row>
    <row r="215" ht="15.75" customHeight="1">
      <c r="A215" s="59"/>
      <c r="B215" s="59"/>
      <c r="C215" s="59"/>
      <c r="D215" s="62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</row>
    <row r="216" ht="15.75" customHeight="1">
      <c r="A216" s="59"/>
      <c r="B216" s="59"/>
      <c r="C216" s="59"/>
      <c r="D216" s="62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</row>
    <row r="217" ht="15.75" customHeight="1">
      <c r="A217" s="59"/>
      <c r="B217" s="59"/>
      <c r="C217" s="59"/>
      <c r="D217" s="62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</row>
    <row r="218" ht="15.75" customHeight="1">
      <c r="A218" s="59"/>
      <c r="B218" s="59"/>
      <c r="C218" s="59"/>
      <c r="D218" s="62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</row>
    <row r="219" ht="15.75" customHeight="1">
      <c r="A219" s="59"/>
      <c r="B219" s="59"/>
      <c r="C219" s="59"/>
      <c r="D219" s="62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</row>
    <row r="220" ht="15.75" customHeight="1">
      <c r="A220" s="59"/>
      <c r="B220" s="59"/>
      <c r="C220" s="59"/>
      <c r="D220" s="62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</row>
    <row r="221" ht="15.75" customHeight="1">
      <c r="A221" s="59"/>
      <c r="B221" s="59"/>
      <c r="C221" s="59"/>
      <c r="D221" s="62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</row>
    <row r="222" ht="15.75" customHeight="1">
      <c r="A222" s="59"/>
      <c r="B222" s="59"/>
      <c r="C222" s="59"/>
      <c r="D222" s="62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</row>
    <row r="223" ht="15.75" customHeight="1">
      <c r="A223" s="59"/>
      <c r="B223" s="59"/>
      <c r="C223" s="59"/>
      <c r="D223" s="62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</row>
    <row r="224" ht="15.75" customHeight="1">
      <c r="A224" s="59"/>
      <c r="B224" s="59"/>
      <c r="C224" s="59"/>
      <c r="D224" s="62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</row>
    <row r="225" ht="15.75" customHeight="1">
      <c r="A225" s="59"/>
      <c r="B225" s="59"/>
      <c r="C225" s="59"/>
      <c r="D225" s="62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</row>
    <row r="226" ht="15.75" customHeight="1">
      <c r="A226" s="59"/>
      <c r="B226" s="59"/>
      <c r="C226" s="59"/>
      <c r="D226" s="62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</row>
    <row r="227" ht="15.75" customHeight="1">
      <c r="A227" s="59"/>
      <c r="B227" s="59"/>
      <c r="C227" s="59"/>
      <c r="D227" s="62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</row>
    <row r="228" ht="15.75" customHeight="1">
      <c r="A228" s="59"/>
      <c r="B228" s="59"/>
      <c r="C228" s="59"/>
      <c r="D228" s="62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</row>
    <row r="229" ht="15.75" customHeight="1">
      <c r="A229" s="59"/>
      <c r="B229" s="59"/>
      <c r="C229" s="59"/>
      <c r="D229" s="62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</row>
    <row r="230" ht="15.75" customHeight="1">
      <c r="A230" s="59"/>
      <c r="B230" s="59"/>
      <c r="C230" s="59"/>
      <c r="D230" s="62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</row>
    <row r="231" ht="15.75" customHeight="1">
      <c r="A231" s="59"/>
      <c r="B231" s="59"/>
      <c r="C231" s="59"/>
      <c r="D231" s="62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</row>
    <row r="232" ht="15.75" customHeight="1">
      <c r="A232" s="59"/>
      <c r="B232" s="59"/>
      <c r="C232" s="59"/>
      <c r="D232" s="62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</row>
    <row r="233" ht="15.75" customHeight="1">
      <c r="A233" s="59"/>
      <c r="B233" s="59"/>
      <c r="C233" s="59"/>
      <c r="D233" s="62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</row>
    <row r="234" ht="15.75" customHeight="1">
      <c r="A234" s="59"/>
      <c r="B234" s="59"/>
      <c r="C234" s="59"/>
      <c r="D234" s="62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</row>
    <row r="235" ht="15.75" customHeight="1">
      <c r="A235" s="59"/>
      <c r="B235" s="59"/>
      <c r="C235" s="59"/>
      <c r="D235" s="62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</row>
    <row r="236" ht="15.75" customHeight="1">
      <c r="A236" s="59"/>
      <c r="B236" s="59"/>
      <c r="C236" s="59"/>
      <c r="D236" s="62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59" t="s">
        <v>76</v>
      </c>
      <c r="B1" s="59"/>
      <c r="C1" s="89"/>
      <c r="D1" s="90"/>
      <c r="E1" s="91"/>
      <c r="F1" s="91"/>
      <c r="G1" s="92"/>
      <c r="H1" s="61"/>
      <c r="I1" s="61"/>
      <c r="J1" s="93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59"/>
      <c r="B2" s="94" t="s">
        <v>77</v>
      </c>
      <c r="C2" s="95"/>
      <c r="D2" s="95"/>
      <c r="E2" s="95"/>
      <c r="F2" s="95"/>
      <c r="G2" s="95"/>
      <c r="H2" s="95"/>
      <c r="I2" s="95"/>
      <c r="J2" s="95"/>
      <c r="K2" s="96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4"/>
      <c r="B3" s="94" t="s">
        <v>78</v>
      </c>
      <c r="C3" s="95"/>
      <c r="D3" s="95"/>
      <c r="E3" s="95"/>
      <c r="F3" s="95"/>
      <c r="G3" s="95"/>
      <c r="H3" s="95"/>
      <c r="I3" s="95"/>
      <c r="J3" s="95"/>
      <c r="K3" s="96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>
      <c r="A4" s="59"/>
      <c r="B4" s="94" t="s">
        <v>79</v>
      </c>
      <c r="C4" s="95"/>
      <c r="D4" s="95"/>
      <c r="E4" s="95"/>
      <c r="F4" s="95"/>
      <c r="G4" s="95"/>
      <c r="H4" s="95"/>
      <c r="I4" s="95"/>
      <c r="J4" s="95"/>
      <c r="K4" s="96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>
      <c r="A5" s="4"/>
      <c r="B5" s="97" t="s">
        <v>80</v>
      </c>
      <c r="C5" s="98" t="s">
        <v>81</v>
      </c>
      <c r="D5" s="99" t="s">
        <v>82</v>
      </c>
      <c r="E5" s="99" t="s">
        <v>83</v>
      </c>
      <c r="F5" s="99" t="s">
        <v>84</v>
      </c>
      <c r="G5" s="99" t="s">
        <v>85</v>
      </c>
      <c r="H5" s="99" t="s">
        <v>86</v>
      </c>
      <c r="I5" s="99" t="s">
        <v>87</v>
      </c>
      <c r="J5" s="99" t="s">
        <v>88</v>
      </c>
      <c r="K5" s="99" t="s">
        <v>89</v>
      </c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>
      <c r="A6" s="59"/>
      <c r="B6" s="100">
        <v>1.0</v>
      </c>
      <c r="C6" s="101" t="s">
        <v>28</v>
      </c>
      <c r="D6" s="81">
        <v>1057208.389999993</v>
      </c>
      <c r="E6" s="102">
        <v>1.0</v>
      </c>
      <c r="F6" s="66">
        <f t="shared" ref="F6:F27" si="1">D6*E6</f>
        <v>1057208.39</v>
      </c>
      <c r="G6" s="23">
        <v>0.0</v>
      </c>
      <c r="H6" s="23">
        <v>0.0</v>
      </c>
      <c r="I6" s="103">
        <f t="shared" ref="I6:I27" si="2">G6-H6</f>
        <v>0</v>
      </c>
      <c r="J6" s="66">
        <f t="shared" ref="J6:J27" si="3">F6+I6</f>
        <v>1057208.39</v>
      </c>
      <c r="K6" s="104" t="s">
        <v>90</v>
      </c>
      <c r="L6" s="105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>
      <c r="A7" s="59"/>
      <c r="B7" s="100">
        <v>2.0</v>
      </c>
      <c r="C7" s="103" t="s">
        <v>30</v>
      </c>
      <c r="D7" s="66">
        <v>73124.13</v>
      </c>
      <c r="E7" s="102">
        <v>1.0</v>
      </c>
      <c r="F7" s="66">
        <f t="shared" si="1"/>
        <v>73124.13</v>
      </c>
      <c r="G7" s="23">
        <v>0.0</v>
      </c>
      <c r="H7" s="23">
        <v>0.0</v>
      </c>
      <c r="I7" s="103">
        <f t="shared" si="2"/>
        <v>0</v>
      </c>
      <c r="J7" s="66">
        <f t="shared" si="3"/>
        <v>73124.13</v>
      </c>
      <c r="K7" s="104" t="s">
        <v>90</v>
      </c>
      <c r="L7" s="105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>
      <c r="A8" s="105"/>
      <c r="B8" s="100">
        <v>3.0</v>
      </c>
      <c r="C8" s="106" t="s">
        <v>32</v>
      </c>
      <c r="D8" s="81">
        <v>1.696309918E7</v>
      </c>
      <c r="E8" s="102">
        <v>1.0</v>
      </c>
      <c r="F8" s="66">
        <f t="shared" si="1"/>
        <v>16963099.18</v>
      </c>
      <c r="G8" s="23">
        <v>0.0</v>
      </c>
      <c r="H8" s="23">
        <v>0.0</v>
      </c>
      <c r="I8" s="103">
        <f t="shared" si="2"/>
        <v>0</v>
      </c>
      <c r="J8" s="66">
        <f t="shared" si="3"/>
        <v>16963099.18</v>
      </c>
      <c r="K8" s="104" t="s">
        <v>91</v>
      </c>
      <c r="L8" s="105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>
      <c r="A9" s="59"/>
      <c r="B9" s="100">
        <v>4.0</v>
      </c>
      <c r="C9" s="103" t="s">
        <v>33</v>
      </c>
      <c r="D9" s="66">
        <v>31493.46</v>
      </c>
      <c r="E9" s="102">
        <v>1.0</v>
      </c>
      <c r="F9" s="66">
        <f t="shared" si="1"/>
        <v>31493.46</v>
      </c>
      <c r="G9" s="23">
        <v>0.0</v>
      </c>
      <c r="H9" s="23">
        <v>0.0</v>
      </c>
      <c r="I9" s="103">
        <f t="shared" si="2"/>
        <v>0</v>
      </c>
      <c r="J9" s="66">
        <f t="shared" si="3"/>
        <v>31493.46</v>
      </c>
      <c r="K9" s="104" t="s">
        <v>90</v>
      </c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>
      <c r="A10" s="105"/>
      <c r="B10" s="100">
        <v>5.0</v>
      </c>
      <c r="C10" s="103" t="s">
        <v>34</v>
      </c>
      <c r="D10" s="66">
        <v>208999.86</v>
      </c>
      <c r="E10" s="102">
        <v>1.0</v>
      </c>
      <c r="F10" s="66">
        <f t="shared" si="1"/>
        <v>208999.86</v>
      </c>
      <c r="G10" s="23">
        <v>0.0</v>
      </c>
      <c r="H10" s="23">
        <v>0.0</v>
      </c>
      <c r="I10" s="103">
        <f t="shared" si="2"/>
        <v>0</v>
      </c>
      <c r="J10" s="66">
        <f t="shared" si="3"/>
        <v>208999.86</v>
      </c>
      <c r="K10" s="104" t="s">
        <v>90</v>
      </c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>
      <c r="A11" s="59"/>
      <c r="B11" s="100">
        <v>6.0</v>
      </c>
      <c r="C11" s="101" t="s">
        <v>35</v>
      </c>
      <c r="D11" s="81">
        <v>1043630.5800000001</v>
      </c>
      <c r="E11" s="102">
        <v>1.0</v>
      </c>
      <c r="F11" s="66">
        <f t="shared" si="1"/>
        <v>1043630.58</v>
      </c>
      <c r="G11" s="23">
        <v>0.0</v>
      </c>
      <c r="H11" s="23">
        <v>0.0</v>
      </c>
      <c r="I11" s="103">
        <f t="shared" si="2"/>
        <v>0</v>
      </c>
      <c r="J11" s="66">
        <f t="shared" si="3"/>
        <v>1043630.58</v>
      </c>
      <c r="K11" s="104" t="s">
        <v>90</v>
      </c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>
      <c r="A12" s="4"/>
      <c r="B12" s="100">
        <v>7.0</v>
      </c>
      <c r="C12" s="101" t="s">
        <v>74</v>
      </c>
      <c r="D12" s="81">
        <v>3339523.71</v>
      </c>
      <c r="E12" s="102">
        <v>1.0</v>
      </c>
      <c r="F12" s="66">
        <f t="shared" si="1"/>
        <v>3339523.71</v>
      </c>
      <c r="G12" s="23">
        <v>10500.7</v>
      </c>
      <c r="H12" s="23">
        <v>12.0</v>
      </c>
      <c r="I12" s="103">
        <f t="shared" si="2"/>
        <v>10488.7</v>
      </c>
      <c r="J12" s="66">
        <f t="shared" si="3"/>
        <v>3350012.41</v>
      </c>
      <c r="K12" s="104" t="s">
        <v>92</v>
      </c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>
      <c r="A13" s="59"/>
      <c r="B13" s="100">
        <v>8.0</v>
      </c>
      <c r="C13" s="101" t="s">
        <v>37</v>
      </c>
      <c r="D13" s="66">
        <v>1170660.21</v>
      </c>
      <c r="E13" s="102">
        <v>1.0</v>
      </c>
      <c r="F13" s="66">
        <f t="shared" si="1"/>
        <v>1170660.21</v>
      </c>
      <c r="G13" s="23">
        <v>0.0</v>
      </c>
      <c r="H13" s="23">
        <v>0.0</v>
      </c>
      <c r="I13" s="103">
        <f t="shared" si="2"/>
        <v>0</v>
      </c>
      <c r="J13" s="66">
        <f t="shared" si="3"/>
        <v>1170660.21</v>
      </c>
      <c r="K13" s="104" t="s">
        <v>90</v>
      </c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>
      <c r="A14" s="59"/>
      <c r="B14" s="100">
        <v>9.0</v>
      </c>
      <c r="C14" s="103" t="s">
        <v>38</v>
      </c>
      <c r="D14" s="66">
        <v>564653.8400000004</v>
      </c>
      <c r="E14" s="102">
        <v>1.0</v>
      </c>
      <c r="F14" s="66">
        <f t="shared" si="1"/>
        <v>564653.84</v>
      </c>
      <c r="G14" s="23">
        <v>0.0</v>
      </c>
      <c r="H14" s="23">
        <v>0.0</v>
      </c>
      <c r="I14" s="103">
        <f t="shared" si="2"/>
        <v>0</v>
      </c>
      <c r="J14" s="66">
        <f t="shared" si="3"/>
        <v>564653.84</v>
      </c>
      <c r="K14" s="104" t="s">
        <v>90</v>
      </c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>
      <c r="A15" s="59"/>
      <c r="B15" s="100">
        <v>10.0</v>
      </c>
      <c r="C15" s="101" t="s">
        <v>39</v>
      </c>
      <c r="D15" s="81">
        <v>745578.1000000015</v>
      </c>
      <c r="E15" s="102">
        <v>1.0</v>
      </c>
      <c r="F15" s="66">
        <f t="shared" si="1"/>
        <v>745578.1</v>
      </c>
      <c r="G15" s="23">
        <v>0.0</v>
      </c>
      <c r="H15" s="23">
        <v>0.0</v>
      </c>
      <c r="I15" s="103">
        <f t="shared" si="2"/>
        <v>0</v>
      </c>
      <c r="J15" s="66">
        <f t="shared" si="3"/>
        <v>745578.1</v>
      </c>
      <c r="K15" s="104" t="s">
        <v>90</v>
      </c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>
      <c r="A16" s="59"/>
      <c r="B16" s="100">
        <v>11.0</v>
      </c>
      <c r="C16" s="103" t="s">
        <v>41</v>
      </c>
      <c r="D16" s="66">
        <v>11745.64</v>
      </c>
      <c r="E16" s="102">
        <v>1.0</v>
      </c>
      <c r="F16" s="66">
        <f t="shared" si="1"/>
        <v>11745.64</v>
      </c>
      <c r="G16" s="23">
        <v>0.0</v>
      </c>
      <c r="H16" s="23">
        <v>0.0</v>
      </c>
      <c r="I16" s="103">
        <f t="shared" si="2"/>
        <v>0</v>
      </c>
      <c r="J16" s="66">
        <f t="shared" si="3"/>
        <v>11745.64</v>
      </c>
      <c r="K16" s="104" t="s">
        <v>90</v>
      </c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>
      <c r="A17" s="59"/>
      <c r="B17" s="100">
        <v>12.0</v>
      </c>
      <c r="C17" s="106" t="s">
        <v>42</v>
      </c>
      <c r="D17" s="107">
        <v>5458755.71</v>
      </c>
      <c r="E17" s="102">
        <v>1.0</v>
      </c>
      <c r="F17" s="66">
        <f t="shared" si="1"/>
        <v>5458755.71</v>
      </c>
      <c r="G17" s="23">
        <v>0.0</v>
      </c>
      <c r="H17" s="23">
        <v>0.0</v>
      </c>
      <c r="I17" s="103">
        <f t="shared" si="2"/>
        <v>0</v>
      </c>
      <c r="J17" s="66">
        <f t="shared" si="3"/>
        <v>5458755.71</v>
      </c>
      <c r="K17" s="104" t="s">
        <v>90</v>
      </c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>
      <c r="A18" s="59"/>
      <c r="B18" s="100">
        <v>13.0</v>
      </c>
      <c r="C18" s="106" t="s">
        <v>43</v>
      </c>
      <c r="D18" s="108">
        <v>9155379.37</v>
      </c>
      <c r="E18" s="102">
        <v>1.0</v>
      </c>
      <c r="F18" s="66">
        <f t="shared" si="1"/>
        <v>9155379.37</v>
      </c>
      <c r="G18" s="23">
        <v>0.0</v>
      </c>
      <c r="H18" s="23">
        <v>0.0</v>
      </c>
      <c r="I18" s="103">
        <f t="shared" si="2"/>
        <v>0</v>
      </c>
      <c r="J18" s="66">
        <f t="shared" si="3"/>
        <v>9155379.37</v>
      </c>
      <c r="K18" s="104" t="s">
        <v>90</v>
      </c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>
      <c r="A19" s="59"/>
      <c r="B19" s="100">
        <v>14.0</v>
      </c>
      <c r="C19" s="103" t="s">
        <v>44</v>
      </c>
      <c r="D19" s="66">
        <v>5687.28</v>
      </c>
      <c r="E19" s="102">
        <v>1.0</v>
      </c>
      <c r="F19" s="66">
        <f t="shared" si="1"/>
        <v>5687.28</v>
      </c>
      <c r="G19" s="23">
        <v>0.0</v>
      </c>
      <c r="H19" s="23">
        <v>0.0</v>
      </c>
      <c r="I19" s="103">
        <f t="shared" si="2"/>
        <v>0</v>
      </c>
      <c r="J19" s="66">
        <f t="shared" si="3"/>
        <v>5687.28</v>
      </c>
      <c r="K19" s="104" t="s">
        <v>90</v>
      </c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ht="30.75" customHeight="1">
      <c r="A20" s="59"/>
      <c r="B20" s="100">
        <v>15.0</v>
      </c>
      <c r="C20" s="106" t="s">
        <v>45</v>
      </c>
      <c r="D20" s="107">
        <v>6.192290162000003E7</v>
      </c>
      <c r="E20" s="102">
        <v>1.0</v>
      </c>
      <c r="F20" s="66">
        <f t="shared" si="1"/>
        <v>61922901.62</v>
      </c>
      <c r="G20" s="23">
        <v>2.65E7</v>
      </c>
      <c r="H20" s="23">
        <v>6.943996384E7</v>
      </c>
      <c r="I20" s="103">
        <f t="shared" si="2"/>
        <v>-42939963.84</v>
      </c>
      <c r="J20" s="66">
        <f t="shared" si="3"/>
        <v>18982937.78</v>
      </c>
      <c r="K20" s="104" t="s">
        <v>93</v>
      </c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ht="21.75" customHeight="1">
      <c r="A21" s="4"/>
      <c r="B21" s="100">
        <v>16.0</v>
      </c>
      <c r="C21" s="106" t="s">
        <v>46</v>
      </c>
      <c r="D21" s="89">
        <v>2433752.84</v>
      </c>
      <c r="E21" s="102">
        <v>1.0</v>
      </c>
      <c r="F21" s="66">
        <f t="shared" si="1"/>
        <v>2433752.84</v>
      </c>
      <c r="G21" s="23">
        <v>0.0</v>
      </c>
      <c r="H21" s="23">
        <v>518535.5</v>
      </c>
      <c r="I21" s="103">
        <f t="shared" si="2"/>
        <v>-518535.5</v>
      </c>
      <c r="J21" s="66">
        <f t="shared" si="3"/>
        <v>1915217.34</v>
      </c>
      <c r="K21" s="109" t="s">
        <v>94</v>
      </c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34.5" customHeight="1">
      <c r="A22" s="105" t="s">
        <v>95</v>
      </c>
      <c r="B22" s="100">
        <v>17.0</v>
      </c>
      <c r="C22" s="101" t="s">
        <v>47</v>
      </c>
      <c r="D22" s="107">
        <v>7159226.120000017</v>
      </c>
      <c r="E22" s="102">
        <v>1.0</v>
      </c>
      <c r="F22" s="66">
        <f t="shared" si="1"/>
        <v>7159226.12</v>
      </c>
      <c r="G22" s="23">
        <v>5.0169E7</v>
      </c>
      <c r="H22" s="23">
        <v>2.283499419E7</v>
      </c>
      <c r="I22" s="103">
        <f t="shared" si="2"/>
        <v>27334005.81</v>
      </c>
      <c r="J22" s="66">
        <f t="shared" si="3"/>
        <v>34493231.93</v>
      </c>
      <c r="K22" s="104" t="s">
        <v>96</v>
      </c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21.0" customHeight="1">
      <c r="A23" s="105"/>
      <c r="B23" s="100">
        <v>18.0</v>
      </c>
      <c r="C23" s="101" t="s">
        <v>48</v>
      </c>
      <c r="D23" s="110">
        <v>8016007.60999999</v>
      </c>
      <c r="E23" s="102">
        <v>1.0</v>
      </c>
      <c r="F23" s="66">
        <f t="shared" si="1"/>
        <v>8016007.61</v>
      </c>
      <c r="G23" s="23">
        <v>0.0</v>
      </c>
      <c r="H23" s="23">
        <v>7752988.75</v>
      </c>
      <c r="I23" s="103">
        <f t="shared" si="2"/>
        <v>-7752988.75</v>
      </c>
      <c r="J23" s="66">
        <f t="shared" si="3"/>
        <v>263018.86</v>
      </c>
      <c r="K23" s="109" t="s">
        <v>97</v>
      </c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ht="25.5" customHeight="1">
      <c r="A24" s="59"/>
      <c r="B24" s="100">
        <v>19.0</v>
      </c>
      <c r="C24" s="103" t="s">
        <v>98</v>
      </c>
      <c r="D24" s="66">
        <v>101797.4</v>
      </c>
      <c r="E24" s="102">
        <v>1.0</v>
      </c>
      <c r="F24" s="66">
        <f t="shared" si="1"/>
        <v>101797.4</v>
      </c>
      <c r="G24" s="23">
        <v>0.0</v>
      </c>
      <c r="H24" s="23">
        <v>0.0</v>
      </c>
      <c r="I24" s="103">
        <f t="shared" si="2"/>
        <v>0</v>
      </c>
      <c r="J24" s="66">
        <f t="shared" si="3"/>
        <v>101797.4</v>
      </c>
      <c r="K24" s="104" t="s">
        <v>90</v>
      </c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2.5" customHeight="1">
      <c r="A25" s="105"/>
      <c r="B25" s="100">
        <v>20.0</v>
      </c>
      <c r="C25" s="101" t="s">
        <v>99</v>
      </c>
      <c r="D25" s="111">
        <v>974473.85</v>
      </c>
      <c r="E25" s="102">
        <v>1.0</v>
      </c>
      <c r="F25" s="66">
        <f t="shared" si="1"/>
        <v>974473.85</v>
      </c>
      <c r="G25" s="23">
        <v>0.0</v>
      </c>
      <c r="H25" s="23">
        <v>0.0</v>
      </c>
      <c r="I25" s="103">
        <f t="shared" si="2"/>
        <v>0</v>
      </c>
      <c r="J25" s="66">
        <f t="shared" si="3"/>
        <v>974473.85</v>
      </c>
      <c r="K25" s="104" t="s">
        <v>100</v>
      </c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22.5" customHeight="1">
      <c r="A26" s="59"/>
      <c r="B26" s="100">
        <v>21.0</v>
      </c>
      <c r="C26" s="103" t="s">
        <v>50</v>
      </c>
      <c r="D26" s="66">
        <v>990050.45</v>
      </c>
      <c r="E26" s="102">
        <v>1.0</v>
      </c>
      <c r="F26" s="66">
        <f t="shared" si="1"/>
        <v>990050.45</v>
      </c>
      <c r="G26" s="23">
        <v>0.0</v>
      </c>
      <c r="H26" s="23">
        <v>0.0</v>
      </c>
      <c r="I26" s="103">
        <f t="shared" si="2"/>
        <v>0</v>
      </c>
      <c r="J26" s="66">
        <f t="shared" si="3"/>
        <v>990050.45</v>
      </c>
      <c r="K26" s="104" t="s">
        <v>90</v>
      </c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25.5" customHeight="1">
      <c r="A27" s="59"/>
      <c r="B27" s="100">
        <v>22.0</v>
      </c>
      <c r="C27" s="112" t="s">
        <v>101</v>
      </c>
      <c r="D27" s="81">
        <v>0.0</v>
      </c>
      <c r="E27" s="102">
        <v>1.0</v>
      </c>
      <c r="F27" s="66">
        <f t="shared" si="1"/>
        <v>0</v>
      </c>
      <c r="G27" s="23">
        <v>0.0</v>
      </c>
      <c r="H27" s="23">
        <v>0.0</v>
      </c>
      <c r="I27" s="103">
        <f t="shared" si="2"/>
        <v>0</v>
      </c>
      <c r="J27" s="66">
        <f t="shared" si="3"/>
        <v>0</v>
      </c>
      <c r="K27" s="104" t="s">
        <v>90</v>
      </c>
      <c r="L27" s="59"/>
      <c r="M27" s="4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ht="21.0" customHeight="1">
      <c r="A28" s="105"/>
      <c r="B28" s="113"/>
      <c r="C28" s="114" t="s">
        <v>102</v>
      </c>
      <c r="D28" s="115">
        <f>SUM(D6:D27)</f>
        <v>121427749.4</v>
      </c>
      <c r="E28" s="116"/>
      <c r="F28" s="117">
        <f t="shared" ref="F28:J28" si="4">SUM(F6:F27)</f>
        <v>121427749.4</v>
      </c>
      <c r="G28" s="117">
        <f t="shared" si="4"/>
        <v>76679500.7</v>
      </c>
      <c r="H28" s="117">
        <f t="shared" si="4"/>
        <v>100546494.3</v>
      </c>
      <c r="I28" s="117">
        <f t="shared" si="4"/>
        <v>-23866993.58</v>
      </c>
      <c r="J28" s="117">
        <f t="shared" si="4"/>
        <v>97560755.77</v>
      </c>
      <c r="K28" s="104" t="s">
        <v>90</v>
      </c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ht="15.75" customHeight="1">
      <c r="A29" s="59"/>
      <c r="B29" s="118"/>
      <c r="C29" s="119"/>
      <c r="D29" s="120"/>
      <c r="E29" s="121"/>
      <c r="F29" s="105"/>
      <c r="G29" s="122"/>
      <c r="H29" s="122"/>
      <c r="I29" s="122"/>
      <c r="J29" s="123"/>
      <c r="K29" s="104"/>
      <c r="L29" s="59"/>
      <c r="M29" s="124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ht="21.0" customHeight="1">
      <c r="A30" s="59"/>
      <c r="B30" s="118"/>
      <c r="C30" s="103" t="s">
        <v>54</v>
      </c>
      <c r="D30" s="125">
        <v>2525.0</v>
      </c>
      <c r="E30" s="102">
        <v>1912.41</v>
      </c>
      <c r="F30" s="83">
        <f t="shared" ref="F30:F38" si="5">D30*E30</f>
        <v>4828835.25</v>
      </c>
      <c r="G30" s="83">
        <v>0.0</v>
      </c>
      <c r="H30" s="83">
        <v>0.0</v>
      </c>
      <c r="I30" s="83">
        <f t="shared" ref="I30:I38" si="6">G30-H30</f>
        <v>0</v>
      </c>
      <c r="J30" s="66">
        <f t="shared" ref="J30:J38" si="7">F30+I30</f>
        <v>4828835.25</v>
      </c>
      <c r="K30" s="104" t="s">
        <v>103</v>
      </c>
      <c r="L30" s="4"/>
      <c r="M30" s="105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ht="21.0" customHeight="1">
      <c r="A31" s="59"/>
      <c r="B31" s="100">
        <v>23.0</v>
      </c>
      <c r="C31" s="126" t="s">
        <v>104</v>
      </c>
      <c r="D31" s="127">
        <v>2298.51</v>
      </c>
      <c r="E31" s="128">
        <v>1422.93</v>
      </c>
      <c r="F31" s="83">
        <f t="shared" si="5"/>
        <v>3270618.834</v>
      </c>
      <c r="G31" s="83">
        <f>1185.7*E31</f>
        <v>1687168.101</v>
      </c>
      <c r="H31" s="83">
        <v>0.0</v>
      </c>
      <c r="I31" s="83">
        <f t="shared" si="6"/>
        <v>1687168.101</v>
      </c>
      <c r="J31" s="66">
        <f t="shared" si="7"/>
        <v>4957786.935</v>
      </c>
      <c r="K31" s="104" t="s">
        <v>92</v>
      </c>
      <c r="L31" s="4"/>
      <c r="M31" s="105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ht="21.0" customHeight="1">
      <c r="A32" s="59"/>
      <c r="B32" s="100">
        <v>24.0</v>
      </c>
      <c r="C32" s="129" t="s">
        <v>53</v>
      </c>
      <c r="D32" s="130">
        <v>701.0</v>
      </c>
      <c r="E32" s="128">
        <f t="shared" ref="E32:E39" si="8">$E$31</f>
        <v>1422.93</v>
      </c>
      <c r="F32" s="83">
        <f t="shared" si="5"/>
        <v>997473.93</v>
      </c>
      <c r="G32" s="83">
        <v>0.0</v>
      </c>
      <c r="H32" s="83">
        <v>0.0</v>
      </c>
      <c r="I32" s="83">
        <f t="shared" si="6"/>
        <v>0</v>
      </c>
      <c r="J32" s="66">
        <f t="shared" si="7"/>
        <v>997473.93</v>
      </c>
      <c r="K32" s="104" t="s">
        <v>105</v>
      </c>
      <c r="L32" s="4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ht="23.25" customHeight="1">
      <c r="A33" s="59"/>
      <c r="B33" s="100">
        <v>26.0</v>
      </c>
      <c r="C33" s="103" t="s">
        <v>55</v>
      </c>
      <c r="D33" s="131">
        <v>0.0</v>
      </c>
      <c r="E33" s="102">
        <f t="shared" si="8"/>
        <v>1422.93</v>
      </c>
      <c r="F33" s="83">
        <f t="shared" si="5"/>
        <v>0</v>
      </c>
      <c r="G33" s="83">
        <v>0.0</v>
      </c>
      <c r="H33" s="83">
        <v>0.0</v>
      </c>
      <c r="I33" s="83">
        <f t="shared" si="6"/>
        <v>0</v>
      </c>
      <c r="J33" s="66">
        <f t="shared" si="7"/>
        <v>0</v>
      </c>
      <c r="K33" s="104" t="s">
        <v>100</v>
      </c>
      <c r="L33" s="4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ht="24.0" customHeight="1">
      <c r="A34" s="59"/>
      <c r="B34" s="100">
        <v>27.0</v>
      </c>
      <c r="C34" s="106" t="s">
        <v>106</v>
      </c>
      <c r="D34" s="132">
        <v>14345.39</v>
      </c>
      <c r="E34" s="102">
        <f t="shared" si="8"/>
        <v>1422.93</v>
      </c>
      <c r="F34" s="83">
        <f t="shared" si="5"/>
        <v>20412485.79</v>
      </c>
      <c r="G34" s="83">
        <f>9300*E34</f>
        <v>13233249</v>
      </c>
      <c r="H34" s="83">
        <v>0.0</v>
      </c>
      <c r="I34" s="83">
        <f t="shared" si="6"/>
        <v>13233249</v>
      </c>
      <c r="J34" s="66">
        <f t="shared" si="7"/>
        <v>33645734.79</v>
      </c>
      <c r="K34" s="104" t="s">
        <v>107</v>
      </c>
      <c r="L34" s="4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ht="21.0" customHeight="1">
      <c r="A35" s="59"/>
      <c r="B35" s="100">
        <v>28.0</v>
      </c>
      <c r="C35" s="106" t="s">
        <v>108</v>
      </c>
      <c r="D35" s="132">
        <v>9219.2</v>
      </c>
      <c r="E35" s="102">
        <f t="shared" si="8"/>
        <v>1422.93</v>
      </c>
      <c r="F35" s="83">
        <f t="shared" si="5"/>
        <v>13118276.26</v>
      </c>
      <c r="G35" s="83">
        <f>948*E35</f>
        <v>1348937.64</v>
      </c>
      <c r="H35" s="83">
        <f>829.74*E35</f>
        <v>1180661.938</v>
      </c>
      <c r="I35" s="83">
        <f t="shared" si="6"/>
        <v>168275.7018</v>
      </c>
      <c r="J35" s="66">
        <f t="shared" si="7"/>
        <v>13286551.96</v>
      </c>
      <c r="K35" s="104" t="s">
        <v>109</v>
      </c>
      <c r="L35" s="4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21.75" customHeight="1">
      <c r="A36" s="59"/>
      <c r="B36" s="100">
        <v>30.0</v>
      </c>
      <c r="C36" s="101" t="s">
        <v>35</v>
      </c>
      <c r="D36" s="132">
        <v>5773.65</v>
      </c>
      <c r="E36" s="102">
        <f t="shared" si="8"/>
        <v>1422.93</v>
      </c>
      <c r="F36" s="83">
        <f t="shared" si="5"/>
        <v>8215499.795</v>
      </c>
      <c r="G36" s="83">
        <v>0.0</v>
      </c>
      <c r="H36" s="83">
        <v>0.0</v>
      </c>
      <c r="I36" s="83">
        <f t="shared" si="6"/>
        <v>0</v>
      </c>
      <c r="J36" s="66">
        <f t="shared" si="7"/>
        <v>8215499.795</v>
      </c>
      <c r="K36" s="104" t="s">
        <v>100</v>
      </c>
      <c r="L36" s="4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ht="21.0" customHeight="1">
      <c r="A37" s="59"/>
      <c r="B37" s="100">
        <v>31.0</v>
      </c>
      <c r="C37" s="101" t="s">
        <v>58</v>
      </c>
      <c r="D37" s="132">
        <v>13404.87</v>
      </c>
      <c r="E37" s="102">
        <f t="shared" si="8"/>
        <v>1422.93</v>
      </c>
      <c r="F37" s="83">
        <f t="shared" si="5"/>
        <v>19074191.67</v>
      </c>
      <c r="G37" s="83">
        <v>0.0</v>
      </c>
      <c r="H37" s="83">
        <v>0.0</v>
      </c>
      <c r="I37" s="83">
        <f t="shared" si="6"/>
        <v>0</v>
      </c>
      <c r="J37" s="66">
        <f t="shared" si="7"/>
        <v>19074191.67</v>
      </c>
      <c r="K37" s="104" t="s">
        <v>100</v>
      </c>
      <c r="L37" s="4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22.5" customHeight="1">
      <c r="A38" s="59"/>
      <c r="B38" s="100">
        <v>32.0</v>
      </c>
      <c r="C38" s="133" t="s">
        <v>59</v>
      </c>
      <c r="D38" s="132">
        <v>2040.26</v>
      </c>
      <c r="E38" s="134">
        <f t="shared" si="8"/>
        <v>1422.93</v>
      </c>
      <c r="F38" s="83">
        <f t="shared" si="5"/>
        <v>2903147.162</v>
      </c>
      <c r="G38" s="83">
        <f>900*E38</f>
        <v>1280637</v>
      </c>
      <c r="H38" s="83">
        <v>0.0</v>
      </c>
      <c r="I38" s="135">
        <f t="shared" si="6"/>
        <v>1280637</v>
      </c>
      <c r="J38" s="66">
        <f t="shared" si="7"/>
        <v>4183784.162</v>
      </c>
      <c r="K38" s="104" t="s">
        <v>110</v>
      </c>
      <c r="L38" s="4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>
      <c r="A39" s="59"/>
      <c r="B39" s="136" t="s">
        <v>111</v>
      </c>
      <c r="C39" s="96"/>
      <c r="D39" s="132">
        <f>SUM(D31:D38)</f>
        <v>47782.88</v>
      </c>
      <c r="E39" s="137">
        <f t="shared" si="8"/>
        <v>1422.93</v>
      </c>
      <c r="F39" s="117">
        <f t="shared" ref="F39:J39" si="9">SUM(F31:F38)</f>
        <v>67991693.44</v>
      </c>
      <c r="G39" s="138">
        <f t="shared" si="9"/>
        <v>17549991.74</v>
      </c>
      <c r="H39" s="138">
        <f t="shared" si="9"/>
        <v>1180661.938</v>
      </c>
      <c r="I39" s="117">
        <f t="shared" si="9"/>
        <v>16369329.8</v>
      </c>
      <c r="J39" s="139">
        <f t="shared" si="9"/>
        <v>84361023.24</v>
      </c>
      <c r="K39" s="140"/>
      <c r="L39" s="4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>
      <c r="A40" s="59"/>
      <c r="B40" s="141"/>
      <c r="C40" s="141"/>
      <c r="D40" s="61"/>
      <c r="E40" s="142"/>
      <c r="F40" s="142"/>
      <c r="G40" s="142"/>
      <c r="H40" s="76"/>
      <c r="I40" s="76"/>
      <c r="J40" s="61"/>
      <c r="K40" s="63"/>
      <c r="L40" s="4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>
      <c r="A41" s="59"/>
      <c r="B41" s="141"/>
      <c r="C41" s="141"/>
      <c r="D41" s="143"/>
      <c r="E41" s="4"/>
      <c r="F41" s="144"/>
      <c r="G41" s="141"/>
      <c r="H41" s="141"/>
      <c r="I41" s="141"/>
      <c r="J41" s="142"/>
      <c r="K41" s="63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59"/>
      <c r="B42" s="141"/>
      <c r="C42" s="141"/>
      <c r="D42" s="59"/>
      <c r="E42" s="141"/>
      <c r="F42" s="141"/>
      <c r="G42" s="141"/>
      <c r="H42" s="59"/>
      <c r="I42" s="59"/>
      <c r="J42" s="59"/>
      <c r="K42" s="63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59"/>
      <c r="B43" s="145" t="s">
        <v>112</v>
      </c>
      <c r="C43" s="95"/>
      <c r="D43" s="95"/>
      <c r="E43" s="95"/>
      <c r="F43" s="95"/>
      <c r="G43" s="95"/>
      <c r="H43" s="95"/>
      <c r="I43" s="95"/>
      <c r="J43" s="96"/>
      <c r="K43" s="146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21.0" customHeight="1">
      <c r="A44" s="59"/>
      <c r="B44" s="147"/>
      <c r="C44" s="148" t="s">
        <v>113</v>
      </c>
      <c r="D44" s="149" t="s">
        <v>114</v>
      </c>
      <c r="E44" s="149" t="s">
        <v>83</v>
      </c>
      <c r="F44" s="149" t="s">
        <v>84</v>
      </c>
      <c r="G44" s="149" t="s">
        <v>85</v>
      </c>
      <c r="H44" s="149" t="s">
        <v>86</v>
      </c>
      <c r="I44" s="149" t="s">
        <v>87</v>
      </c>
      <c r="J44" s="149" t="s">
        <v>88</v>
      </c>
      <c r="K44" s="150" t="s">
        <v>115</v>
      </c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59"/>
      <c r="B45" s="151">
        <v>29.0</v>
      </c>
      <c r="C45" s="152" t="s">
        <v>116</v>
      </c>
      <c r="D45" s="153">
        <v>7359160.54</v>
      </c>
      <c r="E45" s="154">
        <v>1.0</v>
      </c>
      <c r="F45" s="155">
        <f t="shared" ref="F45:F49" si="10">D45*E45</f>
        <v>7359160.54</v>
      </c>
      <c r="G45" s="155">
        <v>0.0</v>
      </c>
      <c r="H45" s="156">
        <v>0.0</v>
      </c>
      <c r="I45" s="155">
        <f t="shared" ref="I45:I49" si="11">G45-H45</f>
        <v>0</v>
      </c>
      <c r="J45" s="155">
        <f t="shared" ref="J45:J49" si="12">F45+G45-H45</f>
        <v>7359160.54</v>
      </c>
      <c r="K45" s="157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59"/>
      <c r="B46" s="151">
        <f>B45+1</f>
        <v>30</v>
      </c>
      <c r="C46" s="152" t="s">
        <v>117</v>
      </c>
      <c r="D46" s="158">
        <f>253626188.2-250000000</f>
        <v>3626188.2</v>
      </c>
      <c r="E46" s="154">
        <v>1.0</v>
      </c>
      <c r="F46" s="155">
        <f t="shared" si="10"/>
        <v>3626188.2</v>
      </c>
      <c r="G46" s="155">
        <v>0.0</v>
      </c>
      <c r="H46" s="156">
        <v>0.0</v>
      </c>
      <c r="I46" s="155">
        <f t="shared" si="11"/>
        <v>0</v>
      </c>
      <c r="J46" s="155">
        <f t="shared" si="12"/>
        <v>3626188.2</v>
      </c>
      <c r="K46" s="157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59"/>
      <c r="B47" s="151">
        <v>32.0</v>
      </c>
      <c r="C47" s="152" t="s">
        <v>118</v>
      </c>
      <c r="D47" s="159">
        <v>7465231.42</v>
      </c>
      <c r="E47" s="154">
        <v>1.0</v>
      </c>
      <c r="F47" s="155">
        <f t="shared" si="10"/>
        <v>7465231.42</v>
      </c>
      <c r="G47" s="155">
        <v>0.0</v>
      </c>
      <c r="H47" s="156">
        <v>0.0</v>
      </c>
      <c r="I47" s="155">
        <f t="shared" si="11"/>
        <v>0</v>
      </c>
      <c r="J47" s="155">
        <f t="shared" si="12"/>
        <v>7465231.42</v>
      </c>
      <c r="K47" s="157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59"/>
      <c r="B48" s="151">
        <v>33.0</v>
      </c>
      <c r="C48" s="152" t="s">
        <v>117</v>
      </c>
      <c r="D48" s="160">
        <v>6.87448651E7</v>
      </c>
      <c r="E48" s="154">
        <v>1.0</v>
      </c>
      <c r="F48" s="155">
        <f t="shared" si="10"/>
        <v>68744865.1</v>
      </c>
      <c r="G48" s="155">
        <v>0.0</v>
      </c>
      <c r="H48" s="156">
        <v>0.0</v>
      </c>
      <c r="I48" s="155">
        <f t="shared" si="11"/>
        <v>0</v>
      </c>
      <c r="J48" s="155">
        <f t="shared" si="12"/>
        <v>68744865.1</v>
      </c>
      <c r="K48" s="161" t="s">
        <v>119</v>
      </c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59"/>
      <c r="B49" s="151">
        <f>B48+1</f>
        <v>34</v>
      </c>
      <c r="C49" s="152" t="s">
        <v>116</v>
      </c>
      <c r="D49" s="160">
        <v>3.15336669E7</v>
      </c>
      <c r="E49" s="154">
        <v>1.0</v>
      </c>
      <c r="F49" s="155">
        <f t="shared" si="10"/>
        <v>31533666.9</v>
      </c>
      <c r="G49" s="155">
        <v>0.0</v>
      </c>
      <c r="H49" s="156">
        <v>0.0</v>
      </c>
      <c r="I49" s="155">
        <f t="shared" si="11"/>
        <v>0</v>
      </c>
      <c r="J49" s="155">
        <f t="shared" si="12"/>
        <v>31533666.9</v>
      </c>
      <c r="K49" s="161" t="s">
        <v>119</v>
      </c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59"/>
      <c r="B50" s="162" t="s">
        <v>120</v>
      </c>
      <c r="C50" s="163"/>
      <c r="D50" s="163"/>
      <c r="E50" s="164"/>
      <c r="F50" s="165">
        <f t="shared" ref="F50:J50" si="13">SUM(F45:F49)</f>
        <v>118729112.2</v>
      </c>
      <c r="G50" s="165">
        <f t="shared" si="13"/>
        <v>0</v>
      </c>
      <c r="H50" s="165">
        <f t="shared" si="13"/>
        <v>0</v>
      </c>
      <c r="I50" s="165">
        <f t="shared" si="13"/>
        <v>0</v>
      </c>
      <c r="J50" s="165">
        <f t="shared" si="13"/>
        <v>118729112.2</v>
      </c>
      <c r="K50" s="157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59"/>
      <c r="B51" s="59"/>
      <c r="C51" s="59"/>
      <c r="D51" s="59"/>
      <c r="E51" s="4"/>
      <c r="F51" s="59"/>
      <c r="G51" s="59"/>
      <c r="H51" s="59"/>
      <c r="I51" s="59"/>
      <c r="J51" s="4"/>
      <c r="K51" s="4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4"/>
      <c r="J52" s="59"/>
      <c r="K52" s="63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59"/>
      <c r="B53" s="94" t="s">
        <v>121</v>
      </c>
      <c r="C53" s="95"/>
      <c r="D53" s="95"/>
      <c r="E53" s="95"/>
      <c r="F53" s="95"/>
      <c r="G53" s="95"/>
      <c r="H53" s="95"/>
      <c r="I53" s="95"/>
      <c r="J53" s="96"/>
      <c r="K53" s="146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22.5" customHeight="1">
      <c r="A54" s="59"/>
      <c r="B54" s="166"/>
      <c r="C54" s="167" t="s">
        <v>113</v>
      </c>
      <c r="D54" s="99" t="s">
        <v>122</v>
      </c>
      <c r="E54" s="168" t="s">
        <v>123</v>
      </c>
      <c r="F54" s="168" t="s">
        <v>86</v>
      </c>
      <c r="G54" s="168" t="s">
        <v>87</v>
      </c>
      <c r="H54" s="168" t="s">
        <v>88</v>
      </c>
      <c r="I54" s="169" t="s">
        <v>115</v>
      </c>
      <c r="J54" s="168" t="s">
        <v>124</v>
      </c>
      <c r="K54" s="168" t="s">
        <v>125</v>
      </c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>
      <c r="A55" s="59"/>
      <c r="B55" s="151"/>
      <c r="C55" s="152" t="s">
        <v>126</v>
      </c>
      <c r="D55" s="170">
        <v>687.29</v>
      </c>
      <c r="E55" s="171">
        <v>2.39</v>
      </c>
      <c r="F55" s="172">
        <v>0.0</v>
      </c>
      <c r="G55" s="172">
        <f t="shared" ref="G55:G59" si="14">E55-F55</f>
        <v>2.39</v>
      </c>
      <c r="H55" s="172">
        <f t="shared" ref="H55:H59" si="15">D55+G55</f>
        <v>689.68</v>
      </c>
      <c r="I55" s="173"/>
      <c r="J55" s="174" t="s">
        <v>127</v>
      </c>
      <c r="K55" s="175" t="s">
        <v>127</v>
      </c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>
      <c r="A56" s="59"/>
      <c r="B56" s="151"/>
      <c r="C56" s="152" t="s">
        <v>128</v>
      </c>
      <c r="D56" s="176">
        <v>671679.46</v>
      </c>
      <c r="E56" s="171">
        <v>88019.29</v>
      </c>
      <c r="F56" s="172">
        <v>0.0</v>
      </c>
      <c r="G56" s="172">
        <f t="shared" si="14"/>
        <v>88019.29</v>
      </c>
      <c r="H56" s="172">
        <f t="shared" si="15"/>
        <v>759698.75</v>
      </c>
      <c r="I56" s="173"/>
      <c r="J56" s="174" t="s">
        <v>127</v>
      </c>
      <c r="K56" s="175" t="s">
        <v>127</v>
      </c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>
      <c r="A57" s="59"/>
      <c r="B57" s="177"/>
      <c r="C57" s="178" t="s">
        <v>129</v>
      </c>
      <c r="D57" s="170">
        <v>40065.96</v>
      </c>
      <c r="E57" s="171">
        <v>567.38</v>
      </c>
      <c r="F57" s="172">
        <v>0.0</v>
      </c>
      <c r="G57" s="172">
        <f t="shared" si="14"/>
        <v>567.38</v>
      </c>
      <c r="H57" s="172">
        <f t="shared" si="15"/>
        <v>40633.34</v>
      </c>
      <c r="I57" s="173"/>
      <c r="J57" s="174" t="s">
        <v>127</v>
      </c>
      <c r="K57" s="175" t="s">
        <v>127</v>
      </c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>
      <c r="A58" s="59"/>
      <c r="B58" s="162"/>
      <c r="C58" s="178" t="s">
        <v>129</v>
      </c>
      <c r="D58" s="170">
        <v>111975.35</v>
      </c>
      <c r="E58" s="171">
        <v>593.71</v>
      </c>
      <c r="F58" s="172">
        <v>0.0</v>
      </c>
      <c r="G58" s="172">
        <f t="shared" si="14"/>
        <v>593.71</v>
      </c>
      <c r="H58" s="172">
        <f t="shared" si="15"/>
        <v>112569.06</v>
      </c>
      <c r="I58" s="173"/>
      <c r="J58" s="174" t="s">
        <v>127</v>
      </c>
      <c r="K58" s="175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>
      <c r="A59" s="59"/>
      <c r="B59" s="162"/>
      <c r="C59" s="179" t="s">
        <v>130</v>
      </c>
      <c r="D59" s="180">
        <v>528300.0</v>
      </c>
      <c r="E59" s="181">
        <v>0.0</v>
      </c>
      <c r="F59" s="172">
        <v>0.0</v>
      </c>
      <c r="G59" s="172">
        <f t="shared" si="14"/>
        <v>0</v>
      </c>
      <c r="H59" s="172">
        <f t="shared" si="15"/>
        <v>528300</v>
      </c>
      <c r="I59" s="173"/>
      <c r="J59" s="182"/>
      <c r="K59" s="183">
        <v>46063.0</v>
      </c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>
      <c r="A60" s="59"/>
      <c r="B60" s="162" t="s">
        <v>131</v>
      </c>
      <c r="C60" s="163"/>
      <c r="D60" s="184">
        <f t="shared" ref="D60:H60" si="16">SUM(D55:D59)</f>
        <v>1352708.06</v>
      </c>
      <c r="E60" s="184">
        <f t="shared" si="16"/>
        <v>89182.77</v>
      </c>
      <c r="F60" s="184">
        <f t="shared" si="16"/>
        <v>0</v>
      </c>
      <c r="G60" s="184">
        <f t="shared" si="16"/>
        <v>89182.77</v>
      </c>
      <c r="H60" s="184">
        <f t="shared" si="16"/>
        <v>1441890.83</v>
      </c>
      <c r="I60" s="185"/>
      <c r="J60" s="186">
        <f>SUM(J55:J59)</f>
        <v>0</v>
      </c>
      <c r="K60" s="177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>
      <c r="A61" s="59"/>
      <c r="B61" s="59"/>
      <c r="C61" s="59"/>
      <c r="D61" s="59"/>
      <c r="E61" s="59"/>
      <c r="F61" s="59"/>
      <c r="G61" s="187"/>
      <c r="H61" s="59"/>
      <c r="I61" s="59"/>
      <c r="J61" s="59"/>
      <c r="K61" s="63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9.0" customHeight="1">
      <c r="A62" s="59"/>
      <c r="B62" s="59"/>
      <c r="C62" s="188"/>
      <c r="D62" s="188"/>
      <c r="E62" s="188"/>
      <c r="F62" s="188"/>
      <c r="G62" s="59"/>
      <c r="H62" s="4"/>
      <c r="I62" s="187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20.25" customHeight="1">
      <c r="A63" s="59"/>
      <c r="B63" s="59"/>
      <c r="C63" s="99" t="s">
        <v>132</v>
      </c>
      <c r="D63" s="189" t="s">
        <v>133</v>
      </c>
      <c r="E63" s="189" t="s">
        <v>134</v>
      </c>
      <c r="F63" s="190" t="s">
        <v>135</v>
      </c>
      <c r="G63" s="191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>
      <c r="A64" s="59"/>
      <c r="B64" s="59"/>
      <c r="C64" s="192" t="s">
        <v>136</v>
      </c>
      <c r="D64" s="193">
        <f>J28</f>
        <v>97560755.77</v>
      </c>
      <c r="E64" s="194">
        <v>1.0</v>
      </c>
      <c r="F64" s="195">
        <f t="shared" ref="F64:F66" si="17">D64*E64</f>
        <v>97560755.77</v>
      </c>
      <c r="G64" s="196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>
      <c r="A65" s="59"/>
      <c r="B65" s="59"/>
      <c r="C65" s="192" t="s">
        <v>137</v>
      </c>
      <c r="D65" s="197">
        <f>J39/E39</f>
        <v>59286.84</v>
      </c>
      <c r="E65" s="198">
        <f>$E$31</f>
        <v>1422.93</v>
      </c>
      <c r="F65" s="199">
        <f t="shared" si="17"/>
        <v>84361023.24</v>
      </c>
      <c r="G65" s="196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>
      <c r="A66" s="59"/>
      <c r="B66" s="59"/>
      <c r="C66" s="192" t="s">
        <v>138</v>
      </c>
      <c r="D66" s="200">
        <f>J30/E30</f>
        <v>2525</v>
      </c>
      <c r="E66" s="201">
        <f>E30</f>
        <v>1912.41</v>
      </c>
      <c r="F66" s="199">
        <f t="shared" si="17"/>
        <v>4828835.25</v>
      </c>
      <c r="G66" s="202"/>
      <c r="I66" s="4"/>
      <c r="J66" s="4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>
      <c r="A67" s="59"/>
      <c r="B67" s="59"/>
      <c r="C67" s="203" t="s">
        <v>139</v>
      </c>
      <c r="D67" s="163"/>
      <c r="E67" s="163"/>
      <c r="F67" s="204">
        <f>SUM(F64:F66)</f>
        <v>186750614.3</v>
      </c>
      <c r="G67" s="202"/>
      <c r="I67" s="4"/>
      <c r="J67" s="4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>
      <c r="A68" s="59"/>
      <c r="B68" s="59"/>
      <c r="C68" s="59"/>
      <c r="D68" s="59"/>
      <c r="E68" s="59"/>
      <c r="G68" s="76"/>
      <c r="H68" s="187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>
      <c r="A69" s="59"/>
      <c r="B69" s="59"/>
      <c r="C69" s="59"/>
      <c r="D69" s="59"/>
      <c r="E69" s="59"/>
      <c r="F69" s="59"/>
      <c r="G69" s="4"/>
      <c r="H69" s="187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>
      <c r="A70" s="59"/>
      <c r="B70" s="59"/>
      <c r="C70" s="59"/>
      <c r="D70" s="59"/>
      <c r="E70" s="59"/>
      <c r="F70" s="59"/>
      <c r="G70" s="4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>
      <c r="A71" s="59"/>
      <c r="B71" s="59"/>
      <c r="C71" s="59"/>
      <c r="D71" s="59"/>
      <c r="E71" s="59"/>
      <c r="F71" s="59"/>
      <c r="G71" s="4"/>
      <c r="H71" s="76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11.25"/>
    <col customWidth="1" min="10" max="10" width="29.88"/>
    <col customWidth="1" min="11" max="11" width="14.13"/>
    <col customWidth="1" min="13" max="13" width="13.5"/>
  </cols>
  <sheetData>
    <row r="1" ht="15.75" customHeight="1">
      <c r="A1" s="1"/>
      <c r="B1" s="70"/>
      <c r="C1" s="70"/>
      <c r="D1" s="70"/>
      <c r="E1" s="1"/>
      <c r="F1" s="1"/>
      <c r="G1" s="205"/>
      <c r="H1" s="205"/>
      <c r="I1" s="205"/>
      <c r="J1" s="20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/>
      <c r="E2" s="1"/>
      <c r="F2" s="1"/>
      <c r="G2" s="206" t="s">
        <v>140</v>
      </c>
      <c r="H2" s="95"/>
      <c r="I2" s="95"/>
      <c r="J2" s="9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1"/>
      <c r="B3" s="207" t="s">
        <v>141</v>
      </c>
      <c r="C3" s="208" t="s">
        <v>142</v>
      </c>
      <c r="D3" s="209" t="s">
        <v>143</v>
      </c>
      <c r="E3" s="1"/>
      <c r="F3" s="1"/>
      <c r="G3" s="210" t="s">
        <v>144</v>
      </c>
      <c r="H3" s="209" t="s">
        <v>142</v>
      </c>
      <c r="I3" s="210" t="s">
        <v>145</v>
      </c>
      <c r="J3" s="210" t="s">
        <v>146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1"/>
      <c r="B4" s="211" t="s">
        <v>73</v>
      </c>
      <c r="C4" s="212">
        <v>4.1013886E7</v>
      </c>
      <c r="D4" s="213">
        <f t="shared" ref="D4:D6" si="1">C4/$C$7</f>
        <v>0.927297234</v>
      </c>
      <c r="E4" s="1"/>
      <c r="F4" s="1"/>
      <c r="G4" s="205" t="s">
        <v>147</v>
      </c>
      <c r="H4" s="214">
        <f>'Cash Report'!F28</f>
        <v>121427749.4</v>
      </c>
      <c r="I4" s="215">
        <v>1.0</v>
      </c>
      <c r="J4" s="216">
        <f t="shared" ref="J4:J6" si="2">H4*I4</f>
        <v>121427749.4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1"/>
      <c r="B5" s="211" t="s">
        <v>60</v>
      </c>
      <c r="C5" s="212">
        <v>1517937.6400000001</v>
      </c>
      <c r="D5" s="213">
        <f t="shared" si="1"/>
        <v>0.03431958081</v>
      </c>
      <c r="E5" s="1"/>
      <c r="F5" s="1"/>
      <c r="G5" s="205" t="s">
        <v>148</v>
      </c>
      <c r="H5" s="217">
        <f>'Cash Report'!D39</f>
        <v>47782.88</v>
      </c>
      <c r="I5" s="218">
        <f>'Cash Report'!$E$31</f>
        <v>1422.93</v>
      </c>
      <c r="J5" s="216">
        <f t="shared" si="2"/>
        <v>67991693.44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1"/>
      <c r="B6" s="211" t="s">
        <v>67</v>
      </c>
      <c r="C6" s="212">
        <v>1697668.801</v>
      </c>
      <c r="D6" s="213">
        <f t="shared" si="1"/>
        <v>0.03838318523</v>
      </c>
      <c r="E6" s="1"/>
      <c r="F6" s="1"/>
      <c r="G6" s="205" t="s">
        <v>148</v>
      </c>
      <c r="H6" s="125">
        <v>2525.0</v>
      </c>
      <c r="I6" s="219">
        <v>1912.41</v>
      </c>
      <c r="J6" s="216">
        <f t="shared" si="2"/>
        <v>4828835.25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"/>
      <c r="B7" s="220" t="s">
        <v>149</v>
      </c>
      <c r="C7" s="221">
        <f>SUM(C4:C6)</f>
        <v>44229492.44</v>
      </c>
      <c r="D7" s="222">
        <f>C7/$C$7*100</f>
        <v>100</v>
      </c>
      <c r="E7" s="1"/>
      <c r="F7" s="1"/>
      <c r="G7" s="223"/>
      <c r="H7" s="216"/>
      <c r="I7" s="205"/>
      <c r="J7" s="22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1"/>
      <c r="E8" s="1"/>
      <c r="F8" s="1"/>
      <c r="G8" s="223" t="s">
        <v>150</v>
      </c>
      <c r="H8" s="216"/>
      <c r="I8" s="205"/>
      <c r="J8" s="222">
        <f>J4+J5+J6</f>
        <v>194248278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1"/>
      <c r="E9" s="1"/>
      <c r="F9" s="1"/>
      <c r="G9" s="224"/>
      <c r="H9" s="225"/>
      <c r="I9" s="224"/>
      <c r="J9" s="22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"/>
      <c r="B10" s="226" t="s">
        <v>27</v>
      </c>
      <c r="C10" s="210" t="s">
        <v>142</v>
      </c>
      <c r="D10" s="209" t="s">
        <v>143</v>
      </c>
      <c r="E10" s="1"/>
      <c r="F10" s="1"/>
      <c r="G10" s="227" t="s">
        <v>151</v>
      </c>
      <c r="H10" s="209" t="s">
        <v>142</v>
      </c>
      <c r="I10" s="209" t="s">
        <v>143</v>
      </c>
      <c r="J10" s="20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1"/>
      <c r="B11" s="211" t="s">
        <v>31</v>
      </c>
      <c r="C11" s="228">
        <v>1.118811627E7</v>
      </c>
      <c r="D11" s="216">
        <f t="shared" ref="D11:D19" si="3">C11/C$20*100</f>
        <v>21.62909599</v>
      </c>
      <c r="E11" s="1"/>
      <c r="F11" s="1"/>
      <c r="G11" s="229" t="s">
        <v>73</v>
      </c>
      <c r="H11" s="216">
        <v>4.1013886E7</v>
      </c>
      <c r="I11" s="213">
        <f t="shared" ref="I11:I13" si="4">H11/$C$7</f>
        <v>0.927297234</v>
      </c>
      <c r="J11" s="23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1"/>
      <c r="B12" s="211" t="s">
        <v>16</v>
      </c>
      <c r="C12" s="231">
        <v>310013.7591</v>
      </c>
      <c r="D12" s="216">
        <f t="shared" si="3"/>
        <v>0.5993249615</v>
      </c>
      <c r="E12" s="1"/>
      <c r="F12" s="1"/>
      <c r="G12" s="229" t="s">
        <v>60</v>
      </c>
      <c r="H12" s="216">
        <v>1517937.6400000001</v>
      </c>
      <c r="I12" s="213">
        <f t="shared" si="4"/>
        <v>0.03431958081</v>
      </c>
      <c r="J12" s="23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1"/>
      <c r="B13" s="211" t="s">
        <v>11</v>
      </c>
      <c r="C13" s="232">
        <v>820011.6791000001</v>
      </c>
      <c r="D13" s="216">
        <f t="shared" si="3"/>
        <v>1.585263407</v>
      </c>
      <c r="E13" s="1"/>
      <c r="F13" s="1"/>
      <c r="G13" s="229" t="s">
        <v>67</v>
      </c>
      <c r="H13" s="212">
        <v>1697668.801</v>
      </c>
      <c r="I13" s="213">
        <f t="shared" si="4"/>
        <v>0.03838318523</v>
      </c>
      <c r="J13" s="23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"/>
      <c r="B14" s="224" t="s">
        <v>21</v>
      </c>
      <c r="C14" s="233">
        <v>1.4752935E7</v>
      </c>
      <c r="D14" s="216">
        <f t="shared" si="3"/>
        <v>28.52067672</v>
      </c>
      <c r="E14" s="1"/>
      <c r="F14" s="1"/>
      <c r="G14" s="234"/>
      <c r="H14" s="235">
        <f>SUM(H10:H13)</f>
        <v>44229492.44</v>
      </c>
      <c r="I14" s="222">
        <f>H14/$H$14*100</f>
        <v>100</v>
      </c>
      <c r="J14" s="236">
        <f>H14</f>
        <v>44229492.44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1"/>
      <c r="B15" s="224" t="s">
        <v>25</v>
      </c>
      <c r="C15" s="233">
        <v>3876666.67</v>
      </c>
      <c r="D15" s="216">
        <f t="shared" si="3"/>
        <v>7.494451567</v>
      </c>
      <c r="E15" s="1"/>
      <c r="F15" s="1"/>
      <c r="G15" s="237" t="s">
        <v>152</v>
      </c>
      <c r="H15" s="216"/>
      <c r="I15" s="205"/>
      <c r="J15" s="238">
        <f>SUM(J8:J14)</f>
        <v>238477770.5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1"/>
      <c r="B16" s="224" t="s">
        <v>20</v>
      </c>
      <c r="C16" s="233">
        <v>770000.0</v>
      </c>
      <c r="D16" s="216">
        <f t="shared" si="3"/>
        <v>1.488579803</v>
      </c>
      <c r="E16" s="1"/>
      <c r="F16" s="1"/>
      <c r="G16" s="223"/>
      <c r="H16" s="216"/>
      <c r="I16" s="205"/>
      <c r="J16" s="238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224" t="s">
        <v>26</v>
      </c>
      <c r="C17" s="233">
        <v>1.943971009E7</v>
      </c>
      <c r="D17" s="216">
        <f t="shared" si="3"/>
        <v>37.58124651</v>
      </c>
      <c r="E17" s="1"/>
      <c r="F17" s="1"/>
      <c r="G17" s="223" t="s">
        <v>27</v>
      </c>
      <c r="H17" s="239"/>
      <c r="I17" s="209" t="s">
        <v>143</v>
      </c>
      <c r="J17" s="20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224" t="s">
        <v>10</v>
      </c>
      <c r="C18" s="233">
        <v>569172.0</v>
      </c>
      <c r="D18" s="216">
        <f t="shared" si="3"/>
        <v>1.100334992</v>
      </c>
      <c r="E18" s="1"/>
      <c r="F18" s="1"/>
      <c r="G18" s="240" t="s">
        <v>31</v>
      </c>
      <c r="H18" s="216">
        <v>1.118811627E7</v>
      </c>
      <c r="I18" s="213">
        <f t="shared" ref="I18:I26" si="5">H18/H$27*100</f>
        <v>21.62909599</v>
      </c>
      <c r="J18" s="20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224" t="s">
        <v>40</v>
      </c>
      <c r="C19" s="233">
        <v>530.75</v>
      </c>
      <c r="D19" s="216">
        <f t="shared" si="3"/>
        <v>0.001026056793</v>
      </c>
      <c r="E19" s="1"/>
      <c r="F19" s="1"/>
      <c r="G19" s="241" t="s">
        <v>16</v>
      </c>
      <c r="H19" s="242">
        <v>310013.7591</v>
      </c>
      <c r="I19" s="213">
        <f t="shared" si="5"/>
        <v>0.5993249615</v>
      </c>
      <c r="J19" s="205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205" t="s">
        <v>153</v>
      </c>
      <c r="C20" s="243">
        <f t="shared" ref="C20:D20" si="6">SUM(C11:C19)</f>
        <v>51727156.22</v>
      </c>
      <c r="D20" s="222">
        <f t="shared" si="6"/>
        <v>100</v>
      </c>
      <c r="E20" s="1"/>
      <c r="F20" s="1"/>
      <c r="G20" s="224" t="s">
        <v>11</v>
      </c>
      <c r="H20" s="244">
        <v>820011.6791000001</v>
      </c>
      <c r="I20" s="213">
        <f t="shared" si="5"/>
        <v>1.585263407</v>
      </c>
      <c r="J20" s="205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245" t="s">
        <v>154</v>
      </c>
      <c r="C21" s="246">
        <f>C7-C20</f>
        <v>-7497663.777</v>
      </c>
      <c r="D21" s="205"/>
      <c r="E21" s="1"/>
      <c r="F21" s="1"/>
      <c r="G21" s="224" t="s">
        <v>21</v>
      </c>
      <c r="H21" s="232">
        <v>1.4752935E7</v>
      </c>
      <c r="I21" s="213">
        <f t="shared" si="5"/>
        <v>28.52067672</v>
      </c>
      <c r="J21" s="205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70"/>
      <c r="C22" s="70"/>
      <c r="D22" s="70"/>
      <c r="E22" s="1"/>
      <c r="F22" s="1"/>
      <c r="G22" s="224" t="s">
        <v>25</v>
      </c>
      <c r="H22" s="233">
        <v>3876666.67</v>
      </c>
      <c r="I22" s="213">
        <f t="shared" si="5"/>
        <v>7.494451567</v>
      </c>
      <c r="J22" s="20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E23" s="1"/>
      <c r="F23" s="1"/>
      <c r="G23" s="224" t="s">
        <v>20</v>
      </c>
      <c r="H23" s="233">
        <v>770000.0</v>
      </c>
      <c r="I23" s="213">
        <f t="shared" si="5"/>
        <v>1.488579803</v>
      </c>
      <c r="J23" s="20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E24" s="1"/>
      <c r="F24" s="1"/>
      <c r="G24" s="224" t="s">
        <v>26</v>
      </c>
      <c r="H24" s="233">
        <v>1.943971009E7</v>
      </c>
      <c r="I24" s="213">
        <f t="shared" si="5"/>
        <v>37.58124651</v>
      </c>
      <c r="J24" s="20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E25" s="1"/>
      <c r="F25" s="1"/>
      <c r="G25" s="224" t="s">
        <v>10</v>
      </c>
      <c r="H25" s="233">
        <v>569172.0</v>
      </c>
      <c r="I25" s="213">
        <f t="shared" si="5"/>
        <v>1.100334992</v>
      </c>
      <c r="J25" s="205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E26" s="1"/>
      <c r="F26" s="1"/>
      <c r="G26" s="224" t="s">
        <v>40</v>
      </c>
      <c r="H26" s="233">
        <v>530.75</v>
      </c>
      <c r="I26" s="213">
        <f t="shared" si="5"/>
        <v>0.001026056793</v>
      </c>
      <c r="J26" s="20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E27" s="1"/>
      <c r="F27" s="1"/>
      <c r="G27" s="205"/>
      <c r="H27" s="222">
        <f t="shared" ref="H27:I27" si="7">SUM(H18:H26)</f>
        <v>51727156.22</v>
      </c>
      <c r="I27" s="238">
        <f t="shared" si="7"/>
        <v>100</v>
      </c>
      <c r="J27" s="238">
        <f>H27</f>
        <v>51727156.22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E28" s="1"/>
      <c r="F28" s="1"/>
      <c r="G28" s="223" t="s">
        <v>155</v>
      </c>
      <c r="H28" s="222"/>
      <c r="I28" s="205"/>
      <c r="J28" s="238">
        <f>J15-J27</f>
        <v>186750614.3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E29" s="1"/>
      <c r="F29" s="1"/>
      <c r="G29" s="205"/>
      <c r="H29" s="222"/>
      <c r="I29" s="205"/>
      <c r="J29" s="23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E30" s="1"/>
      <c r="F30" s="1"/>
      <c r="G30" s="247" t="s">
        <v>156</v>
      </c>
      <c r="H30" s="248"/>
      <c r="I30" s="249"/>
      <c r="J30" s="238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E31" s="1"/>
      <c r="F31" s="1"/>
      <c r="G31" s="250" t="s">
        <v>157</v>
      </c>
      <c r="H31" s="251">
        <v>768.9400000000005</v>
      </c>
      <c r="I31" s="252">
        <f>'Cash Report'!$E$31</f>
        <v>1422.93</v>
      </c>
      <c r="J31" s="253">
        <f>H31*I31</f>
        <v>1094147.794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E32" s="1"/>
      <c r="F32" s="1"/>
      <c r="G32" s="254"/>
      <c r="H32" s="255"/>
      <c r="I32" s="256"/>
      <c r="J32" s="2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E33" s="1"/>
      <c r="F33" s="1"/>
      <c r="G33" s="258" t="s">
        <v>158</v>
      </c>
      <c r="H33" s="251">
        <f>SUM(H31)</f>
        <v>768.94</v>
      </c>
      <c r="I33" s="252">
        <f>'Cash Report'!$E$31</f>
        <v>1422.93</v>
      </c>
      <c r="J33" s="238">
        <f>H33*I33</f>
        <v>1094147.794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E34" s="1"/>
      <c r="F34" s="1"/>
      <c r="G34" s="70"/>
      <c r="H34" s="70"/>
      <c r="I34" s="70"/>
      <c r="J34" s="7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E35" s="1"/>
      <c r="F35" s="1"/>
      <c r="G35" s="70"/>
      <c r="H35" s="70"/>
      <c r="I35" s="70"/>
      <c r="J35" s="7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E36" s="1"/>
      <c r="F36" s="1"/>
      <c r="G36" s="70"/>
      <c r="H36" s="70"/>
      <c r="I36" s="70"/>
      <c r="J36" s="7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E37" s="1"/>
      <c r="F37" s="1"/>
      <c r="G37" s="259" t="s">
        <v>159</v>
      </c>
      <c r="H37" s="95"/>
      <c r="I37" s="95"/>
      <c r="J37" s="9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E38" s="1"/>
      <c r="F38" s="1"/>
      <c r="G38" s="260" t="s">
        <v>160</v>
      </c>
      <c r="H38" s="260" t="s">
        <v>161</v>
      </c>
      <c r="I38" s="259" t="s">
        <v>162</v>
      </c>
      <c r="J38" s="9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205" t="s">
        <v>163</v>
      </c>
      <c r="H39" s="261">
        <v>3945183.02</v>
      </c>
      <c r="I39" s="262" t="s">
        <v>164</v>
      </c>
      <c r="J39" s="96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3.5" customHeight="1">
      <c r="A40" s="1"/>
      <c r="B40" s="1"/>
      <c r="C40" s="1"/>
      <c r="D40" s="1"/>
      <c r="E40" s="1"/>
      <c r="F40" s="1"/>
      <c r="G40" s="205" t="s">
        <v>165</v>
      </c>
      <c r="H40" s="263">
        <v>500000.0</v>
      </c>
      <c r="I40" s="262" t="s">
        <v>166</v>
      </c>
      <c r="J40" s="96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205" t="s">
        <v>167</v>
      </c>
      <c r="H41" s="261">
        <v>1866241.2</v>
      </c>
      <c r="I41" s="262" t="s">
        <v>168</v>
      </c>
      <c r="J41" s="96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205" t="s">
        <v>169</v>
      </c>
      <c r="H42" s="261">
        <v>580000.0</v>
      </c>
      <c r="I42" s="262" t="s">
        <v>170</v>
      </c>
      <c r="J42" s="96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205" t="s">
        <v>171</v>
      </c>
      <c r="H43" s="261">
        <v>296692.05</v>
      </c>
      <c r="I43" s="262" t="s">
        <v>172</v>
      </c>
      <c r="J43" s="9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264" t="s">
        <v>173</v>
      </c>
      <c r="H44" s="261">
        <v>4000000.0</v>
      </c>
      <c r="I44" s="262" t="s">
        <v>174</v>
      </c>
      <c r="J44" s="9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223" t="s">
        <v>4</v>
      </c>
      <c r="H45" s="243">
        <f>SUM(H39:H44)</f>
        <v>11188116.27</v>
      </c>
      <c r="I45" s="265"/>
      <c r="J45" s="9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70"/>
      <c r="C76" s="70"/>
      <c r="D76" s="70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70"/>
      <c r="B77" s="70"/>
      <c r="C77" s="70"/>
      <c r="D77" s="70"/>
      <c r="E77" s="70"/>
      <c r="F77" s="70"/>
      <c r="G77" s="1"/>
      <c r="H77" s="1"/>
      <c r="I77" s="1"/>
      <c r="J77" s="1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</row>
    <row r="101" ht="15.75" customHeight="1">
      <c r="A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I43:J43"/>
    <mergeCell ref="I44:J44"/>
    <mergeCell ref="I45:J45"/>
    <mergeCell ref="G2:J2"/>
    <mergeCell ref="G37:J37"/>
    <mergeCell ref="I38:J38"/>
    <mergeCell ref="I39:J39"/>
    <mergeCell ref="I40:J40"/>
    <mergeCell ref="I41:J41"/>
    <mergeCell ref="I42:J4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5.75" customHeight="1">
      <c r="A2" s="70"/>
      <c r="B2" s="266" t="s">
        <v>175</v>
      </c>
      <c r="C2" s="95"/>
      <c r="D2" s="95"/>
      <c r="E2" s="95"/>
      <c r="F2" s="95"/>
      <c r="G2" s="96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5.75" customHeight="1">
      <c r="A3" s="70"/>
      <c r="B3" s="267" t="s">
        <v>176</v>
      </c>
      <c r="C3" s="268" t="s">
        <v>177</v>
      </c>
      <c r="D3" s="269" t="s">
        <v>178</v>
      </c>
      <c r="E3" s="269" t="s">
        <v>179</v>
      </c>
      <c r="F3" s="260" t="s">
        <v>180</v>
      </c>
      <c r="G3" s="260" t="s">
        <v>146</v>
      </c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5.75" customHeight="1">
      <c r="A4" s="70"/>
      <c r="B4" s="224" t="s">
        <v>181</v>
      </c>
      <c r="C4" s="270">
        <f>'Cash Report'!D64</f>
        <v>97560755.77</v>
      </c>
      <c r="D4" s="127">
        <v>0.0</v>
      </c>
      <c r="E4" s="271">
        <v>0.0</v>
      </c>
      <c r="F4" s="272">
        <v>1.0</v>
      </c>
      <c r="G4" s="270">
        <f>C4*F4</f>
        <v>97560755.77</v>
      </c>
      <c r="H4" s="273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5.75" customHeight="1">
      <c r="A5" s="70"/>
      <c r="B5" s="224" t="s">
        <v>182</v>
      </c>
      <c r="C5" s="270">
        <v>0.0</v>
      </c>
      <c r="D5" s="127">
        <f>'Cash Report'!D65</f>
        <v>59286.84</v>
      </c>
      <c r="E5" s="271">
        <v>0.0</v>
      </c>
      <c r="F5" s="219">
        <f>'Cash Report'!$E$31</f>
        <v>1422.93</v>
      </c>
      <c r="G5" s="270">
        <f>'Cash Report'!J39</f>
        <v>84361023.24</v>
      </c>
      <c r="H5" s="274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5.75" customHeight="1">
      <c r="A6" s="70"/>
      <c r="B6" s="224" t="s">
        <v>183</v>
      </c>
      <c r="C6" s="270">
        <v>0.0</v>
      </c>
      <c r="D6" s="127">
        <v>0.0</v>
      </c>
      <c r="E6" s="271">
        <f>'Cash Report'!D66</f>
        <v>2525</v>
      </c>
      <c r="F6" s="275">
        <f>'Cash Report'!E30</f>
        <v>1912.41</v>
      </c>
      <c r="G6" s="270">
        <f>'Cash Report'!F66</f>
        <v>4828835.25</v>
      </c>
      <c r="H6" s="276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5.75" customHeight="1">
      <c r="A7" s="70"/>
      <c r="B7" s="277" t="s">
        <v>184</v>
      </c>
      <c r="C7" s="270">
        <v>0.0</v>
      </c>
      <c r="D7" s="127">
        <f>'Breakdown of Income and Expendi'!H33</f>
        <v>768.94</v>
      </c>
      <c r="E7" s="271">
        <v>0.0</v>
      </c>
      <c r="F7" s="219">
        <f>'Cash Report'!$E$31</f>
        <v>1422.93</v>
      </c>
      <c r="G7" s="270">
        <f>D7*F7</f>
        <v>1094147.794</v>
      </c>
      <c r="H7" s="276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5.75" customHeight="1">
      <c r="A8" s="70"/>
      <c r="B8" s="259" t="s">
        <v>139</v>
      </c>
      <c r="C8" s="278">
        <f t="shared" ref="C8:E8" si="1">SUM(C4:C7)</f>
        <v>97560755.77</v>
      </c>
      <c r="D8" s="279">
        <f t="shared" si="1"/>
        <v>60055.78</v>
      </c>
      <c r="E8" s="280">
        <f t="shared" si="1"/>
        <v>2525</v>
      </c>
      <c r="F8" s="260"/>
      <c r="G8" s="281">
        <f>SUM(G4:G7)</f>
        <v>187844762.1</v>
      </c>
      <c r="H8" s="72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5.75" customHeight="1">
      <c r="A9" s="70"/>
      <c r="B9" s="70"/>
      <c r="C9" s="70"/>
      <c r="D9" s="70"/>
      <c r="E9" s="70"/>
      <c r="F9" s="70"/>
      <c r="G9" s="282"/>
      <c r="H9" s="283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5.75" customHeight="1">
      <c r="A10" s="70"/>
      <c r="B10" s="70"/>
      <c r="C10" s="284"/>
      <c r="D10" s="70"/>
      <c r="E10" s="284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5.75" customHeight="1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5.75" customHeight="1">
      <c r="A12" s="70"/>
      <c r="B12" s="266" t="s">
        <v>185</v>
      </c>
      <c r="C12" s="95"/>
      <c r="D12" s="95"/>
      <c r="E12" s="95"/>
      <c r="F12" s="95"/>
      <c r="G12" s="95"/>
      <c r="H12" s="96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5.75" customHeight="1">
      <c r="A13" s="70"/>
      <c r="B13" s="285" t="s">
        <v>186</v>
      </c>
      <c r="C13" s="286" t="s">
        <v>187</v>
      </c>
      <c r="D13" s="286" t="s">
        <v>188</v>
      </c>
      <c r="E13" s="286" t="s">
        <v>4</v>
      </c>
      <c r="F13" s="286" t="s">
        <v>125</v>
      </c>
      <c r="G13" s="260" t="s">
        <v>189</v>
      </c>
      <c r="H13" s="286" t="s">
        <v>190</v>
      </c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5.75" customHeight="1">
      <c r="A14" s="70"/>
      <c r="B14" s="287" t="s">
        <v>191</v>
      </c>
      <c r="C14" s="288">
        <f>59500-59500</f>
        <v>0</v>
      </c>
      <c r="D14" s="289">
        <v>689.68</v>
      </c>
      <c r="E14" s="288">
        <f t="shared" ref="E14:E19" si="2">SUM(C14:D14)</f>
        <v>689.68</v>
      </c>
      <c r="F14" s="290" t="s">
        <v>127</v>
      </c>
      <c r="G14" s="224" t="s">
        <v>192</v>
      </c>
      <c r="H14" s="290"/>
      <c r="I14" s="291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5.75" customHeight="1">
      <c r="A15" s="70"/>
      <c r="B15" s="287" t="s">
        <v>193</v>
      </c>
      <c r="C15" s="127">
        <f>752544.4-123000</f>
        <v>629544.4</v>
      </c>
      <c r="D15" s="289">
        <v>130154.35</v>
      </c>
      <c r="E15" s="288">
        <f t="shared" si="2"/>
        <v>759698.75</v>
      </c>
      <c r="F15" s="290" t="s">
        <v>127</v>
      </c>
      <c r="G15" s="224" t="s">
        <v>192</v>
      </c>
      <c r="H15" s="290"/>
      <c r="I15" s="291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292"/>
      <c r="B16" s="287" t="s">
        <v>194</v>
      </c>
      <c r="C16" s="293">
        <v>111975.34870967735</v>
      </c>
      <c r="D16" s="289">
        <v>593.71</v>
      </c>
      <c r="E16" s="288">
        <f t="shared" si="2"/>
        <v>112569.0587</v>
      </c>
      <c r="F16" s="290" t="s">
        <v>127</v>
      </c>
      <c r="G16" s="224" t="s">
        <v>192</v>
      </c>
      <c r="H16" s="294"/>
      <c r="I16" s="291"/>
      <c r="J16" s="292"/>
      <c r="K16" s="292"/>
      <c r="L16" s="292"/>
      <c r="M16" s="292"/>
      <c r="N16" s="292"/>
      <c r="O16" s="292"/>
      <c r="P16" s="292"/>
      <c r="Q16" s="292"/>
      <c r="R16" s="292"/>
      <c r="S16" s="292"/>
      <c r="T16" s="292"/>
      <c r="U16" s="292"/>
      <c r="V16" s="292"/>
      <c r="W16" s="292"/>
      <c r="X16" s="292"/>
      <c r="Y16" s="292"/>
      <c r="Z16" s="292"/>
    </row>
    <row r="17" ht="30.0" customHeight="1">
      <c r="A17" s="292"/>
      <c r="B17" s="295" t="s">
        <v>195</v>
      </c>
      <c r="C17" s="296">
        <v>45314.87</v>
      </c>
      <c r="D17" s="289">
        <v>32146.39</v>
      </c>
      <c r="E17" s="288">
        <f t="shared" si="2"/>
        <v>77461.26</v>
      </c>
      <c r="F17" s="297" t="s">
        <v>127</v>
      </c>
      <c r="G17" s="224" t="s">
        <v>192</v>
      </c>
      <c r="H17" s="298" t="s">
        <v>196</v>
      </c>
      <c r="I17" s="299"/>
      <c r="J17" s="292"/>
      <c r="K17" s="292"/>
      <c r="L17" s="292"/>
      <c r="M17" s="292"/>
      <c r="N17" s="292"/>
      <c r="O17" s="292"/>
      <c r="P17" s="292"/>
      <c r="Q17" s="292"/>
      <c r="R17" s="292"/>
      <c r="S17" s="292"/>
      <c r="T17" s="292"/>
      <c r="U17" s="292"/>
      <c r="V17" s="292"/>
      <c r="W17" s="292"/>
      <c r="X17" s="292"/>
      <c r="Y17" s="292"/>
      <c r="Z17" s="292"/>
    </row>
    <row r="18" ht="15.75" customHeight="1">
      <c r="A18" s="70"/>
      <c r="B18" s="287" t="s">
        <v>197</v>
      </c>
      <c r="C18" s="300">
        <v>528300.0</v>
      </c>
      <c r="D18" s="301">
        <v>0.0</v>
      </c>
      <c r="E18" s="288">
        <f t="shared" si="2"/>
        <v>528300</v>
      </c>
      <c r="F18" s="302">
        <v>46063.0</v>
      </c>
      <c r="G18" s="224" t="s">
        <v>198</v>
      </c>
      <c r="H18" s="290"/>
      <c r="I18" s="299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5.75" customHeight="1">
      <c r="A19" s="70"/>
      <c r="B19" s="287" t="s">
        <v>199</v>
      </c>
      <c r="C19" s="288">
        <v>769.0</v>
      </c>
      <c r="D19" s="127">
        <v>0.0</v>
      </c>
      <c r="E19" s="288">
        <f t="shared" si="2"/>
        <v>769</v>
      </c>
      <c r="F19" s="290" t="s">
        <v>127</v>
      </c>
      <c r="G19" s="224" t="s">
        <v>127</v>
      </c>
      <c r="H19" s="29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5.75" customHeight="1">
      <c r="A20" s="70"/>
      <c r="B20" s="287"/>
      <c r="C20" s="303">
        <f t="shared" ref="C20:E20" si="3">SUM(C14:C19)</f>
        <v>1315903.619</v>
      </c>
      <c r="D20" s="303">
        <f t="shared" si="3"/>
        <v>163584.13</v>
      </c>
      <c r="E20" s="304">
        <f t="shared" si="3"/>
        <v>1479487.749</v>
      </c>
      <c r="F20" s="224"/>
      <c r="G20" s="305"/>
      <c r="H20" s="305"/>
      <c r="I20" s="283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5.75" customHeight="1">
      <c r="A21" s="70"/>
      <c r="B21" s="70"/>
      <c r="C21" s="70"/>
      <c r="D21" s="70"/>
      <c r="E21" s="306"/>
      <c r="F21" s="284"/>
      <c r="G21" s="306"/>
      <c r="H21" s="307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5.75" customHeight="1">
      <c r="A22" s="70"/>
      <c r="B22" s="70"/>
      <c r="C22" s="70"/>
      <c r="D22" s="70"/>
      <c r="E22" s="70"/>
      <c r="F22" s="70"/>
      <c r="G22" s="70"/>
      <c r="H22" s="70"/>
      <c r="I22" s="308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5.75" customHeight="1">
      <c r="A23" s="70"/>
      <c r="B23" s="266" t="s">
        <v>200</v>
      </c>
      <c r="C23" s="95"/>
      <c r="D23" s="95"/>
      <c r="E23" s="95"/>
      <c r="F23" s="95"/>
      <c r="G23" s="95"/>
      <c r="H23" s="96"/>
      <c r="I23" s="308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5.75" customHeight="1">
      <c r="A24" s="70"/>
      <c r="B24" s="260" t="s">
        <v>186</v>
      </c>
      <c r="C24" s="260" t="s">
        <v>187</v>
      </c>
      <c r="D24" s="260" t="s">
        <v>188</v>
      </c>
      <c r="E24" s="260" t="s">
        <v>4</v>
      </c>
      <c r="F24" s="260" t="s">
        <v>125</v>
      </c>
      <c r="G24" s="260" t="s">
        <v>189</v>
      </c>
      <c r="H24" s="260" t="s">
        <v>190</v>
      </c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5.75" customHeight="1">
      <c r="A25" s="70"/>
      <c r="B25" s="224" t="s">
        <v>201</v>
      </c>
      <c r="C25" s="301">
        <v>38400.0</v>
      </c>
      <c r="D25" s="309">
        <v>2233.34</v>
      </c>
      <c r="E25" s="310">
        <f>C25+D25</f>
        <v>40633.34</v>
      </c>
      <c r="F25" s="311" t="s">
        <v>127</v>
      </c>
      <c r="G25" s="224" t="s">
        <v>192</v>
      </c>
      <c r="H25" s="312" t="s">
        <v>202</v>
      </c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5.75" customHeight="1">
      <c r="A26" s="70"/>
      <c r="B26" s="313" t="s">
        <v>203</v>
      </c>
      <c r="C26" s="314">
        <f t="shared" ref="C26:E26" si="4">SUM(C25)</f>
        <v>38400</v>
      </c>
      <c r="D26" s="314">
        <f t="shared" si="4"/>
        <v>2233.34</v>
      </c>
      <c r="E26" s="315">
        <f t="shared" si="4"/>
        <v>40633.34</v>
      </c>
      <c r="F26" s="305"/>
      <c r="G26" s="305"/>
      <c r="H26" s="316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5.75" customHeight="1">
      <c r="A27" s="70"/>
      <c r="B27" s="70"/>
      <c r="C27" s="70"/>
      <c r="D27" s="70"/>
      <c r="E27" s="70"/>
      <c r="F27" s="317"/>
      <c r="G27" s="306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5.75" customHeight="1">
      <c r="A28" s="70"/>
      <c r="B28" s="70"/>
      <c r="C28" s="70"/>
      <c r="D28" s="318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5.75" customHeight="1">
      <c r="A29" s="70"/>
      <c r="B29" s="266" t="s">
        <v>204</v>
      </c>
      <c r="C29" s="95"/>
      <c r="D29" s="95"/>
      <c r="E29" s="95"/>
      <c r="F29" s="95"/>
      <c r="G29" s="95"/>
      <c r="H29" s="319"/>
      <c r="I29" s="283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5.75" customHeight="1">
      <c r="A30" s="70"/>
      <c r="B30" s="285" t="s">
        <v>186</v>
      </c>
      <c r="C30" s="286" t="s">
        <v>187</v>
      </c>
      <c r="D30" s="286" t="s">
        <v>188</v>
      </c>
      <c r="E30" s="286" t="s">
        <v>4</v>
      </c>
      <c r="F30" s="260" t="s">
        <v>125</v>
      </c>
      <c r="G30" s="260" t="s">
        <v>189</v>
      </c>
      <c r="H30" s="260" t="s">
        <v>190</v>
      </c>
      <c r="I30" s="283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5.75" customHeight="1">
      <c r="A31" s="70"/>
      <c r="B31" s="287" t="s">
        <v>205</v>
      </c>
      <c r="C31" s="320">
        <v>0.0</v>
      </c>
      <c r="D31" s="321">
        <v>9141371.53</v>
      </c>
      <c r="E31" s="322">
        <f t="shared" ref="E31:E32" si="5">C31+D31</f>
        <v>9141371.53</v>
      </c>
      <c r="F31" s="323" t="s">
        <v>127</v>
      </c>
      <c r="G31" s="224" t="s">
        <v>192</v>
      </c>
      <c r="H31" s="224"/>
      <c r="I31" s="283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5.75" customHeight="1">
      <c r="A32" s="70"/>
      <c r="B32" s="324" t="s">
        <v>118</v>
      </c>
      <c r="C32" s="320">
        <v>5000000.0</v>
      </c>
      <c r="D32" s="325">
        <v>2679400.0</v>
      </c>
      <c r="E32" s="322">
        <f t="shared" si="5"/>
        <v>7679400</v>
      </c>
      <c r="F32" s="323" t="s">
        <v>127</v>
      </c>
      <c r="G32" s="224" t="s">
        <v>192</v>
      </c>
      <c r="H32" s="224"/>
      <c r="I32" s="326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5.75" customHeight="1">
      <c r="A33" s="70"/>
      <c r="B33" s="313" t="s">
        <v>206</v>
      </c>
      <c r="C33" s="281">
        <f t="shared" ref="C33:E33" si="6">SUM(C31:C32)</f>
        <v>5000000</v>
      </c>
      <c r="D33" s="281">
        <f t="shared" si="6"/>
        <v>11820771.53</v>
      </c>
      <c r="E33" s="281">
        <f t="shared" si="6"/>
        <v>16820771.53</v>
      </c>
      <c r="F33" s="224"/>
      <c r="G33" s="224"/>
      <c r="H33" s="224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5.75" customHeight="1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5.75" customHeight="1">
      <c r="A35" s="70"/>
      <c r="B35" s="70"/>
      <c r="C35" s="70"/>
      <c r="D35" s="70"/>
      <c r="E35" s="70"/>
      <c r="F35" s="327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5.75" customHeight="1">
      <c r="A36" s="70"/>
      <c r="B36" s="70"/>
      <c r="C36" s="70"/>
      <c r="D36" s="70"/>
      <c r="E36" s="70"/>
      <c r="F36" s="327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5.75" customHeight="1">
      <c r="A37" s="70"/>
      <c r="B37" s="70"/>
      <c r="C37" s="70"/>
      <c r="D37" s="70"/>
      <c r="E37" s="70"/>
      <c r="F37" s="299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5.75" customHeight="1">
      <c r="A38" s="70"/>
      <c r="B38" s="70"/>
      <c r="C38" s="70"/>
      <c r="D38" s="70"/>
      <c r="E38" s="70"/>
      <c r="F38" s="299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5.75" customHeight="1">
      <c r="A39" s="70"/>
      <c r="B39" s="70"/>
      <c r="C39" s="70"/>
      <c r="D39" s="70"/>
      <c r="E39" s="70"/>
      <c r="F39" s="299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5.75" customHeight="1">
      <c r="A40" s="70"/>
      <c r="B40" s="70"/>
      <c r="C40" s="70"/>
      <c r="D40" s="70"/>
      <c r="E40" s="70"/>
      <c r="F40" s="299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5.75" customHeight="1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5.7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5.75" customHeight="1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5.75" customHeight="1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5.7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5.7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5.7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5.75" customHeight="1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5.7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5.7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5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5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5.7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5.75" customHeight="1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5.75" customHeight="1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5.7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5.75" customHeight="1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5.7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5.75" customHeight="1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5.75" customHeight="1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5.75" customHeight="1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5.75" customHeight="1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5.75" customHeight="1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5.75" customHeight="1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5.75" customHeight="1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5.75" customHeight="1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5.75" customHeight="1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5.75" customHeight="1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5.75" customHeight="1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5.75" customHeight="1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5.75" customHeight="1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5.75" customHeight="1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5.75" customHeight="1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5.75" customHeight="1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5.75" customHeight="1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5.75" customHeight="1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5.75" customHeight="1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5.75" customHeight="1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5.75" customHeight="1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5.75" customHeight="1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5.75" customHeight="1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5.75" customHeight="1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5.75" customHeight="1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5.75" customHeight="1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5.75" customHeight="1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5.75" customHeight="1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5.75" customHeight="1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5.75" customHeight="1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5.75" customHeight="1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5.75" customHeight="1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5.75" customHeight="1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5.75" customHeight="1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5.75" customHeight="1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5.75" customHeight="1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5.75" customHeight="1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5.75" customHeight="1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5.75" customHeight="1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5.75" customHeight="1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5.75" customHeight="1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5.75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5.75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5.75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5.75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5.75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5.75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5.75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5.75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5.75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5.75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5.75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5.75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5.75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5.75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5.75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5.75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5.75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5.75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5.75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5.75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5.75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5.75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5.75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5.75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5.75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5.75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5.75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5.75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5.75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5.75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5.75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5.75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5.75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5.75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5.75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5.75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5.75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5.75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5.75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5.75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5.75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5.75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5.75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5.75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5.75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5.75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5.75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5.75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5.75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5.75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5.75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5.75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5.75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5.75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5.75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5.75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5.75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5.75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5.75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5.75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5.75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5.75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5.75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5.75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5.75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5.75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5.75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5.75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5.75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5.75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5.75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5.75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5.75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5.75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5.75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5.75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5.75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5.75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5.75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5.75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5.75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5.75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5.75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5.75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5.75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5.75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5.75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5.75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5.75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5.75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5.75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5.75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5.75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5.75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5.75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5.75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5.75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5.75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5.75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5.75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5.75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5.75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5.75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5.75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5.75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5.75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5.75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5.75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5.75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5.75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5.75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5.75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5.75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5.75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5.75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5.75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5.75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5.75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5.75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5.75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