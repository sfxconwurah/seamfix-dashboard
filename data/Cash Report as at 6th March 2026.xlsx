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ense" sheetId="1" r:id="rId5"/>
    <sheet state="hidden" name="Income" sheetId="2" r:id="rId6"/>
    <sheet state="visible" name="Cash Report" sheetId="3" r:id="rId7"/>
    <sheet state="visible" name="Breakdown of Income and Expendi" sheetId="4" r:id="rId8"/>
    <sheet state="visible" name="Cash Balance Summary " sheetId="5" r:id="rId9"/>
    <sheet state="visible" name="Cash Utilizations from Safe" sheetId="6" r:id="rId10"/>
  </sheets>
  <definedNames/>
  <calcPr/>
</workbook>
</file>

<file path=xl/sharedStrings.xml><?xml version="1.0" encoding="utf-8"?>
<sst xmlns="http://schemas.openxmlformats.org/spreadsheetml/2006/main" count="516" uniqueCount="308">
  <si>
    <t>Column 1</t>
  </si>
  <si>
    <t>Column 2</t>
  </si>
  <si>
    <t>Column 3</t>
  </si>
  <si>
    <t>Column 4</t>
  </si>
  <si>
    <t>Total</t>
  </si>
  <si>
    <t>inter</t>
  </si>
  <si>
    <t>pay. batch</t>
  </si>
  <si>
    <t>bank charge</t>
  </si>
  <si>
    <t>NSITF</t>
  </si>
  <si>
    <t>Refund</t>
  </si>
  <si>
    <t>ID4Africa Registration</t>
  </si>
  <si>
    <t>Flight Ticket/Accommodation</t>
  </si>
  <si>
    <t>Tatvasoft</t>
  </si>
  <si>
    <t>Pension</t>
  </si>
  <si>
    <t>Management Allowance</t>
  </si>
  <si>
    <t>Office Supplies &amp; Fuel</t>
  </si>
  <si>
    <t>Software Tools</t>
  </si>
  <si>
    <t>Shipping &amp; Freight</t>
  </si>
  <si>
    <t>AWS</t>
  </si>
  <si>
    <t>UAE funding</t>
  </si>
  <si>
    <t>BTA</t>
  </si>
  <si>
    <t>Nimc consultancy fee</t>
  </si>
  <si>
    <t>VAT</t>
  </si>
  <si>
    <t>WHT</t>
  </si>
  <si>
    <t>Hosting</t>
  </si>
  <si>
    <t>Salary</t>
  </si>
  <si>
    <t>Paye</t>
  </si>
  <si>
    <t>Bis Premises &amp; Dev Levy</t>
  </si>
  <si>
    <t>OUTFLOWS</t>
  </si>
  <si>
    <t>FBN (PROJECT) </t>
  </si>
  <si>
    <t>Interbank</t>
  </si>
  <si>
    <t>FIDELITY</t>
  </si>
  <si>
    <t>Payment Batches</t>
  </si>
  <si>
    <t>POLARIS MAIN</t>
  </si>
  <si>
    <t>POLARIS  (OPERATIONS 1)</t>
  </si>
  <si>
    <t>POLARIS (OPERATIONS 2)</t>
  </si>
  <si>
    <t>NSITF Contributions</t>
  </si>
  <si>
    <t>SCB</t>
  </si>
  <si>
    <t>UBA Main</t>
  </si>
  <si>
    <t>Pension Remittance</t>
  </si>
  <si>
    <t>UBA (PROJECT) </t>
  </si>
  <si>
    <t>UBA (COLLECTION 1)</t>
  </si>
  <si>
    <t>UBA (COLLECTION 2)</t>
  </si>
  <si>
    <t>Bank Charges</t>
  </si>
  <si>
    <t>UBA APG</t>
  </si>
  <si>
    <t>Office Supplies, Fuel &amp; Letter Dispatch</t>
  </si>
  <si>
    <t>UNION BANK</t>
  </si>
  <si>
    <t>ZENITH CALL 1</t>
  </si>
  <si>
    <t>ZENITH (SETTLEMENT)</t>
  </si>
  <si>
    <t>GTB</t>
  </si>
  <si>
    <t>GTB (Mastercard corporate debit)</t>
  </si>
  <si>
    <t>Access Bank Main A/C</t>
  </si>
  <si>
    <t>Access Bank Salary A/C</t>
  </si>
  <si>
    <t>Wema Card</t>
  </si>
  <si>
    <t>Globus</t>
  </si>
  <si>
    <t>MoMo Wallet</t>
  </si>
  <si>
    <t>ZENITH (USD)</t>
  </si>
  <si>
    <t>CASH IN HAND (USD)</t>
  </si>
  <si>
    <t>CASH IN HAND (POUNDS)</t>
  </si>
  <si>
    <t>CASH IN TRANSIT</t>
  </si>
  <si>
    <t>GTB MASTERCARD CCC (DOLLAR)</t>
  </si>
  <si>
    <t>SCB Funding</t>
  </si>
  <si>
    <t>UBA </t>
  </si>
  <si>
    <t>Access USD</t>
  </si>
  <si>
    <t>Refund/Reversal</t>
  </si>
  <si>
    <t>idqr</t>
  </si>
  <si>
    <t>Investment Liquidation</t>
  </si>
  <si>
    <t>Int'l Women Day Donations</t>
  </si>
  <si>
    <t>Lebara Income</t>
  </si>
  <si>
    <t>Interest Earned</t>
  </si>
  <si>
    <t>NIMC Income</t>
  </si>
  <si>
    <t>iTranscript Income</t>
  </si>
  <si>
    <t>NextGen</t>
  </si>
  <si>
    <t>Loan Repayment</t>
  </si>
  <si>
    <t>Insurance Claim</t>
  </si>
  <si>
    <t>MTN Income</t>
  </si>
  <si>
    <t>Inflows</t>
  </si>
  <si>
    <t>Nimc Income</t>
  </si>
  <si>
    <t>IDQR Income</t>
  </si>
  <si>
    <t>Int'l Weman Day Donations</t>
  </si>
  <si>
    <t>UBA MAIN</t>
  </si>
  <si>
    <t>Investment withdrawal</t>
  </si>
  <si>
    <t>UBA Project</t>
  </si>
  <si>
    <t>sa</t>
  </si>
  <si>
    <t>SEAMFIX LIMITED</t>
  </si>
  <si>
    <t>CASH AND CASH EQUIVALENT REPORT AS AT 6TH MARCH 2026</t>
  </si>
  <si>
    <t>CASH IN HAND AND BANK</t>
  </si>
  <si>
    <t>S/N</t>
  </si>
  <si>
    <t>Banks</t>
  </si>
  <si>
    <t>OPENING BALANCE</t>
  </si>
  <si>
    <t>EXCHANGE RATE </t>
  </si>
  <si>
    <t>OPENING BALANCE (NGN)</t>
  </si>
  <si>
    <t xml:space="preserve">INFLOW </t>
  </si>
  <si>
    <t>OUTFLOW</t>
  </si>
  <si>
    <t>NET DIFFERENCE</t>
  </si>
  <si>
    <t>CLOSING BALANCE</t>
  </si>
  <si>
    <t>Remarks</t>
  </si>
  <si>
    <t xml:space="preserve">Inflow:
Outflow: </t>
  </si>
  <si>
    <t>Inflow: 
Outflow: Bank Charges</t>
  </si>
  <si>
    <t>Inflow: 
Outflow: Bank charges</t>
  </si>
  <si>
    <t xml:space="preserve">Inflow: Interbank transfer
Outflow: </t>
  </si>
  <si>
    <t>Inflow: Nimc Income
Outflow: Bank cahrges, NSITF &amp; interbank transfer</t>
  </si>
  <si>
    <t xml:space="preserve">Inflows: Interbank Transfer
Outflow: Flight booking </t>
  </si>
  <si>
    <t xml:space="preserve">C </t>
  </si>
  <si>
    <t>Inflow: Refund
Outflow: Payment Batch, Pension &amp; Bank charges</t>
  </si>
  <si>
    <t>Inflows: Int'l Women day donations
Outflow: Bank charges</t>
  </si>
  <si>
    <t>Wema</t>
  </si>
  <si>
    <t>Wema card A/c</t>
  </si>
  <si>
    <t>Momo Account</t>
  </si>
  <si>
    <t>TOTAL CASH (NGN)</t>
  </si>
  <si>
    <t>ZENITH BANK (USD)</t>
  </si>
  <si>
    <t xml:space="preserve">Inflow: Nimc Income
Outflow: </t>
  </si>
  <si>
    <t>Inflow: 
Outflow: BTA &amp; Mgt Allowances</t>
  </si>
  <si>
    <t>Inflow: 
Outflow:</t>
  </si>
  <si>
    <t>GTB MAIN (USD)</t>
  </si>
  <si>
    <t>Inflow:Nimc Income
Outflow: Interbank Transfer</t>
  </si>
  <si>
    <t>GTB  DEBIT CARD (USD)</t>
  </si>
  <si>
    <t>Inflow: Interbank transfer &amp; Refund 
Outflow:Software Tools, ID4Africa Registration &amp; Flight &amp;  Hotel bookings</t>
  </si>
  <si>
    <t>Inflow: Investment withdrawal
Outflow: Bank charges</t>
  </si>
  <si>
    <t xml:space="preserve">Inflow: NIMC Income 
Outflow: </t>
  </si>
  <si>
    <t>TOTAL CASH (USD</t>
  </si>
  <si>
    <t>TOTAL INVESTMENTS (NGN)</t>
  </si>
  <si>
    <t>INVESTMENT HOUSE</t>
  </si>
  <si>
    <t>OPENING BALANCE (PRINCIPAL &amp; iNTEREST PAID</t>
  </si>
  <si>
    <t>COMMENTS</t>
  </si>
  <si>
    <t>FBN QUEST</t>
  </si>
  <si>
    <t>CORDROS MMF</t>
  </si>
  <si>
    <t>Alitheia funds</t>
  </si>
  <si>
    <t>STANBIC IBTC </t>
  </si>
  <si>
    <t>TOTAL INVESTMENT (NGN)</t>
  </si>
  <si>
    <t>TOTAL USD INVESTMENTS</t>
  </si>
  <si>
    <t>OPENING BALANCE (PRINCIPAL &amp; INTEREST PAID ONLY</t>
  </si>
  <si>
    <t>INFLOW</t>
  </si>
  <si>
    <t>Expected Value at Maturity</t>
  </si>
  <si>
    <t>Maturity Date</t>
  </si>
  <si>
    <t>Stanbic IBTC - Mutual Fund</t>
  </si>
  <si>
    <t>N/A</t>
  </si>
  <si>
    <t>CaridnalStone - Mutual Fund</t>
  </si>
  <si>
    <t>FBNQUEST - Mutual Fund</t>
  </si>
  <si>
    <t>Absa Bank - Fixed Deposit</t>
  </si>
  <si>
    <t>TOTAL INVESTMENT (USD)</t>
  </si>
  <si>
    <t>CASH BALANCE</t>
  </si>
  <si>
    <t>AMOUNT</t>
  </si>
  <si>
    <t>EXCHANGE RATE</t>
  </si>
  <si>
    <t>NAIRA EQUI.</t>
  </si>
  <si>
    <t>Naira</t>
  </si>
  <si>
    <t>USD</t>
  </si>
  <si>
    <t>GBP</t>
  </si>
  <si>
    <t>TOTAL</t>
  </si>
  <si>
    <t>CASH REPORT - 28TH MARCH 2026</t>
  </si>
  <si>
    <t>Inflows:</t>
  </si>
  <si>
    <t>Amount</t>
  </si>
  <si>
    <t>% Ratio</t>
  </si>
  <si>
    <t>Details</t>
  </si>
  <si>
    <t>Exc rate</t>
  </si>
  <si>
    <t>Naira Equivalent</t>
  </si>
  <si>
    <t>Opening Balance- 28th Feb NGN</t>
  </si>
  <si>
    <t>Opening Balance- 28th Feb USD</t>
  </si>
  <si>
    <t>Opening Balance- 28th Feb GBP</t>
  </si>
  <si>
    <t>Total Opening Balance</t>
  </si>
  <si>
    <t>Total Cash Inflows for the week</t>
  </si>
  <si>
    <t>INFLOWS</t>
  </si>
  <si>
    <t>TOTAL CASH BALANCE BEFORE OUTFLOWS</t>
  </si>
  <si>
    <t>Total Cash Outflow for the week</t>
  </si>
  <si>
    <t>Net Cash Inflow for the Week</t>
  </si>
  <si>
    <t>CASH BALANCE AS AT 6TH MARCH 2026</t>
  </si>
  <si>
    <t>Breakdown of Alitheia Investment Balance held in SCB</t>
  </si>
  <si>
    <t>Opening Balance</t>
  </si>
  <si>
    <t>Closing Balance</t>
  </si>
  <si>
    <t>BREAKDOWN OF PAYMENT BATCH FOR THE WEEK</t>
  </si>
  <si>
    <t>Beneficiary Names</t>
  </si>
  <si>
    <t>Amount (N)</t>
  </si>
  <si>
    <t>Description</t>
  </si>
  <si>
    <t>Yakubu Bobai Ephraim</t>
  </si>
  <si>
    <t>NextGen Instructor's fee for February 2026</t>
  </si>
  <si>
    <t>Bal for Todara  for 1st invoice</t>
  </si>
  <si>
    <t>Balance Payment for Office Toilet Renovation</t>
  </si>
  <si>
    <t>Obinna Uramah</t>
  </si>
  <si>
    <t>Staff advance to Obinna Uramah for UNN operations</t>
  </si>
  <si>
    <t>Lilian Wilfred</t>
  </si>
  <si>
    <t>Petty cash Top-up</t>
  </si>
  <si>
    <t>Adebisola Adegboye</t>
  </si>
  <si>
    <t>Birthday Cakes for March celebrants</t>
  </si>
  <si>
    <t>February Management allowance (part payement - $1,650)</t>
  </si>
  <si>
    <t>ProDevs Technology Outsourcing Ltd</t>
  </si>
  <si>
    <t>Payment to ProDevs Technology for Chidi and Oliver</t>
  </si>
  <si>
    <t>Drivecare Logistics &amp; Services Ltd</t>
  </si>
  <si>
    <t>Salary for Frank's Driver for Jan,2026</t>
  </si>
  <si>
    <t>Joseph Sani</t>
  </si>
  <si>
    <t>Purchase of 2 units of Stainless bins for recycling of bottles</t>
  </si>
  <si>
    <t>Ifeanyi Ama</t>
  </si>
  <si>
    <t>Refund to laptop repair in Abuja</t>
  </si>
  <si>
    <t>Mankind Global</t>
  </si>
  <si>
    <t>Macbook pro &amp; Macbook air charger for Desmond &amp; Henry</t>
  </si>
  <si>
    <t>Foldage Global Resources</t>
  </si>
  <si>
    <t>Replacement of power IC and bios for macbook pro 2019</t>
  </si>
  <si>
    <t>B.C Madiebo &amp; Co</t>
  </si>
  <si>
    <t>Insurance for the new motorcycle</t>
  </si>
  <si>
    <t>H.D Logistics</t>
  </si>
  <si>
    <t>70% Advance payment for Infrastructure Devices for PoC Support</t>
  </si>
  <si>
    <t>Steno Nigeria Limited</t>
  </si>
  <si>
    <t>Dispenser water supplied to the office 3oth of Jan.2026</t>
  </si>
  <si>
    <t>Replacement of Macbook cable for Abdulmalik</t>
  </si>
  <si>
    <t>MacBook cable purchased for Jeremiah Agarin</t>
  </si>
  <si>
    <t>Eco Cardillax</t>
  </si>
  <si>
    <t>Servicing of pool car MUS512GS Q1 2026</t>
  </si>
  <si>
    <t>HP Charger Replacement for Chiamaka</t>
  </si>
  <si>
    <t>Bolt</t>
  </si>
  <si>
    <t>Staff Bolt riders for Feb 2026</t>
  </si>
  <si>
    <t>Panorama Data Solutions</t>
  </si>
  <si>
    <t>Office internet Subscription for February 2026</t>
  </si>
  <si>
    <t>Laptop Insurance Policy Cover</t>
  </si>
  <si>
    <t>Di-All Worthwhile Food World</t>
  </si>
  <si>
    <t>Facilitation fee for MTN</t>
  </si>
  <si>
    <t>Cascia Solutions</t>
  </si>
  <si>
    <t>Facilitation fee for Lebara project</t>
  </si>
  <si>
    <t>Grace Akinwande</t>
  </si>
  <si>
    <t>Cleaning Materials and office supply mgt meeting</t>
  </si>
  <si>
    <t>Uridium Technologies Limited</t>
  </si>
  <si>
    <t>Payment to Uridium Technologies (Ikenna Okafor )</t>
  </si>
  <si>
    <t>James Abaaji</t>
  </si>
  <si>
    <t>February Salary</t>
  </si>
  <si>
    <t>Estrada Outsourcing Limited</t>
  </si>
  <si>
    <t>Payment to Estrada (Emmanuel Aloha )</t>
  </si>
  <si>
    <t xml:space="preserve">Credit switch </t>
  </si>
  <si>
    <t>Funding of credit switch for staff Airtime</t>
  </si>
  <si>
    <t>Airbroadband Limited</t>
  </si>
  <si>
    <t>Biosmart Market Development Services</t>
  </si>
  <si>
    <t>BREAKDOWN OF SEAMFIX CASH BALANCES AS AT 6TH MARCH 2026</t>
  </si>
  <si>
    <t>Cash Balances</t>
  </si>
  <si>
    <t>Amount  (Naira)</t>
  </si>
  <si>
    <t>Amount (USD)</t>
  </si>
  <si>
    <t>Amount (GBP)</t>
  </si>
  <si>
    <t>Exchange rate</t>
  </si>
  <si>
    <t>Seamfix operational A/c balances (Naira)</t>
  </si>
  <si>
    <t>Seamfix operational A/c balances (USD)</t>
  </si>
  <si>
    <t>Seamfix operational A/c balances (GBP)</t>
  </si>
  <si>
    <t>Alitheia funds in the SCB funding a/c</t>
  </si>
  <si>
    <t>BREAKDOWN OF AIF INVESTMENT FUND</t>
  </si>
  <si>
    <t>Investment House</t>
  </si>
  <si>
    <t>Principal</t>
  </si>
  <si>
    <t>Interest</t>
  </si>
  <si>
    <t>Investment Type</t>
  </si>
  <si>
    <t>Comment</t>
  </si>
  <si>
    <t>NGN</t>
  </si>
  <si>
    <t>Stanbic IBTC Asset Management</t>
  </si>
  <si>
    <t>Mutual Fund</t>
  </si>
  <si>
    <t xml:space="preserve">Cardinal Stone Asset Management Ltd </t>
  </si>
  <si>
    <t>AIF USD</t>
  </si>
  <si>
    <t>FBNQuest Asset management</t>
  </si>
  <si>
    <t>Absa Bank</t>
  </si>
  <si>
    <t>SCB Investment/Funding A/c Balance</t>
  </si>
  <si>
    <t>BREAKDOWN OF OTHER DOLLAR INVESTMENT</t>
  </si>
  <si>
    <t>FBNQuest Asset Management</t>
  </si>
  <si>
    <t>Earmarked for MinIo/Glo project licenses.</t>
  </si>
  <si>
    <t>Total USD Investments</t>
  </si>
  <si>
    <t>BREAKDOWN OF OTHER  NAIRA INVESTMENTS</t>
  </si>
  <si>
    <t>FBN Mutual Fund</t>
  </si>
  <si>
    <t>Stanbic Mutual Fund</t>
  </si>
  <si>
    <t>Total Naira Investments</t>
  </si>
  <si>
    <t>MARKET VALUE OF MTN SHARES</t>
  </si>
  <si>
    <t>Investment date</t>
  </si>
  <si>
    <t>Invested Amount</t>
  </si>
  <si>
    <t>Market value as at 27th Feb 2026</t>
  </si>
  <si>
    <t>Market value as at 6th March 2026</t>
  </si>
  <si>
    <t>USAGE OF LAST FOUR CASH WITHDRAWALS FOR SAFE</t>
  </si>
  <si>
    <t>Date</t>
  </si>
  <si>
    <t>Inflow</t>
  </si>
  <si>
    <t>Outflow</t>
  </si>
  <si>
    <t>Balance</t>
  </si>
  <si>
    <t>Balance brought forward from Nov 2025</t>
  </si>
  <si>
    <t>Cash withdrawn from Access</t>
  </si>
  <si>
    <t>16/12/2025</t>
  </si>
  <si>
    <t>Nov Management allowance to Tobi</t>
  </si>
  <si>
    <t>Dec Management allowance to Tobi</t>
  </si>
  <si>
    <t>13th month Management allowance to Tobi</t>
  </si>
  <si>
    <t>Nov Management allowance to Lilian</t>
  </si>
  <si>
    <t>Dec Management allowance to Lilian</t>
  </si>
  <si>
    <t>13th month Management allowance to Lilian</t>
  </si>
  <si>
    <t>Dec Management allowance to Kolade</t>
  </si>
  <si>
    <t>13th month Management allowance to Kolade</t>
  </si>
  <si>
    <t>Cash withdrawn from SCB</t>
  </si>
  <si>
    <t>Nov Management allowance to Diyan</t>
  </si>
  <si>
    <t>Dec Management allowance to Diyan</t>
  </si>
  <si>
    <t>13th month Management allowance to Diyan</t>
  </si>
  <si>
    <t>24/12/2025</t>
  </si>
  <si>
    <t>Cash deposit in SCB</t>
  </si>
  <si>
    <t>BTA to Frank Atube for Abidjan Trip</t>
  </si>
  <si>
    <t>23/01/2026</t>
  </si>
  <si>
    <t>Cash withdrawn from GTbank</t>
  </si>
  <si>
    <t>Part payment of Jan Management allowance - Lilian</t>
  </si>
  <si>
    <t>27/01/2026</t>
  </si>
  <si>
    <t>Jan Management allowance - Lilian balance</t>
  </si>
  <si>
    <t>Jan Management allowance - Frank</t>
  </si>
  <si>
    <t>Jan Management allowance  - Kolade</t>
  </si>
  <si>
    <t>Jan Management allowance  - Diyan</t>
  </si>
  <si>
    <t>Jan Management allowance  - Tobi</t>
  </si>
  <si>
    <t>BTA - Frank</t>
  </si>
  <si>
    <t>BTA - George</t>
  </si>
  <si>
    <t>13/02/2026</t>
  </si>
  <si>
    <t>Feb. Management allowance - Frank Atube</t>
  </si>
  <si>
    <t>23/02/2026</t>
  </si>
  <si>
    <t>BTA - Ebuka to Cotonou</t>
  </si>
  <si>
    <t>BTA Return - George</t>
  </si>
  <si>
    <t>Refund to Pyrich</t>
  </si>
  <si>
    <t>25/02/2026</t>
  </si>
  <si>
    <t>Cash withdrawn from Access Bank</t>
  </si>
  <si>
    <t>BTA - Ebuka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</si>
</sst>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#,##0.00_);[Red]\(#,##0.00\)"/>
    <numFmt numFmtId="165" formatCode="m/d/yyyy"/>
    <numFmt numFmtId="166" formatCode="[$₦-467]\ #,##0.00;\-[$₦-467]\ #,##0.00"/>
    <numFmt numFmtId="167" formatCode="_-* #,##0.00_-;\-* #,##0.00_-;_-* &quot;-&quot;??_-;_-@"/>
    <numFmt numFmtId="168" formatCode="&quot;$&quot;#,##0.00"/>
    <numFmt numFmtId="169" formatCode="#,##0_);[Red]\(#,##0\)"/>
    <numFmt numFmtId="170" formatCode="#,##0.00\ [$₦-467];\-#,##0.00\ [$₦-467]"/>
    <numFmt numFmtId="171" formatCode="[$£]#,##0.00"/>
    <numFmt numFmtId="172" formatCode="[$₦-470]#,##0.00"/>
    <numFmt numFmtId="173" formatCode="[$₦]#,##0.00"/>
    <numFmt numFmtId="174" formatCode="d mmm yyyy"/>
    <numFmt numFmtId="175" formatCode="[$₦-466]\ #,##0.00"/>
    <numFmt numFmtId="176" formatCode="_(&quot;$&quot;* #,##0.00_);_(&quot;$&quot;* \(#,##0.00\);_(&quot;$&quot;* &quot;-&quot;??_);_(@_)"/>
    <numFmt numFmtId="177" formatCode="0000000000"/>
    <numFmt numFmtId="178" formatCode="[$₦-46A]#,##0.00"/>
    <numFmt numFmtId="179" formatCode="mmm yyyy"/>
    <numFmt numFmtId="180" formatCode="mm/dd/yyyy"/>
    <numFmt numFmtId="181" formatCode="&quot;$&quot;#,##0"/>
  </numFmts>
  <fonts count="3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9.0"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b/>
      <sz val="10.0"/>
      <color theme="1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9.0"/>
      <color theme="1"/>
      <name val="Arial"/>
      <scheme val="minor"/>
    </font>
    <font>
      <color rgb="FF000000"/>
      <name val="Verdana"/>
    </font>
    <font>
      <b/>
      <sz val="10.0"/>
      <color rgb="FF000000"/>
      <name val="Arial"/>
    </font>
    <font>
      <sz val="11.0"/>
      <color theme="1"/>
      <name val="Calibri"/>
    </font>
    <font>
      <b/>
      <sz val="9.0"/>
      <color theme="1"/>
      <name val="Arial"/>
    </font>
    <font>
      <color rgb="FF000000"/>
      <name val="&quot;arial\"/>
    </font>
    <font>
      <sz val="9.0"/>
      <color rgb="FF000000"/>
      <name val="Arial"/>
      <scheme val="minor"/>
    </font>
    <font>
      <b/>
      <sz val="9.0"/>
      <color theme="1"/>
      <name val="Arial"/>
      <scheme val="minor"/>
    </font>
    <font/>
    <font>
      <b/>
      <sz val="9.0"/>
      <color rgb="FF000000"/>
      <name val="Arial"/>
      <scheme val="minor"/>
    </font>
    <font>
      <b/>
      <i/>
      <sz val="9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i/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rgb="FF222222"/>
      <name val="Arial"/>
      <scheme val="minor"/>
    </font>
    <font>
      <sz val="10.0"/>
      <color rgb="FF222222"/>
      <name val="Arial"/>
      <scheme val="minor"/>
    </font>
    <font>
      <sz val="9.0"/>
      <color rgb="FF222222"/>
      <name val="Arial"/>
    </font>
    <font>
      <color theme="1"/>
      <name val="Arial"/>
    </font>
    <font>
      <sz val="9.0"/>
      <color rgb="FF222222"/>
      <name val="Verdana"/>
    </font>
    <font>
      <color rgb="FF222222"/>
      <name val="Georgi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93C47D"/>
        <bgColor rgb="FF93C47D"/>
      </patternFill>
    </fill>
  </fills>
  <borders count="41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/>
      <top/>
    </border>
    <border>
      <left/>
      <right style="thin">
        <color rgb="FF000000"/>
      </right>
      <top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/>
      <right/>
      <bottom/>
    </border>
    <border>
      <left style="thin">
        <color rgb="FF000000"/>
      </left>
      <top style="thin">
        <color rgb="FF000000"/>
      </top>
    </border>
    <border>
      <left/>
      <right style="thin">
        <color rgb="FFCCCCFF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right/>
      <top/>
      <bottom/>
    </border>
    <border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4" xfId="0" applyAlignment="1" applyBorder="1" applyFont="1" applyNumberFormat="1">
      <alignment horizontal="left" vertical="top"/>
    </xf>
    <xf borderId="1" fillId="2" fontId="1" numFmtId="4" xfId="0" applyBorder="1" applyFont="1" applyNumberFormat="1"/>
    <xf borderId="0" fillId="0" fontId="3" numFmtId="4" xfId="0" applyFont="1" applyNumberFormat="1"/>
    <xf borderId="1" fillId="2" fontId="1" numFmtId="164" xfId="0" applyBorder="1" applyFont="1" applyNumberFormat="1"/>
    <xf borderId="1" fillId="2" fontId="1" numFmtId="4" xfId="0" applyAlignment="1" applyBorder="1" applyFont="1" applyNumberFormat="1">
      <alignment horizontal="right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5" fillId="2" fontId="1" numFmtId="4" xfId="0" applyAlignment="1" applyBorder="1" applyFont="1" applyNumberFormat="1">
      <alignment horizontal="center"/>
    </xf>
    <xf borderId="6" fillId="2" fontId="4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5" fillId="2" fontId="1" numFmtId="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7" fillId="2" fontId="6" numFmtId="0" xfId="0" applyAlignment="1" applyBorder="1" applyFont="1">
      <alignment vertical="center"/>
    </xf>
    <xf borderId="8" fillId="2" fontId="1" numFmtId="164" xfId="0" applyAlignment="1" applyBorder="1" applyFont="1" applyNumberFormat="1">
      <alignment vertical="center"/>
    </xf>
    <xf borderId="9" fillId="2" fontId="6" numFmtId="165" xfId="0" applyAlignment="1" applyBorder="1" applyFont="1" applyNumberFormat="1">
      <alignment vertical="center"/>
    </xf>
    <xf borderId="10" fillId="0" fontId="7" numFmtId="166" xfId="0" applyAlignment="1" applyBorder="1" applyFont="1" applyNumberFormat="1">
      <alignment readingOrder="0"/>
    </xf>
    <xf borderId="10" fillId="0" fontId="8" numFmtId="166" xfId="0" applyAlignment="1" applyBorder="1" applyFont="1" applyNumberFormat="1">
      <alignment readingOrder="0"/>
    </xf>
    <xf borderId="11" fillId="2" fontId="1" numFmtId="4" xfId="0" applyBorder="1" applyFont="1" applyNumberFormat="1"/>
    <xf borderId="0" fillId="2" fontId="1" numFmtId="4" xfId="0" applyAlignment="1" applyFont="1" applyNumberFormat="1">
      <alignment horizontal="right"/>
    </xf>
    <xf borderId="7" fillId="2" fontId="1" numFmtId="0" xfId="0" applyAlignment="1" applyBorder="1" applyFont="1">
      <alignment vertical="center"/>
    </xf>
    <xf borderId="9" fillId="2" fontId="1" numFmtId="165" xfId="0" applyAlignment="1" applyBorder="1" applyFont="1" applyNumberFormat="1">
      <alignment vertical="center"/>
    </xf>
    <xf borderId="0" fillId="0" fontId="1" numFmtId="4" xfId="0" applyFont="1" applyNumberFormat="1"/>
    <xf borderId="8" fillId="2" fontId="1" numFmtId="167" xfId="0" applyAlignment="1" applyBorder="1" applyFont="1" applyNumberFormat="1">
      <alignment horizontal="right" vertical="center"/>
    </xf>
    <xf borderId="0" fillId="0" fontId="2" numFmtId="4" xfId="0" applyFont="1" applyNumberFormat="1"/>
    <xf borderId="0" fillId="0" fontId="2" numFmtId="167" xfId="0" applyFont="1" applyNumberFormat="1"/>
    <xf borderId="5" fillId="2" fontId="1" numFmtId="0" xfId="0" applyAlignment="1" applyBorder="1" applyFont="1">
      <alignment horizontal="left" readingOrder="0"/>
    </xf>
    <xf borderId="10" fillId="0" fontId="9" numFmtId="166" xfId="0" applyAlignment="1" applyBorder="1" applyFont="1" applyNumberFormat="1">
      <alignment horizontal="right"/>
    </xf>
    <xf borderId="0" fillId="0" fontId="5" numFmtId="4" xfId="0" applyFont="1" applyNumberFormat="1"/>
    <xf borderId="12" fillId="2" fontId="6" numFmtId="165" xfId="0" applyAlignment="1" applyBorder="1" applyFont="1" applyNumberFormat="1">
      <alignment vertical="center"/>
    </xf>
    <xf borderId="0" fillId="2" fontId="1" numFmtId="4" xfId="0" applyAlignment="1" applyFont="1" applyNumberFormat="1">
      <alignment horizontal="right" readingOrder="0"/>
    </xf>
    <xf borderId="13" fillId="2" fontId="6" numFmtId="165" xfId="0" applyAlignment="1" applyBorder="1" applyFont="1" applyNumberFormat="1">
      <alignment vertical="center"/>
    </xf>
    <xf borderId="13" fillId="2" fontId="1" numFmtId="165" xfId="0" applyAlignment="1" applyBorder="1" applyFont="1" applyNumberFormat="1">
      <alignment vertical="center"/>
    </xf>
    <xf borderId="0" fillId="0" fontId="1" numFmtId="0" xfId="0" applyFont="1"/>
    <xf borderId="0" fillId="0" fontId="1" numFmtId="164" xfId="0" applyFont="1" applyNumberFormat="1"/>
    <xf borderId="0" fillId="0" fontId="4" numFmtId="166" xfId="0" applyAlignment="1" applyFont="1" applyNumberFormat="1">
      <alignment horizontal="right" readingOrder="0" vertical="bottom"/>
    </xf>
    <xf borderId="11" fillId="2" fontId="1" numFmtId="0" xfId="0" applyBorder="1" applyFont="1"/>
    <xf borderId="0" fillId="0" fontId="4" numFmtId="4" xfId="0" applyAlignment="1" applyFont="1" applyNumberFormat="1">
      <alignment horizontal="right" readingOrder="0" vertical="bottom"/>
    </xf>
    <xf borderId="0" fillId="2" fontId="10" numFmtId="4" xfId="0" applyAlignment="1" applyFont="1" applyNumberFormat="1">
      <alignment horizontal="right" readingOrder="0" shrinkToFit="0" vertical="bottom" wrapText="0"/>
    </xf>
    <xf borderId="0" fillId="0" fontId="6" numFmtId="4" xfId="0" applyFont="1" applyNumberFormat="1"/>
    <xf borderId="0" fillId="0" fontId="11" numFmtId="4" xfId="0" applyFont="1" applyNumberFormat="1"/>
    <xf borderId="0" fillId="2" fontId="10" numFmtId="166" xfId="0" applyAlignment="1" applyFont="1" applyNumberFormat="1">
      <alignment horizontal="right" readingOrder="0" shrinkToFit="0" vertical="bottom" wrapText="0"/>
    </xf>
    <xf borderId="0" fillId="0" fontId="12" numFmtId="166" xfId="0" applyAlignment="1" applyFont="1" applyNumberFormat="1">
      <alignment readingOrder="0" shrinkToFit="0" vertical="bottom" wrapText="0"/>
    </xf>
    <xf borderId="0" fillId="0" fontId="12" numFmtId="4" xfId="0" applyAlignment="1" applyFont="1" applyNumberFormat="1">
      <alignment horizontal="right" shrinkToFit="0" vertical="bottom" wrapText="0"/>
    </xf>
    <xf borderId="0" fillId="0" fontId="12" numFmtId="4" xfId="0" applyAlignment="1" applyFont="1" applyNumberFormat="1">
      <alignment readingOrder="0" shrinkToFit="0" vertical="bottom" wrapText="0"/>
    </xf>
    <xf borderId="0" fillId="0" fontId="12" numFmtId="4" xfId="0" applyAlignment="1" applyFont="1" applyNumberFormat="1">
      <alignment horizontal="right" readingOrder="0" shrinkToFit="0" vertical="bottom" wrapText="0"/>
    </xf>
    <xf borderId="0" fillId="0" fontId="11" numFmtId="167" xfId="0" applyFont="1" applyNumberFormat="1"/>
    <xf borderId="0" fillId="0" fontId="12" numFmtId="166" xfId="0" applyAlignment="1" applyFont="1" applyNumberFormat="1">
      <alignment horizontal="right" readingOrder="0" shrinkToFit="0" vertical="bottom" wrapText="0"/>
    </xf>
    <xf borderId="8" fillId="2" fontId="6" numFmtId="164" xfId="0" applyAlignment="1" applyBorder="1" applyFont="1" applyNumberFormat="1">
      <alignment vertical="center"/>
    </xf>
    <xf borderId="10" fillId="0" fontId="9" numFmtId="166" xfId="0" applyAlignment="1" applyBorder="1" applyFont="1" applyNumberFormat="1">
      <alignment horizontal="right" readingOrder="0"/>
    </xf>
    <xf borderId="0" fillId="0" fontId="1" numFmtId="167" xfId="0" applyFont="1" applyNumberFormat="1"/>
    <xf borderId="14" fillId="2" fontId="1" numFmtId="165" xfId="0" applyAlignment="1" applyBorder="1" applyFont="1" applyNumberFormat="1">
      <alignment vertical="center"/>
    </xf>
    <xf borderId="8" fillId="2" fontId="1" numFmtId="0" xfId="0" applyAlignment="1" applyBorder="1" applyFont="1">
      <alignment vertical="center"/>
    </xf>
    <xf borderId="8" fillId="2" fontId="1" numFmtId="165" xfId="0" applyAlignment="1" applyBorder="1" applyFont="1" applyNumberFormat="1">
      <alignment vertical="center"/>
    </xf>
    <xf borderId="10" fillId="2" fontId="1" numFmtId="4" xfId="0" applyAlignment="1" applyBorder="1" applyFont="1" applyNumberFormat="1">
      <alignment vertical="center"/>
    </xf>
    <xf borderId="7" fillId="2" fontId="1" numFmtId="166" xfId="0" applyAlignment="1" applyBorder="1" applyFont="1" applyNumberFormat="1">
      <alignment readingOrder="0" vertical="center"/>
    </xf>
    <xf borderId="7" fillId="2" fontId="1" numFmtId="164" xfId="0" applyAlignment="1" applyBorder="1" applyFont="1" applyNumberFormat="1">
      <alignment vertical="center"/>
    </xf>
    <xf borderId="8" fillId="2" fontId="1" numFmtId="4" xfId="0" applyAlignment="1" applyBorder="1" applyFont="1" applyNumberFormat="1">
      <alignment vertical="center"/>
    </xf>
    <xf borderId="15" fillId="2" fontId="2" numFmtId="2" xfId="0" applyAlignment="1" applyBorder="1" applyFont="1" applyNumberFormat="1">
      <alignment horizontal="center" vertical="center"/>
    </xf>
    <xf borderId="10" fillId="0" fontId="4" numFmtId="166" xfId="0" applyAlignment="1" applyBorder="1" applyFont="1" applyNumberFormat="1">
      <alignment horizontal="right"/>
    </xf>
    <xf borderId="16" fillId="2" fontId="1" numFmtId="0" xfId="0" applyAlignment="1" applyBorder="1" applyFont="1">
      <alignment vertical="center"/>
    </xf>
    <xf borderId="17" fillId="2" fontId="1" numFmtId="0" xfId="0" applyAlignment="1" applyBorder="1" applyFont="1">
      <alignment vertical="center"/>
    </xf>
    <xf borderId="17" fillId="2" fontId="1" numFmtId="165" xfId="0" applyAlignment="1" applyBorder="1" applyFont="1" applyNumberFormat="1">
      <alignment vertical="center"/>
    </xf>
    <xf borderId="1" fillId="2" fontId="1" numFmtId="166" xfId="0" applyBorder="1" applyFont="1" applyNumberFormat="1"/>
    <xf borderId="18" fillId="2" fontId="1" numFmtId="4" xfId="0" applyAlignment="1" applyBorder="1" applyFont="1" applyNumberFormat="1">
      <alignment horizontal="right"/>
    </xf>
    <xf borderId="1" fillId="2" fontId="2" numFmtId="4" xfId="0" applyBorder="1" applyFont="1" applyNumberFormat="1"/>
    <xf borderId="1" fillId="2" fontId="1" numFmtId="0" xfId="0" applyAlignment="1" applyBorder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13" numFmtId="0" xfId="0" applyFont="1"/>
    <xf borderId="0" fillId="0" fontId="3" numFmtId="164" xfId="0" applyFont="1" applyNumberFormat="1"/>
    <xf borderId="13" fillId="0" fontId="13" numFmtId="164" xfId="0" applyBorder="1" applyFont="1" applyNumberFormat="1"/>
    <xf borderId="10" fillId="0" fontId="3" numFmtId="166" xfId="0" applyAlignment="1" applyBorder="1" applyFont="1" applyNumberFormat="1">
      <alignment horizontal="right"/>
    </xf>
    <xf borderId="10" fillId="0" fontId="7" numFmtId="166" xfId="0" applyBorder="1" applyFont="1" applyNumberFormat="1"/>
    <xf borderId="13" fillId="0" fontId="3" numFmtId="164" xfId="0" applyBorder="1" applyFont="1" applyNumberFormat="1"/>
    <xf borderId="0" fillId="0" fontId="2" numFmtId="4" xfId="0" applyFont="1" applyNumberFormat="1"/>
    <xf borderId="0" fillId="2" fontId="14" numFmtId="166" xfId="0" applyAlignment="1" applyFont="1" applyNumberFormat="1">
      <alignment horizontal="right" readingOrder="0"/>
    </xf>
    <xf borderId="0" fillId="0" fontId="6" numFmtId="0" xfId="0" applyFont="1"/>
    <xf borderId="0" fillId="0" fontId="6" numFmtId="4" xfId="0" applyFont="1" applyNumberFormat="1"/>
    <xf borderId="0" fillId="0" fontId="1" numFmtId="0" xfId="0" applyFont="1"/>
    <xf borderId="0" fillId="0" fontId="2" numFmtId="164" xfId="0" applyFont="1" applyNumberFormat="1"/>
    <xf borderId="0" fillId="0" fontId="11" numFmtId="164" xfId="0" applyFont="1" applyNumberFormat="1"/>
    <xf borderId="0" fillId="0" fontId="7" numFmtId="4" xfId="0" applyFont="1" applyNumberFormat="1"/>
    <xf borderId="0" fillId="0" fontId="13" numFmtId="164" xfId="0" applyAlignment="1" applyFont="1" applyNumberFormat="1">
      <alignment horizontal="right"/>
    </xf>
    <xf borderId="10" fillId="0" fontId="3" numFmtId="166" xfId="0" applyAlignment="1" applyBorder="1" applyFont="1" applyNumberFormat="1">
      <alignment horizontal="right" readingOrder="0"/>
    </xf>
    <xf borderId="0" fillId="0" fontId="3" numFmtId="4" xfId="0" applyAlignment="1" applyFont="1" applyNumberFormat="1">
      <alignment readingOrder="0"/>
    </xf>
    <xf borderId="0" fillId="0" fontId="13" numFmtId="4" xfId="0" applyFont="1" applyNumberFormat="1"/>
    <xf borderId="0" fillId="0" fontId="11" numFmtId="4" xfId="0" applyFont="1" applyNumberFormat="1"/>
    <xf borderId="19" fillId="0" fontId="3" numFmtId="164" xfId="0" applyBorder="1" applyFont="1" applyNumberFormat="1"/>
    <xf borderId="0" fillId="0" fontId="12" numFmtId="164" xfId="0" applyAlignment="1" applyFont="1" applyNumberFormat="1">
      <alignment horizontal="right" shrinkToFit="0" vertical="bottom" wrapText="0"/>
    </xf>
    <xf borderId="0" fillId="0" fontId="3" numFmtId="164" xfId="0" applyAlignment="1" applyFont="1" applyNumberFormat="1">
      <alignment horizontal="center"/>
    </xf>
    <xf borderId="10" fillId="0" fontId="3" numFmtId="164" xfId="0" applyBorder="1" applyFont="1" applyNumberFormat="1"/>
    <xf borderId="10" fillId="0" fontId="13" numFmtId="4" xfId="0" applyAlignment="1" applyBorder="1" applyFont="1" applyNumberFormat="1">
      <alignment horizontal="right"/>
    </xf>
    <xf borderId="0" fillId="0" fontId="13" numFmtId="4" xfId="0" applyAlignment="1" applyFont="1" applyNumberFormat="1">
      <alignment horizontal="right"/>
    </xf>
    <xf borderId="0" fillId="0" fontId="9" numFmtId="0" xfId="0" applyFont="1"/>
    <xf borderId="0" fillId="3" fontId="15" numFmtId="168" xfId="0" applyAlignment="1" applyFill="1" applyFont="1" applyNumberFormat="1">
      <alignment horizontal="right" readingOrder="0"/>
    </xf>
    <xf borderId="0" fillId="2" fontId="15" numFmtId="4" xfId="0" applyAlignment="1" applyFont="1" applyNumberFormat="1">
      <alignment horizontal="right" readingOrder="0"/>
    </xf>
    <xf borderId="1" fillId="2" fontId="15" numFmtId="166" xfId="0" applyAlignment="1" applyBorder="1" applyFont="1" applyNumberFormat="1">
      <alignment horizontal="right" readingOrder="0"/>
    </xf>
    <xf borderId="20" fillId="2" fontId="15" numFmtId="166" xfId="0" applyAlignment="1" applyBorder="1" applyFont="1" applyNumberFormat="1">
      <alignment horizontal="right"/>
    </xf>
    <xf borderId="0" fillId="0" fontId="9" numFmtId="4" xfId="0" applyAlignment="1" applyFont="1" applyNumberFormat="1">
      <alignment horizontal="right"/>
    </xf>
    <xf borderId="1" fillId="2" fontId="15" numFmtId="164" xfId="0" applyBorder="1" applyFont="1" applyNumberFormat="1"/>
    <xf borderId="13" fillId="0" fontId="16" numFmtId="169" xfId="0" applyAlignment="1" applyBorder="1" applyFont="1" applyNumberFormat="1">
      <alignment horizontal="center" shrinkToFit="0" wrapText="1"/>
    </xf>
    <xf borderId="21" fillId="0" fontId="17" numFmtId="0" xfId="0" applyBorder="1" applyFont="1"/>
    <xf borderId="22" fillId="0" fontId="17" numFmtId="0" xfId="0" applyBorder="1" applyFont="1"/>
    <xf borderId="0" fillId="0" fontId="9" numFmtId="4" xfId="0" applyFont="1" applyNumberFormat="1"/>
    <xf borderId="13" fillId="0" fontId="16" numFmtId="169" xfId="0" applyAlignment="1" applyBorder="1" applyFont="1" applyNumberFormat="1">
      <alignment horizontal="center" readingOrder="0" shrinkToFit="0" wrapText="1"/>
    </xf>
    <xf borderId="10" fillId="4" fontId="16" numFmtId="169" xfId="0" applyAlignment="1" applyBorder="1" applyFill="1" applyFont="1" applyNumberFormat="1">
      <alignment horizontal="center" shrinkToFit="0" wrapText="1"/>
    </xf>
    <xf borderId="10" fillId="4" fontId="16" numFmtId="170" xfId="0" applyAlignment="1" applyBorder="1" applyFont="1" applyNumberFormat="1">
      <alignment horizontal="center" shrinkToFit="0" wrapText="1"/>
    </xf>
    <xf borderId="10" fillId="4" fontId="16" numFmtId="0" xfId="0" applyAlignment="1" applyBorder="1" applyFont="1">
      <alignment horizontal="center" shrinkToFit="0" wrapText="1"/>
    </xf>
    <xf borderId="10" fillId="0" fontId="15" numFmtId="169" xfId="0" applyAlignment="1" applyBorder="1" applyFont="1" applyNumberFormat="1">
      <alignment horizontal="center"/>
    </xf>
    <xf borderId="10" fillId="0" fontId="18" numFmtId="164" xfId="0" applyBorder="1" applyFont="1" applyNumberFormat="1"/>
    <xf borderId="10" fillId="0" fontId="18" numFmtId="166" xfId="0" applyBorder="1" applyFont="1" applyNumberFormat="1"/>
    <xf borderId="10" fillId="0" fontId="15" numFmtId="164" xfId="0" applyAlignment="1" applyBorder="1" applyFont="1" applyNumberFormat="1">
      <alignment horizontal="center"/>
    </xf>
    <xf borderId="10" fillId="0" fontId="15" numFmtId="166" xfId="0" applyBorder="1" applyFont="1" applyNumberFormat="1"/>
    <xf borderId="10" fillId="0" fontId="15" numFmtId="164" xfId="0" applyBorder="1" applyFont="1" applyNumberFormat="1"/>
    <xf borderId="10" fillId="0" fontId="9" numFmtId="0" xfId="0" applyAlignment="1" applyBorder="1" applyFont="1">
      <alignment shrinkToFit="0" wrapText="1"/>
    </xf>
    <xf borderId="0" fillId="0" fontId="9" numFmtId="170" xfId="0" applyFont="1" applyNumberFormat="1"/>
    <xf borderId="10" fillId="2" fontId="18" numFmtId="164" xfId="0" applyBorder="1" applyFont="1" applyNumberFormat="1"/>
    <xf borderId="10" fillId="0" fontId="9" numFmtId="0" xfId="0" applyAlignment="1" applyBorder="1" applyFont="1">
      <alignment readingOrder="0" shrinkToFit="0" wrapText="1"/>
    </xf>
    <xf borderId="10" fillId="0" fontId="18" numFmtId="166" xfId="0" applyAlignment="1" applyBorder="1" applyFont="1" applyNumberFormat="1">
      <alignment readingOrder="0"/>
    </xf>
    <xf borderId="0" fillId="2" fontId="15" numFmtId="166" xfId="0" applyAlignment="1" applyFont="1" applyNumberFormat="1">
      <alignment horizontal="right" readingOrder="0"/>
    </xf>
    <xf borderId="13" fillId="2" fontId="9" numFmtId="166" xfId="0" applyBorder="1" applyFont="1" applyNumberFormat="1"/>
    <xf borderId="13" fillId="2" fontId="16" numFmtId="166" xfId="0" applyBorder="1" applyFont="1" applyNumberFormat="1"/>
    <xf borderId="0" fillId="0" fontId="15" numFmtId="166" xfId="0" applyAlignment="1" applyFont="1" applyNumberFormat="1">
      <alignment horizontal="right" readingOrder="0" vertical="bottom"/>
    </xf>
    <xf borderId="10" fillId="0" fontId="15" numFmtId="166" xfId="0" applyAlignment="1" applyBorder="1" applyFont="1" applyNumberFormat="1">
      <alignment horizontal="right" readingOrder="0" vertical="bottom"/>
    </xf>
    <xf borderId="10" fillId="2" fontId="15" numFmtId="166" xfId="0" applyAlignment="1" applyBorder="1" applyFont="1" applyNumberFormat="1">
      <alignment horizontal="right" readingOrder="0" shrinkToFit="0" vertical="bottom" wrapText="0"/>
    </xf>
    <xf borderId="10" fillId="0" fontId="9" numFmtId="0" xfId="0" applyAlignment="1" applyBorder="1" applyFont="1">
      <alignment horizontal="left" readingOrder="0" shrinkToFit="0" wrapText="1"/>
    </xf>
    <xf borderId="10" fillId="0" fontId="9" numFmtId="166" xfId="0" applyAlignment="1" applyBorder="1" applyFont="1" applyNumberFormat="1">
      <alignment horizontal="right" readingOrder="0" shrinkToFit="0" vertical="bottom" wrapText="0"/>
    </xf>
    <xf borderId="10" fillId="0" fontId="9" numFmtId="166" xfId="0" applyAlignment="1" applyBorder="1" applyFont="1" applyNumberFormat="1">
      <alignment readingOrder="0" shrinkToFit="0" vertical="bottom" wrapText="0"/>
    </xf>
    <xf borderId="0" fillId="0" fontId="16" numFmtId="166" xfId="0" applyAlignment="1" applyFont="1" applyNumberFormat="1">
      <alignment horizontal="right" readingOrder="0" shrinkToFit="0" vertical="bottom" wrapText="0"/>
    </xf>
    <xf borderId="0" fillId="0" fontId="9" numFmtId="166" xfId="0" applyAlignment="1" applyFont="1" applyNumberFormat="1">
      <alignment horizontal="right" readingOrder="0" shrinkToFit="0" vertical="bottom" wrapText="0"/>
    </xf>
    <xf borderId="11" fillId="2" fontId="9" numFmtId="166" xfId="0" applyAlignment="1" applyBorder="1" applyFont="1" applyNumberFormat="1">
      <alignment horizontal="right"/>
    </xf>
    <xf borderId="22" fillId="0" fontId="18" numFmtId="164" xfId="0" applyBorder="1" applyFont="1" applyNumberFormat="1"/>
    <xf borderId="10" fillId="0" fontId="15" numFmtId="0" xfId="0" applyBorder="1" applyFont="1"/>
    <xf borderId="23" fillId="0" fontId="18" numFmtId="169" xfId="0" applyAlignment="1" applyBorder="1" applyFont="1" applyNumberFormat="1">
      <alignment horizontal="center" shrinkToFit="0" wrapText="1"/>
    </xf>
    <xf borderId="10" fillId="0" fontId="16" numFmtId="166" xfId="0" applyBorder="1" applyFont="1" applyNumberFormat="1"/>
    <xf borderId="10" fillId="0" fontId="9" numFmtId="0" xfId="0" applyBorder="1" applyFont="1"/>
    <xf borderId="10" fillId="0" fontId="18" numFmtId="164" xfId="0" applyAlignment="1" applyBorder="1" applyFont="1" applyNumberFormat="1">
      <alignment horizontal="right" shrinkToFit="0" wrapText="1"/>
    </xf>
    <xf borderId="24" fillId="0" fontId="15" numFmtId="169" xfId="0" applyAlignment="1" applyBorder="1" applyFont="1" applyNumberFormat="1">
      <alignment horizontal="center"/>
    </xf>
    <xf borderId="21" fillId="0" fontId="15" numFmtId="164" xfId="0" applyBorder="1" applyFont="1" applyNumberFormat="1"/>
    <xf borderId="25" fillId="0" fontId="15" numFmtId="0" xfId="0" applyAlignment="1" applyBorder="1" applyFont="1">
      <alignment horizontal="right"/>
    </xf>
    <xf borderId="10" fillId="0" fontId="9" numFmtId="170" xfId="0" applyBorder="1" applyFont="1" applyNumberFormat="1"/>
    <xf borderId="10" fillId="0" fontId="15" numFmtId="164" xfId="0" applyAlignment="1" applyBorder="1" applyFont="1" applyNumberFormat="1">
      <alignment horizontal="right"/>
    </xf>
    <xf borderId="10" fillId="0" fontId="15" numFmtId="166" xfId="0" applyAlignment="1" applyBorder="1" applyFont="1" applyNumberFormat="1">
      <alignment horizontal="right"/>
    </xf>
    <xf borderId="0" fillId="0" fontId="15" numFmtId="166" xfId="0" applyFont="1" applyNumberFormat="1"/>
    <xf borderId="26" fillId="0" fontId="16" numFmtId="171" xfId="0" applyAlignment="1" applyBorder="1" applyFont="1" applyNumberFormat="1">
      <alignment horizontal="right" shrinkToFit="0" wrapText="1"/>
    </xf>
    <xf borderId="10" fillId="0" fontId="15" numFmtId="164" xfId="0" applyAlignment="1" applyBorder="1" applyFont="1" applyNumberFormat="1">
      <alignment horizontal="center" readingOrder="0"/>
    </xf>
    <xf borderId="27" fillId="2" fontId="18" numFmtId="164" xfId="0" applyBorder="1" applyFont="1" applyNumberFormat="1"/>
    <xf borderId="10" fillId="2" fontId="15" numFmtId="4" xfId="0" applyAlignment="1" applyBorder="1" applyFont="1" applyNumberFormat="1">
      <alignment horizontal="right"/>
    </xf>
    <xf borderId="13" fillId="0" fontId="18" numFmtId="164" xfId="0" applyBorder="1" applyFont="1" applyNumberFormat="1"/>
    <xf borderId="10" fillId="0" fontId="18" numFmtId="4" xfId="0" applyAlignment="1" applyBorder="1" applyFont="1" applyNumberFormat="1">
      <alignment horizontal="right"/>
    </xf>
    <xf borderId="28" fillId="0" fontId="15" numFmtId="4" xfId="0" applyAlignment="1" applyBorder="1" applyFont="1" applyNumberFormat="1">
      <alignment horizontal="right"/>
    </xf>
    <xf borderId="10" fillId="0" fontId="16" numFmtId="4" xfId="0" applyAlignment="1" applyBorder="1" applyFont="1" applyNumberFormat="1">
      <alignment readingOrder="0"/>
    </xf>
    <xf borderId="10" fillId="0" fontId="16" numFmtId="4" xfId="0" applyBorder="1" applyFont="1" applyNumberFormat="1"/>
    <xf borderId="10" fillId="0" fontId="9" numFmtId="4" xfId="0" applyBorder="1" applyFont="1" applyNumberFormat="1"/>
    <xf borderId="29" fillId="0" fontId="18" numFmtId="164" xfId="0" applyBorder="1" applyFont="1" applyNumberFormat="1"/>
    <xf borderId="13" fillId="0" fontId="16" numFmtId="0" xfId="0" applyAlignment="1" applyBorder="1" applyFont="1">
      <alignment horizontal="center"/>
    </xf>
    <xf borderId="10" fillId="0" fontId="9" numFmtId="168" xfId="0" applyBorder="1" applyFont="1" applyNumberFormat="1"/>
    <xf borderId="10" fillId="0" fontId="19" numFmtId="164" xfId="0" applyAlignment="1" applyBorder="1" applyFont="1" applyNumberFormat="1">
      <alignment horizontal="right" shrinkToFit="0" wrapText="1"/>
    </xf>
    <xf borderId="10" fillId="0" fontId="18" numFmtId="172" xfId="0" applyAlignment="1" applyBorder="1" applyFont="1" applyNumberFormat="1">
      <alignment horizontal="right" shrinkToFit="0" wrapText="1"/>
    </xf>
    <xf borderId="10" fillId="0" fontId="16" numFmtId="170" xfId="0" applyBorder="1" applyFont="1" applyNumberFormat="1"/>
    <xf borderId="0" fillId="0" fontId="15" numFmtId="0" xfId="0" applyFont="1"/>
    <xf borderId="0" fillId="0" fontId="15" numFmtId="170" xfId="0" applyFont="1" applyNumberFormat="1"/>
    <xf borderId="0" fillId="0" fontId="15" numFmtId="4" xfId="0" applyFont="1" applyNumberFormat="1"/>
    <xf borderId="0" fillId="0" fontId="16" numFmtId="0" xfId="0" applyFont="1"/>
    <xf borderId="0" fillId="0" fontId="9" numFmtId="171" xfId="0" applyAlignment="1" applyFont="1" applyNumberFormat="1">
      <alignment horizontal="right" shrinkToFit="0" wrapText="1"/>
    </xf>
    <xf borderId="1" fillId="2" fontId="15" numFmtId="4" xfId="0" applyBorder="1" applyFont="1" applyNumberFormat="1"/>
    <xf borderId="13" fillId="0" fontId="18" numFmtId="169" xfId="0" applyAlignment="1" applyBorder="1" applyFont="1" applyNumberFormat="1">
      <alignment horizontal="center" shrinkToFit="0" wrapText="1"/>
    </xf>
    <xf borderId="10" fillId="0" fontId="16" numFmtId="0" xfId="0" applyAlignment="1" applyBorder="1" applyFont="1">
      <alignment horizontal="center"/>
    </xf>
    <xf borderId="30" fillId="4" fontId="15" numFmtId="169" xfId="0" applyAlignment="1" applyBorder="1" applyFont="1" applyNumberFormat="1">
      <alignment horizontal="center" shrinkToFit="0" wrapText="1"/>
    </xf>
    <xf borderId="31" fillId="4" fontId="18" numFmtId="164" xfId="0" applyAlignment="1" applyBorder="1" applyFont="1" applyNumberFormat="1">
      <alignment shrinkToFit="0" wrapText="1"/>
    </xf>
    <xf borderId="10" fillId="4" fontId="18" numFmtId="0" xfId="0" applyAlignment="1" applyBorder="1" applyFont="1">
      <alignment horizontal="center" shrinkToFit="0" wrapText="1"/>
    </xf>
    <xf borderId="10" fillId="4" fontId="16" numFmtId="0" xfId="0" applyAlignment="1" applyBorder="1" applyFont="1">
      <alignment horizontal="center"/>
    </xf>
    <xf borderId="28" fillId="0" fontId="9" numFmtId="169" xfId="0" applyAlignment="1" applyBorder="1" applyFont="1" applyNumberFormat="1">
      <alignment horizontal="center" readingOrder="0" shrinkToFit="0" wrapText="1"/>
    </xf>
    <xf borderId="26" fillId="0" fontId="9" numFmtId="164" xfId="0" applyAlignment="1" applyBorder="1" applyFont="1" applyNumberFormat="1">
      <alignment shrinkToFit="0" wrapText="1"/>
    </xf>
    <xf borderId="26" fillId="0" fontId="15" numFmtId="173" xfId="0" applyAlignment="1" applyBorder="1" applyFont="1" applyNumberFormat="1">
      <alignment horizontal="right"/>
    </xf>
    <xf borderId="26" fillId="0" fontId="9" numFmtId="164" xfId="0" applyAlignment="1" applyBorder="1" applyFont="1" applyNumberFormat="1">
      <alignment horizontal="center" shrinkToFit="0" wrapText="1"/>
    </xf>
    <xf borderId="26" fillId="0" fontId="9" numFmtId="173" xfId="0" applyAlignment="1" applyBorder="1" applyFont="1" applyNumberFormat="1">
      <alignment horizontal="right" shrinkToFit="0" wrapText="1"/>
    </xf>
    <xf borderId="26" fillId="0" fontId="9" numFmtId="164" xfId="0" applyAlignment="1" applyBorder="1" applyFont="1" applyNumberFormat="1">
      <alignment horizontal="right" shrinkToFit="0" wrapText="1"/>
    </xf>
    <xf borderId="10" fillId="0" fontId="16" numFmtId="0" xfId="0" applyBorder="1" applyFont="1"/>
    <xf borderId="0" fillId="0" fontId="9" numFmtId="168" xfId="0" applyAlignment="1" applyFont="1" applyNumberFormat="1">
      <alignment horizontal="right" readingOrder="0" shrinkToFit="0" vertical="bottom" wrapText="0"/>
    </xf>
    <xf borderId="28" fillId="0" fontId="15" numFmtId="173" xfId="0" applyAlignment="1" applyBorder="1" applyFont="1" applyNumberFormat="1">
      <alignment horizontal="right"/>
    </xf>
    <xf borderId="26" fillId="0" fontId="15" numFmtId="173" xfId="0" applyAlignment="1" applyBorder="1" applyFont="1" applyNumberFormat="1">
      <alignment horizontal="right" readingOrder="0"/>
    </xf>
    <xf borderId="10" fillId="0" fontId="16" numFmtId="0" xfId="0" applyAlignment="1" applyBorder="1" applyFont="1">
      <alignment horizontal="left"/>
    </xf>
    <xf borderId="24" fillId="0" fontId="16" numFmtId="169" xfId="0" applyAlignment="1" applyBorder="1" applyFont="1" applyNumberFormat="1">
      <alignment horizontal="center" shrinkToFit="0" wrapText="1"/>
    </xf>
    <xf borderId="25" fillId="0" fontId="17" numFmtId="0" xfId="0" applyBorder="1" applyFont="1"/>
    <xf borderId="26" fillId="0" fontId="17" numFmtId="0" xfId="0" applyBorder="1" applyFont="1"/>
    <xf borderId="26" fillId="0" fontId="16" numFmtId="173" xfId="0" applyAlignment="1" applyBorder="1" applyFont="1" applyNumberFormat="1">
      <alignment horizontal="right" shrinkToFit="0" wrapText="1"/>
    </xf>
    <xf borderId="0" fillId="0" fontId="9" numFmtId="168" xfId="0" applyFont="1" applyNumberFormat="1"/>
    <xf borderId="30" fillId="4" fontId="9" numFmtId="169" xfId="0" applyAlignment="1" applyBorder="1" applyFont="1" applyNumberFormat="1">
      <alignment horizontal="center" shrinkToFit="0" wrapText="1"/>
    </xf>
    <xf borderId="31" fillId="4" fontId="16" numFmtId="164" xfId="0" applyAlignment="1" applyBorder="1" applyFont="1" applyNumberFormat="1">
      <alignment shrinkToFit="0" wrapText="1"/>
    </xf>
    <xf borderId="10" fillId="4" fontId="18" numFmtId="0" xfId="0" applyAlignment="1" applyBorder="1" applyFont="1">
      <alignment horizontal="center"/>
    </xf>
    <xf borderId="32" fillId="4" fontId="18" numFmtId="0" xfId="0" applyAlignment="1" applyBorder="1" applyFont="1">
      <alignment horizontal="center"/>
    </xf>
    <xf borderId="28" fillId="0" fontId="9" numFmtId="169" xfId="0" applyAlignment="1" applyBorder="1" applyFont="1" applyNumberFormat="1">
      <alignment horizontal="center" shrinkToFit="0" wrapText="1"/>
    </xf>
    <xf borderId="33" fillId="2" fontId="9" numFmtId="168" xfId="0" applyAlignment="1" applyBorder="1" applyFont="1" applyNumberFormat="1">
      <alignment horizontal="right" readingOrder="0"/>
    </xf>
    <xf borderId="10" fillId="0" fontId="15" numFmtId="168" xfId="0" applyAlignment="1" applyBorder="1" applyFont="1" applyNumberFormat="1">
      <alignment horizontal="right"/>
    </xf>
    <xf borderId="25" fillId="0" fontId="15" numFmtId="164" xfId="0" applyAlignment="1" applyBorder="1" applyFont="1" applyNumberFormat="1">
      <alignment horizontal="right" shrinkToFit="0" wrapText="1"/>
    </xf>
    <xf borderId="10" fillId="0" fontId="9" numFmtId="164" xfId="0" applyAlignment="1" applyBorder="1" applyFont="1" applyNumberFormat="1">
      <alignment horizontal="center" shrinkToFit="0" wrapText="1"/>
    </xf>
    <xf borderId="10" fillId="0" fontId="9" numFmtId="173" xfId="0" applyAlignment="1" applyBorder="1" applyFont="1" applyNumberFormat="1">
      <alignment horizontal="center"/>
    </xf>
    <xf borderId="10" fillId="0" fontId="9" numFmtId="0" xfId="0" applyAlignment="1" applyBorder="1" applyFont="1">
      <alignment horizontal="center"/>
    </xf>
    <xf borderId="10" fillId="0" fontId="9" numFmtId="164" xfId="0" applyAlignment="1" applyBorder="1" applyFont="1" applyNumberFormat="1">
      <alignment shrinkToFit="0" wrapText="1"/>
    </xf>
    <xf borderId="24" fillId="0" fontId="9" numFmtId="169" xfId="0" applyAlignment="1" applyBorder="1" applyFont="1" applyNumberFormat="1">
      <alignment horizontal="left" shrinkToFit="0" wrapText="1"/>
    </xf>
    <xf borderId="10" fillId="0" fontId="9" numFmtId="174" xfId="0" applyAlignment="1" applyBorder="1" applyFont="1" applyNumberFormat="1">
      <alignment horizontal="center" readingOrder="0"/>
    </xf>
    <xf borderId="10" fillId="0" fontId="16" numFmtId="168" xfId="0" applyAlignment="1" applyBorder="1" applyFont="1" applyNumberFormat="1">
      <alignment horizontal="right" shrinkToFit="0" wrapText="1"/>
    </xf>
    <xf borderId="13" fillId="0" fontId="15" numFmtId="164" xfId="0" applyAlignment="1" applyBorder="1" applyFont="1" applyNumberFormat="1">
      <alignment horizontal="right" shrinkToFit="0" wrapText="1"/>
    </xf>
    <xf borderId="10" fillId="0" fontId="16" numFmtId="168" xfId="0" applyAlignment="1" applyBorder="1" applyFont="1" applyNumberFormat="1">
      <alignment horizontal="center" shrinkToFit="0" wrapText="1"/>
    </xf>
    <xf borderId="0" fillId="0" fontId="9" numFmtId="168" xfId="0" applyFont="1" applyNumberFormat="1"/>
    <xf borderId="0" fillId="0" fontId="16" numFmtId="0" xfId="0" applyAlignment="1" applyFont="1">
      <alignment horizontal="center" shrinkToFit="0" wrapText="1"/>
    </xf>
    <xf borderId="34" fillId="4" fontId="16" numFmtId="0" xfId="0" applyAlignment="1" applyBorder="1" applyFont="1">
      <alignment horizontal="center" shrinkToFit="0" wrapText="1"/>
    </xf>
    <xf borderId="0" fillId="0" fontId="9" numFmtId="168" xfId="0" applyAlignment="1" applyFont="1" applyNumberFormat="1">
      <alignment horizontal="right" readingOrder="0" shrinkToFit="0" vertical="bottom" wrapText="0"/>
    </xf>
    <xf borderId="0" fillId="0" fontId="9" numFmtId="0" xfId="0" applyFont="1"/>
    <xf borderId="28" fillId="0" fontId="9" numFmtId="0" xfId="0" applyAlignment="1" applyBorder="1" applyFont="1">
      <alignment shrinkToFit="0" wrapText="1"/>
    </xf>
    <xf borderId="26" fillId="0" fontId="9" numFmtId="175" xfId="0" applyAlignment="1" applyBorder="1" applyFont="1" applyNumberFormat="1">
      <alignment horizontal="right" shrinkToFit="0" wrapText="1"/>
    </xf>
    <xf borderId="26" fillId="0" fontId="9" numFmtId="4" xfId="0" applyAlignment="1" applyBorder="1" applyFont="1" applyNumberFormat="1">
      <alignment horizontal="center" shrinkToFit="0" wrapText="1"/>
    </xf>
    <xf borderId="10" fillId="0" fontId="9" numFmtId="4" xfId="0" applyAlignment="1" applyBorder="1" applyFont="1" applyNumberFormat="1">
      <alignment horizontal="right" shrinkToFit="0" wrapText="1"/>
    </xf>
    <xf borderId="26" fillId="0" fontId="9" numFmtId="176" xfId="0" applyAlignment="1" applyBorder="1" applyFont="1" applyNumberFormat="1">
      <alignment horizontal="right" shrinkToFit="0" wrapText="1"/>
    </xf>
    <xf borderId="13" fillId="0" fontId="9" numFmtId="164" xfId="0" applyAlignment="1" applyBorder="1" applyFont="1" applyNumberFormat="1">
      <alignment horizontal="center"/>
    </xf>
    <xf borderId="26" fillId="0" fontId="9" numFmtId="171" xfId="0" applyAlignment="1" applyBorder="1" applyFont="1" applyNumberFormat="1">
      <alignment horizontal="right" shrinkToFit="0" wrapText="1"/>
    </xf>
    <xf borderId="24" fillId="0" fontId="9" numFmtId="4" xfId="0" applyAlignment="1" applyBorder="1" applyFont="1" applyNumberFormat="1">
      <alignment horizontal="center" shrinkToFit="0" wrapText="1"/>
    </xf>
    <xf borderId="0" fillId="0" fontId="9" numFmtId="4" xfId="0" applyAlignment="1" applyFont="1" applyNumberFormat="1">
      <alignment horizontal="right" readingOrder="0" shrinkToFit="0" vertical="bottom" wrapText="0"/>
    </xf>
    <xf borderId="24" fillId="0" fontId="16" numFmtId="0" xfId="0" applyAlignment="1" applyBorder="1" applyFont="1">
      <alignment horizontal="center" shrinkToFit="0" wrapText="1"/>
    </xf>
    <xf borderId="10" fillId="0" fontId="16" numFmtId="4" xfId="0" applyAlignment="1" applyBorder="1" applyFont="1" applyNumberFormat="1">
      <alignment horizontal="right" shrinkToFit="0" wrapText="1"/>
    </xf>
    <xf borderId="1" fillId="2" fontId="20" numFmtId="0" xfId="0" applyBorder="1" applyFont="1"/>
    <xf borderId="0" fillId="0" fontId="20" numFmtId="0" xfId="0" applyFont="1"/>
    <xf borderId="10" fillId="2" fontId="20" numFmtId="0" xfId="0" applyBorder="1" applyFont="1"/>
    <xf borderId="0" fillId="0" fontId="20" numFmtId="0" xfId="0" applyFont="1"/>
    <xf borderId="13" fillId="2" fontId="21" numFmtId="0" xfId="0" applyAlignment="1" applyBorder="1" applyFont="1">
      <alignment horizontal="center" readingOrder="0"/>
    </xf>
    <xf borderId="29" fillId="2" fontId="21" numFmtId="0" xfId="0" applyAlignment="1" applyBorder="1" applyFont="1">
      <alignment shrinkToFit="0" wrapText="1"/>
    </xf>
    <xf borderId="35" fillId="2" fontId="21" numFmtId="0" xfId="0" applyAlignment="1" applyBorder="1" applyFont="1">
      <alignment horizontal="center"/>
    </xf>
    <xf borderId="10" fillId="2" fontId="21" numFmtId="0" xfId="0" applyAlignment="1" applyBorder="1" applyFont="1">
      <alignment horizontal="right"/>
    </xf>
    <xf borderId="10" fillId="2" fontId="21" numFmtId="0" xfId="0" applyAlignment="1" applyBorder="1" applyFont="1">
      <alignment horizontal="center"/>
    </xf>
    <xf borderId="11" fillId="2" fontId="20" numFmtId="0" xfId="0" applyBorder="1" applyFont="1"/>
    <xf borderId="10" fillId="0" fontId="0" numFmtId="0" xfId="0" applyAlignment="1" applyBorder="1" applyFont="1">
      <alignment shrinkToFit="0" vertical="bottom" wrapText="0"/>
    </xf>
    <xf borderId="10" fillId="0" fontId="0" numFmtId="4" xfId="0" applyAlignment="1" applyBorder="1" applyFont="1" applyNumberFormat="1">
      <alignment horizontal="right" shrinkToFit="0" vertical="bottom" wrapText="0"/>
    </xf>
    <xf borderId="10" fillId="2" fontId="20" numFmtId="10" xfId="0" applyAlignment="1" applyBorder="1" applyFont="1" applyNumberFormat="1">
      <alignment horizontal="right"/>
    </xf>
    <xf borderId="36" fillId="2" fontId="20" numFmtId="0" xfId="0" applyBorder="1" applyFont="1"/>
    <xf borderId="10" fillId="2" fontId="20" numFmtId="0" xfId="0" applyAlignment="1" applyBorder="1" applyFont="1">
      <alignment readingOrder="0"/>
    </xf>
    <xf borderId="10" fillId="2" fontId="0" numFmtId="173" xfId="0" applyAlignment="1" applyBorder="1" applyFont="1" applyNumberFormat="1">
      <alignment horizontal="right"/>
    </xf>
    <xf borderId="10" fillId="2" fontId="20" numFmtId="4" xfId="0" applyAlignment="1" applyBorder="1" applyFont="1" applyNumberFormat="1">
      <alignment horizontal="center"/>
    </xf>
    <xf borderId="10" fillId="2" fontId="20" numFmtId="4" xfId="0" applyAlignment="1" applyBorder="1" applyFont="1" applyNumberFormat="1">
      <alignment horizontal="right"/>
    </xf>
    <xf borderId="10" fillId="2" fontId="0" numFmtId="168" xfId="0" applyAlignment="1" applyBorder="1" applyFont="1" applyNumberFormat="1">
      <alignment horizontal="right"/>
    </xf>
    <xf borderId="10" fillId="2" fontId="20" numFmtId="164" xfId="0" applyAlignment="1" applyBorder="1" applyFont="1" applyNumberFormat="1">
      <alignment horizontal="center"/>
    </xf>
    <xf borderId="10" fillId="0" fontId="0" numFmtId="0" xfId="0" applyAlignment="1" applyBorder="1" applyFont="1">
      <alignment readingOrder="0" shrinkToFit="0" vertical="bottom" wrapText="0"/>
    </xf>
    <xf borderId="37" fillId="0" fontId="20" numFmtId="171" xfId="0" applyAlignment="1" applyBorder="1" applyFont="1" applyNumberFormat="1">
      <alignment horizontal="right" shrinkToFit="0" wrapText="1"/>
    </xf>
    <xf borderId="10" fillId="0" fontId="20" numFmtId="164" xfId="0" applyAlignment="1" applyBorder="1" applyFont="1" applyNumberFormat="1">
      <alignment horizontal="center"/>
    </xf>
    <xf borderId="10" fillId="2" fontId="21" numFmtId="0" xfId="0" applyBorder="1" applyFont="1"/>
    <xf borderId="10" fillId="2" fontId="21" numFmtId="4" xfId="0" applyAlignment="1" applyBorder="1" applyFont="1" applyNumberFormat="1">
      <alignment horizontal="right"/>
    </xf>
    <xf borderId="10" fillId="0" fontId="5" numFmtId="0" xfId="0" applyAlignment="1" applyBorder="1" applyFont="1">
      <alignment readingOrder="0"/>
    </xf>
    <xf borderId="10" fillId="0" fontId="5" numFmtId="4" xfId="0" applyBorder="1" applyFont="1" applyNumberFormat="1"/>
    <xf borderId="10" fillId="0" fontId="20" numFmtId="0" xfId="0" applyBorder="1" applyFont="1"/>
    <xf borderId="10" fillId="0" fontId="20" numFmtId="0" xfId="0" applyAlignment="1" applyBorder="1" applyFont="1">
      <alignment horizontal="right"/>
    </xf>
    <xf borderId="10" fillId="2" fontId="21" numFmtId="0" xfId="0" applyAlignment="1" applyBorder="1" applyFont="1">
      <alignment shrinkToFit="0" wrapText="1"/>
    </xf>
    <xf borderId="29" fillId="2" fontId="21" numFmtId="0" xfId="0" applyBorder="1" applyFont="1"/>
    <xf borderId="10" fillId="0" fontId="20" numFmtId="4" xfId="0" applyAlignment="1" applyBorder="1" applyFont="1" applyNumberFormat="1">
      <alignment horizontal="right"/>
    </xf>
    <xf borderId="10" fillId="2" fontId="20" numFmtId="0" xfId="0" applyAlignment="1" applyBorder="1" applyFont="1">
      <alignment shrinkToFit="0" wrapText="1"/>
    </xf>
    <xf borderId="10" fillId="2" fontId="20" numFmtId="10" xfId="0" applyAlignment="1" applyBorder="1" applyFont="1" applyNumberFormat="1">
      <alignment horizontal="right" readingOrder="0"/>
    </xf>
    <xf borderId="10" fillId="0" fontId="20" numFmtId="4" xfId="0" applyAlignment="1" applyBorder="1" applyFont="1" applyNumberFormat="1">
      <alignment horizontal="right" shrinkToFit="0" vertical="bottom" wrapText="0"/>
    </xf>
    <xf borderId="10" fillId="0" fontId="0" numFmtId="4" xfId="0" applyAlignment="1" applyBorder="1" applyFont="1" applyNumberFormat="1">
      <alignment shrinkToFit="0" vertical="bottom" wrapText="0"/>
    </xf>
    <xf borderId="10" fillId="0" fontId="0" numFmtId="167" xfId="0" applyAlignment="1" applyBorder="1" applyFont="1" applyNumberFormat="1">
      <alignment horizontal="right" shrinkToFit="0" vertical="bottom" wrapText="0"/>
    </xf>
    <xf borderId="10" fillId="0" fontId="20" numFmtId="0" xfId="0" applyAlignment="1" applyBorder="1" applyFont="1">
      <alignment readingOrder="0"/>
    </xf>
    <xf borderId="10" fillId="0" fontId="20" numFmtId="4" xfId="0" applyBorder="1" applyFont="1" applyNumberFormat="1"/>
    <xf borderId="10" fillId="0" fontId="20" numFmtId="0" xfId="0" applyBorder="1" applyFont="1"/>
    <xf borderId="10" fillId="2" fontId="0" numFmtId="0" xfId="0" applyBorder="1" applyFont="1"/>
    <xf borderId="34" fillId="2" fontId="21" numFmtId="164" xfId="0" applyAlignment="1" applyBorder="1" applyFont="1" applyNumberFormat="1">
      <alignment horizontal="right"/>
    </xf>
    <xf borderId="10" fillId="2" fontId="21" numFmtId="10" xfId="0" applyAlignment="1" applyBorder="1" applyFont="1" applyNumberFormat="1">
      <alignment horizontal="right"/>
    </xf>
    <xf borderId="10" fillId="0" fontId="22" numFmtId="164" xfId="0" applyBorder="1" applyFont="1" applyNumberFormat="1"/>
    <xf borderId="30" fillId="2" fontId="21" numFmtId="0" xfId="0" applyBorder="1" applyFont="1"/>
    <xf borderId="10" fillId="2" fontId="21" numFmtId="4" xfId="0" applyBorder="1" applyFont="1" applyNumberFormat="1"/>
    <xf borderId="29" fillId="2" fontId="20" numFmtId="4" xfId="0" applyAlignment="1" applyBorder="1" applyFont="1" applyNumberFormat="1">
      <alignment horizontal="right"/>
    </xf>
    <xf borderId="10" fillId="2" fontId="21" numFmtId="164" xfId="0" applyBorder="1" applyFont="1" applyNumberFormat="1"/>
    <xf borderId="10" fillId="2" fontId="23" numFmtId="0" xfId="0" applyBorder="1" applyFont="1"/>
    <xf borderId="10" fillId="2" fontId="23" numFmtId="4" xfId="0" applyBorder="1" applyFont="1" applyNumberFormat="1"/>
    <xf borderId="0" fillId="2" fontId="20" numFmtId="0" xfId="0" applyFont="1"/>
    <xf borderId="10" fillId="2" fontId="21" numFmtId="0" xfId="0" applyAlignment="1" applyBorder="1" applyFont="1">
      <alignment readingOrder="0"/>
    </xf>
    <xf borderId="10" fillId="2" fontId="24" numFmtId="0" xfId="0" applyAlignment="1" applyBorder="1" applyFont="1">
      <alignment horizontal="left"/>
    </xf>
    <xf borderId="10" fillId="2" fontId="24" numFmtId="0" xfId="0" applyAlignment="1" applyBorder="1" applyFont="1">
      <alignment horizontal="right"/>
    </xf>
    <xf borderId="10" fillId="2" fontId="24" numFmtId="0" xfId="0" applyAlignment="1" applyBorder="1" applyFont="1">
      <alignment horizontal="center"/>
    </xf>
    <xf borderId="10" fillId="2" fontId="25" numFmtId="0" xfId="0" applyBorder="1" applyFont="1"/>
    <xf borderId="10" fillId="2" fontId="25" numFmtId="168" xfId="0" applyAlignment="1" applyBorder="1" applyFont="1" applyNumberFormat="1">
      <alignment horizontal="right"/>
    </xf>
    <xf borderId="10" fillId="2" fontId="25" numFmtId="164" xfId="0" applyAlignment="1" applyBorder="1" applyFont="1" applyNumberFormat="1">
      <alignment horizontal="right"/>
    </xf>
    <xf borderId="10" fillId="2" fontId="20" numFmtId="4" xfId="0" applyBorder="1" applyFont="1" applyNumberFormat="1"/>
    <xf borderId="33" fillId="2" fontId="25" numFmtId="0" xfId="0" applyBorder="1" applyFont="1"/>
    <xf borderId="33" fillId="2" fontId="25" numFmtId="0" xfId="0" applyAlignment="1" applyBorder="1" applyFont="1">
      <alignment horizontal="right"/>
    </xf>
    <xf borderId="33" fillId="2" fontId="25" numFmtId="164" xfId="0" applyAlignment="1" applyBorder="1" applyFont="1" applyNumberFormat="1">
      <alignment horizontal="right"/>
    </xf>
    <xf borderId="33" fillId="2" fontId="0" numFmtId="4" xfId="0" applyBorder="1" applyFont="1" applyNumberFormat="1"/>
    <xf borderId="10" fillId="2" fontId="24" numFmtId="0" xfId="0" applyBorder="1" applyFont="1"/>
    <xf borderId="13" fillId="0" fontId="21" numFmtId="0" xfId="0" applyAlignment="1" applyBorder="1" applyFont="1">
      <alignment horizontal="center"/>
    </xf>
    <xf borderId="38" fillId="0" fontId="21" numFmtId="0" xfId="0" applyAlignment="1" applyBorder="1" applyFont="1">
      <alignment horizontal="center"/>
    </xf>
    <xf borderId="10" fillId="0" fontId="21" numFmtId="0" xfId="0" applyAlignment="1" applyBorder="1" applyFont="1">
      <alignment horizontal="center"/>
    </xf>
    <xf borderId="10" fillId="0" fontId="3" numFmtId="167" xfId="0" applyAlignment="1" applyBorder="1" applyFont="1" applyNumberFormat="1">
      <alignment vertical="bottom"/>
    </xf>
    <xf borderId="10" fillId="2" fontId="12" numFmtId="4" xfId="0" applyAlignment="1" applyBorder="1" applyFont="1" applyNumberFormat="1">
      <alignment horizontal="right" readingOrder="0" shrinkToFit="0" vertical="bottom" wrapText="0"/>
    </xf>
    <xf borderId="10" fillId="0" fontId="3" numFmtId="4" xfId="0" applyAlignment="1" applyBorder="1" applyFont="1" applyNumberFormat="1">
      <alignment vertical="bottom"/>
    </xf>
    <xf borderId="38" fillId="2" fontId="0" numFmtId="0" xfId="0" applyAlignment="1" applyBorder="1" applyFont="1">
      <alignment shrinkToFit="0" wrapText="1"/>
    </xf>
    <xf borderId="10" fillId="0" fontId="3" numFmtId="177" xfId="0" applyAlignment="1" applyBorder="1" applyFont="1" applyNumberFormat="1">
      <alignment vertical="bottom"/>
    </xf>
    <xf borderId="10" fillId="0" fontId="3" numFmtId="168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38" fillId="2" fontId="20" numFmtId="0" xfId="0" applyBorder="1" applyFont="1"/>
    <xf borderId="10" fillId="2" fontId="26" numFmtId="0" xfId="0" applyAlignment="1" applyBorder="1" applyFont="1">
      <alignment vertical="bottom"/>
    </xf>
    <xf borderId="26" fillId="2" fontId="26" numFmtId="0" xfId="0" applyAlignment="1" applyBorder="1" applyFont="1">
      <alignment vertical="bottom"/>
    </xf>
    <xf borderId="10" fillId="2" fontId="26" numFmtId="0" xfId="0" applyAlignment="1" applyBorder="1" applyFont="1">
      <alignment vertical="bottom"/>
    </xf>
    <xf borderId="38" fillId="0" fontId="20" numFmtId="0" xfId="0" applyBorder="1" applyFont="1"/>
    <xf borderId="10" fillId="0" fontId="3" numFmtId="0" xfId="0" applyAlignment="1" applyBorder="1" applyFont="1">
      <alignment vertical="bottom"/>
    </xf>
    <xf borderId="10" fillId="2" fontId="26" numFmtId="0" xfId="0" applyAlignment="1" applyBorder="1" applyFont="1">
      <alignment vertical="bottom"/>
    </xf>
    <xf borderId="10" fillId="2" fontId="26" numFmtId="4" xfId="0" applyAlignment="1" applyBorder="1" applyFont="1" applyNumberFormat="1">
      <alignment vertical="bottom"/>
    </xf>
    <xf borderId="10" fillId="0" fontId="27" numFmtId="0" xfId="0" applyAlignment="1" applyBorder="1" applyFont="1">
      <alignment vertical="bottom"/>
    </xf>
    <xf borderId="10" fillId="0" fontId="12" numFmtId="4" xfId="0" applyAlignment="1" applyBorder="1" applyFont="1" applyNumberFormat="1">
      <alignment horizontal="right" readingOrder="0" shrinkToFit="0" vertical="bottom" wrapText="0"/>
    </xf>
    <xf borderId="10" fillId="2" fontId="28" numFmtId="0" xfId="0" applyAlignment="1" applyBorder="1" applyFont="1">
      <alignment vertical="bottom"/>
    </xf>
    <xf borderId="10" fillId="0" fontId="12" numFmtId="4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10" fillId="0" fontId="9" numFmtId="0" xfId="0" applyAlignment="1" applyBorder="1" applyFont="1">
      <alignment readingOrder="0"/>
    </xf>
    <xf borderId="0" fillId="0" fontId="5" numFmtId="4" xfId="0" applyAlignment="1" applyFont="1" applyNumberFormat="1">
      <alignment readingOrder="0"/>
    </xf>
    <xf borderId="10" fillId="0" fontId="21" numFmtId="4" xfId="0" applyBorder="1" applyFont="1" applyNumberFormat="1"/>
    <xf borderId="13" fillId="4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shrinkToFit="0" wrapText="1"/>
    </xf>
    <xf borderId="22" fillId="0" fontId="6" numFmtId="0" xfId="0" applyAlignment="1" applyBorder="1" applyFont="1">
      <alignment horizontal="center" shrinkToFit="0" wrapText="1"/>
    </xf>
    <xf borderId="22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/>
    </xf>
    <xf borderId="0" fillId="0" fontId="12" numFmtId="168" xfId="0" applyAlignment="1" applyFont="1" applyNumberFormat="1">
      <alignment horizontal="right" readingOrder="0" shrinkToFit="0" vertical="bottom" wrapText="0"/>
    </xf>
    <xf borderId="10" fillId="0" fontId="1" numFmtId="0" xfId="0" applyBorder="1" applyFont="1"/>
    <xf borderId="10" fillId="0" fontId="1" numFmtId="173" xfId="0" applyBorder="1" applyFont="1" applyNumberFormat="1"/>
    <xf borderId="10" fillId="0" fontId="1" numFmtId="4" xfId="0" applyAlignment="1" applyBorder="1" applyFont="1" applyNumberFormat="1">
      <alignment horizontal="right"/>
    </xf>
    <xf borderId="26" fillId="0" fontId="1" numFmtId="4" xfId="0" applyAlignment="1" applyBorder="1" applyFont="1" applyNumberFormat="1">
      <alignment horizontal="right" shrinkToFit="0" wrapText="1"/>
    </xf>
    <xf borderId="10" fillId="0" fontId="1" numFmtId="4" xfId="0" applyAlignment="1" applyBorder="1" applyFont="1" applyNumberFormat="1">
      <alignment horizontal="center"/>
    </xf>
    <xf borderId="0" fillId="0" fontId="12" numFmtId="168" xfId="0" applyAlignment="1" applyFont="1" applyNumberFormat="1">
      <alignment shrinkToFit="0" vertical="bottom" wrapText="0"/>
    </xf>
    <xf borderId="10" fillId="0" fontId="1" numFmtId="168" xfId="0" applyAlignment="1" applyBorder="1" applyFont="1" applyNumberFormat="1">
      <alignment horizontal="right"/>
    </xf>
    <xf borderId="26" fillId="0" fontId="1" numFmtId="171" xfId="0" applyAlignment="1" applyBorder="1" applyFont="1" applyNumberFormat="1">
      <alignment horizontal="right" shrinkToFit="0" wrapText="1"/>
    </xf>
    <xf borderId="10" fillId="0" fontId="1" numFmtId="164" xfId="0" applyAlignment="1" applyBorder="1" applyFont="1" applyNumberFormat="1">
      <alignment horizontal="center"/>
    </xf>
    <xf borderId="0" fillId="0" fontId="12" numFmtId="168" xfId="0" applyAlignment="1" applyFont="1" applyNumberFormat="1">
      <alignment horizontal="right" readingOrder="0" shrinkToFit="0" vertical="bottom" wrapText="0"/>
    </xf>
    <xf borderId="24" fillId="0" fontId="1" numFmtId="4" xfId="0" applyAlignment="1" applyBorder="1" applyFont="1" applyNumberFormat="1">
      <alignment horizontal="center" shrinkToFit="0" wrapText="1"/>
    </xf>
    <xf borderId="0" fillId="0" fontId="12" numFmtId="178" xfId="0" applyAlignment="1" applyFont="1" applyNumberFormat="1">
      <alignment horizontal="right" readingOrder="0" shrinkToFit="0" vertical="bottom" wrapText="0"/>
    </xf>
    <xf borderId="10" fillId="0" fontId="1" numFmtId="0" xfId="0" applyAlignment="1" applyBorder="1" applyFont="1">
      <alignment horizontal="left"/>
    </xf>
    <xf borderId="13" fillId="0" fontId="6" numFmtId="0" xfId="0" applyAlignment="1" applyBorder="1" applyFont="1">
      <alignment horizontal="center"/>
    </xf>
    <xf borderId="10" fillId="0" fontId="6" numFmtId="173" xfId="0" applyAlignment="1" applyBorder="1" applyFont="1" applyNumberFormat="1">
      <alignment horizontal="center"/>
    </xf>
    <xf borderId="10" fillId="0" fontId="6" numFmtId="168" xfId="0" applyAlignment="1" applyBorder="1" applyFont="1" applyNumberFormat="1">
      <alignment horizontal="right"/>
    </xf>
    <xf borderId="10" fillId="0" fontId="6" numFmtId="171" xfId="0" applyBorder="1" applyFont="1" applyNumberFormat="1"/>
    <xf borderId="10" fillId="0" fontId="6" numFmtId="173" xfId="0" applyBorder="1" applyFont="1" applyNumberFormat="1"/>
    <xf borderId="1" fillId="2" fontId="1" numFmtId="168" xfId="0" applyAlignment="1" applyBorder="1" applyFont="1" applyNumberFormat="1">
      <alignment horizontal="right"/>
    </xf>
    <xf borderId="0" fillId="0" fontId="1" numFmtId="4" xfId="0" applyFont="1" applyNumberFormat="1"/>
    <xf borderId="0" fillId="0" fontId="1" numFmtId="168" xfId="0" applyAlignment="1" applyFont="1" applyNumberFormat="1">
      <alignment readingOrder="0"/>
    </xf>
    <xf borderId="0" fillId="0" fontId="1" numFmtId="168" xfId="0" applyFont="1" applyNumberFormat="1"/>
    <xf borderId="13" fillId="4" fontId="6" numFmtId="0" xfId="0" applyAlignment="1" applyBorder="1" applyFont="1">
      <alignment horizontal="center"/>
    </xf>
    <xf borderId="28" fillId="0" fontId="6" numFmtId="0" xfId="0" applyAlignment="1" applyBorder="1" applyFont="1">
      <alignment horizontal="center"/>
    </xf>
    <xf borderId="26" fillId="0" fontId="6" numFmtId="0" xfId="0" applyAlignment="1" applyBorder="1" applyFont="1">
      <alignment horizontal="center"/>
    </xf>
    <xf borderId="10" fillId="0" fontId="1" numFmtId="0" xfId="0" applyAlignment="1" applyBorder="1" applyFont="1">
      <alignment readingOrder="0"/>
    </xf>
    <xf borderId="0" fillId="0" fontId="1" numFmtId="168" xfId="0" applyFont="1" applyNumberFormat="1"/>
    <xf borderId="28" fillId="0" fontId="1" numFmtId="0" xfId="0" applyBorder="1" applyFont="1"/>
    <xf borderId="26" fillId="0" fontId="1" numFmtId="168" xfId="0" applyAlignment="1" applyBorder="1" applyFont="1" applyNumberFormat="1">
      <alignment horizontal="right"/>
    </xf>
    <xf borderId="10" fillId="0" fontId="2" numFmtId="168" xfId="0" applyAlignment="1" applyBorder="1" applyFont="1" applyNumberFormat="1">
      <alignment horizontal="right" readingOrder="0"/>
    </xf>
    <xf borderId="26" fillId="0" fontId="1" numFmtId="0" xfId="0" applyBorder="1" applyFont="1"/>
    <xf borderId="0" fillId="0" fontId="4" numFmtId="168" xfId="0" applyAlignment="1" applyFont="1" applyNumberFormat="1">
      <alignment horizontal="right" readingOrder="0" shrinkToFit="0" vertical="bottom" wrapText="0"/>
    </xf>
    <xf borderId="10" fillId="0" fontId="1" numFmtId="168" xfId="0" applyBorder="1" applyFont="1" applyNumberFormat="1"/>
    <xf borderId="10" fillId="0" fontId="1" numFmtId="168" xfId="0" applyBorder="1" applyFont="1" applyNumberFormat="1"/>
    <xf borderId="0" fillId="0" fontId="1" numFmtId="0" xfId="0" applyAlignment="1" applyFont="1">
      <alignment vertical="center"/>
    </xf>
    <xf borderId="10" fillId="0" fontId="20" numFmtId="168" xfId="0" applyAlignment="1" applyBorder="1" applyFont="1" applyNumberFormat="1">
      <alignment horizontal="right" readingOrder="0"/>
    </xf>
    <xf borderId="26" fillId="0" fontId="1" numFmtId="0" xfId="0" applyAlignment="1" applyBorder="1" applyFont="1">
      <alignment shrinkToFit="0" vertical="center" wrapText="1"/>
    </xf>
    <xf borderId="10" fillId="0" fontId="1" numFmtId="168" xfId="0" applyAlignment="1" applyBorder="1" applyFont="1" applyNumberFormat="1">
      <alignment horizontal="right" readingOrder="0"/>
    </xf>
    <xf borderId="10" fillId="0" fontId="1" numFmtId="168" xfId="0" applyAlignment="1" applyBorder="1" applyFont="1" applyNumberFormat="1">
      <alignment readingOrder="0"/>
    </xf>
    <xf borderId="26" fillId="0" fontId="1" numFmtId="174" xfId="0" applyAlignment="1" applyBorder="1" applyFont="1" applyNumberFormat="1">
      <alignment readingOrder="0"/>
    </xf>
    <xf borderId="0" fillId="0" fontId="4" numFmtId="4" xfId="0" applyAlignment="1" applyFont="1" applyNumberFormat="1">
      <alignment horizontal="right" readingOrder="0" shrinkToFit="0" vertical="bottom" wrapText="0"/>
    </xf>
    <xf borderId="31" fillId="2" fontId="6" numFmtId="168" xfId="0" applyAlignment="1" applyBorder="1" applyFont="1" applyNumberFormat="1">
      <alignment horizontal="right"/>
    </xf>
    <xf borderId="39" fillId="2" fontId="6" numFmtId="168" xfId="0" applyAlignment="1" applyBorder="1" applyFont="1" applyNumberFormat="1">
      <alignment horizontal="right"/>
    </xf>
    <xf borderId="29" fillId="0" fontId="1" numFmtId="0" xfId="0" applyBorder="1" applyFont="1"/>
    <xf borderId="23" fillId="0" fontId="1" numFmtId="0" xfId="0" applyBorder="1" applyFont="1"/>
    <xf borderId="23" fillId="0" fontId="2" numFmtId="164" xfId="0" applyAlignment="1" applyBorder="1" applyFont="1" applyNumberFormat="1">
      <alignment horizontal="center"/>
    </xf>
    <xf borderId="0" fillId="0" fontId="1" numFmtId="173" xfId="0" applyAlignment="1" applyFont="1" applyNumberFormat="1">
      <alignment horizontal="right" shrinkToFit="0" wrapText="1"/>
    </xf>
    <xf borderId="0" fillId="0" fontId="2" numFmtId="168" xfId="0" applyAlignment="1" applyFont="1" applyNumberFormat="1">
      <alignment horizontal="right"/>
    </xf>
    <xf borderId="10" fillId="0" fontId="2" numFmtId="168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horizontal="center"/>
    </xf>
    <xf borderId="10" fillId="0" fontId="2" numFmtId="173" xfId="0" applyAlignment="1" applyBorder="1" applyFont="1" applyNumberFormat="1">
      <alignment horizontal="left"/>
    </xf>
    <xf borderId="10" fillId="0" fontId="6" numFmtId="0" xfId="0" applyBorder="1" applyFont="1"/>
    <xf borderId="10" fillId="0" fontId="6" numFmtId="168" xfId="0" applyBorder="1" applyFont="1" applyNumberFormat="1"/>
    <xf borderId="10" fillId="0" fontId="11" numFmtId="168" xfId="0" applyAlignment="1" applyBorder="1" applyFont="1" applyNumberFormat="1">
      <alignment horizontal="center"/>
    </xf>
    <xf borderId="10" fillId="0" fontId="2" numFmtId="173" xfId="0" applyBorder="1" applyFont="1" applyNumberFormat="1"/>
    <xf borderId="23" fillId="0" fontId="2" numFmtId="168" xfId="0" applyAlignment="1" applyBorder="1" applyFont="1" applyNumberFormat="1">
      <alignment horizontal="right"/>
    </xf>
    <xf borderId="0" fillId="0" fontId="1" numFmtId="168" xfId="0" applyAlignment="1" applyFont="1" applyNumberFormat="1">
      <alignment horizontal="right"/>
    </xf>
    <xf borderId="40" fillId="0" fontId="17" numFmtId="0" xfId="0" applyBorder="1" applyFont="1"/>
    <xf borderId="10" fillId="0" fontId="1" numFmtId="166" xfId="0" applyAlignment="1" applyBorder="1" applyFont="1" applyNumberFormat="1">
      <alignment horizontal="right" shrinkToFit="0" vertical="top" wrapText="1"/>
    </xf>
    <xf borderId="10" fillId="0" fontId="2" numFmtId="166" xfId="0" applyAlignment="1" applyBorder="1" applyFont="1" applyNumberFormat="1">
      <alignment horizontal="right"/>
    </xf>
    <xf borderId="10" fillId="0" fontId="1" numFmtId="166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28" fillId="0" fontId="1" numFmtId="0" xfId="0" applyAlignment="1" applyBorder="1" applyFont="1">
      <alignment readingOrder="0"/>
    </xf>
    <xf borderId="10" fillId="0" fontId="2" numFmtId="166" xfId="0" applyAlignment="1" applyBorder="1" applyFont="1" applyNumberFormat="1">
      <alignment horizontal="right" readingOrder="0"/>
    </xf>
    <xf borderId="0" fillId="0" fontId="1" numFmtId="166" xfId="0" applyAlignment="1" applyFont="1" applyNumberFormat="1">
      <alignment horizontal="center"/>
    </xf>
    <xf borderId="10" fillId="2" fontId="1" numFmtId="164" xfId="0" applyAlignment="1" applyBorder="1" applyFont="1" applyNumberFormat="1">
      <alignment shrinkToFit="0" wrapText="1"/>
    </xf>
    <xf borderId="0" fillId="0" fontId="2" numFmtId="4" xfId="0" applyAlignment="1" applyFont="1" applyNumberFormat="1">
      <alignment horizontal="right"/>
    </xf>
    <xf borderId="24" fillId="0" fontId="1" numFmtId="0" xfId="0" applyBorder="1" applyFont="1"/>
    <xf borderId="10" fillId="0" fontId="1" numFmtId="179" xfId="0" applyAlignment="1" applyBorder="1" applyFont="1" applyNumberFormat="1">
      <alignment readingOrder="0"/>
    </xf>
    <xf borderId="10" fillId="2" fontId="29" numFmtId="173" xfId="0" applyAlignment="1" applyBorder="1" applyFont="1" applyNumberFormat="1">
      <alignment readingOrder="0"/>
    </xf>
    <xf borderId="24" fillId="0" fontId="1" numFmtId="0" xfId="0" applyAlignment="1" applyBorder="1" applyFont="1">
      <alignment readingOrder="0"/>
    </xf>
    <xf borderId="13" fillId="0" fontId="21" numFmtId="0" xfId="0" applyAlignment="1" applyBorder="1" applyFont="1">
      <alignment horizontal="center" readingOrder="0"/>
    </xf>
    <xf borderId="10" fillId="0" fontId="21" numFmtId="0" xfId="0" applyAlignment="1" applyBorder="1" applyFont="1">
      <alignment horizontal="center" readingOrder="0"/>
    </xf>
    <xf borderId="10" fillId="0" fontId="20" numFmtId="180" xfId="0" applyAlignment="1" applyBorder="1" applyFont="1" applyNumberFormat="1">
      <alignment horizontal="right" vertical="bottom"/>
    </xf>
    <xf borderId="10" fillId="0" fontId="20" numFmtId="0" xfId="0" applyAlignment="1" applyBorder="1" applyFont="1">
      <alignment readingOrder="0" vertical="bottom"/>
    </xf>
    <xf borderId="10" fillId="0" fontId="20" numFmtId="4" xfId="0" applyAlignment="1" applyBorder="1" applyFont="1" applyNumberFormat="1">
      <alignment vertical="bottom"/>
    </xf>
    <xf borderId="10" fillId="0" fontId="20" numFmtId="168" xfId="0" applyAlignment="1" applyBorder="1" applyFont="1" applyNumberFormat="1">
      <alignment horizontal="right" vertical="bottom"/>
    </xf>
    <xf borderId="10" fillId="0" fontId="20" numFmtId="0" xfId="0" applyAlignment="1" applyBorder="1" applyFont="1">
      <alignment vertical="bottom"/>
    </xf>
    <xf borderId="10" fillId="0" fontId="20" numFmtId="168" xfId="0" applyAlignment="1" applyBorder="1" applyFont="1" applyNumberFormat="1">
      <alignment vertical="bottom"/>
    </xf>
    <xf borderId="10" fillId="0" fontId="20" numFmtId="0" xfId="0" applyAlignment="1" applyBorder="1" applyFont="1">
      <alignment horizontal="right" vertical="bottom"/>
    </xf>
    <xf borderId="10" fillId="0" fontId="20" numFmtId="181" xfId="0" applyAlignment="1" applyBorder="1" applyFont="1" applyNumberFormat="1">
      <alignment horizontal="right" vertical="bottom"/>
    </xf>
    <xf borderId="10" fillId="0" fontId="20" numFmtId="4" xfId="0" applyAlignment="1" applyBorder="1" applyFont="1" applyNumberFormat="1">
      <alignment horizontal="right" vertical="bottom"/>
    </xf>
    <xf borderId="10" fillId="0" fontId="27" numFmtId="0" xfId="0" applyAlignment="1" applyBorder="1" applyFont="1">
      <alignment horizontal="right" vertical="bottom"/>
    </xf>
    <xf borderId="10" fillId="0" fontId="27" numFmtId="0" xfId="0" applyAlignment="1" applyBorder="1" applyFont="1">
      <alignment vertical="bottom"/>
    </xf>
    <xf borderId="10" fillId="0" fontId="27" numFmtId="4" xfId="0" applyAlignment="1" applyBorder="1" applyFont="1" applyNumberFormat="1">
      <alignment vertical="bottom"/>
    </xf>
    <xf borderId="10" fillId="0" fontId="27" numFmtId="181" xfId="0" applyAlignment="1" applyBorder="1" applyFont="1" applyNumberFormat="1">
      <alignment horizontal="right" vertical="bottom"/>
    </xf>
    <xf borderId="10" fillId="0" fontId="27" numFmtId="168" xfId="0" applyAlignment="1" applyBorder="1" applyFont="1" applyNumberFormat="1">
      <alignment vertical="bottom"/>
    </xf>
    <xf borderId="10" fillId="0" fontId="27" numFmtId="180" xfId="0" applyAlignment="1" applyBorder="1" applyFont="1" applyNumberFormat="1">
      <alignment horizontal="right" vertical="bottom"/>
    </xf>
    <xf borderId="10" fillId="0" fontId="27" numFmtId="168" xfId="0" applyAlignment="1" applyBorder="1" applyFont="1" applyNumberFormat="1">
      <alignment horizontal="right" vertical="bottom"/>
    </xf>
    <xf borderId="10" fillId="0" fontId="20" numFmtId="0" xfId="0" applyAlignment="1" applyBorder="1" applyFont="1">
      <alignment horizontal="right" readingOrder="0"/>
    </xf>
    <xf borderId="10" fillId="0" fontId="20" numFmtId="181" xfId="0" applyAlignment="1" applyBorder="1" applyFont="1" applyNumberFormat="1">
      <alignment readingOrder="0"/>
    </xf>
    <xf borderId="10" fillId="0" fontId="27" numFmtId="4" xfId="0" applyAlignment="1" applyBorder="1" applyFont="1" applyNumberFormat="1">
      <alignment horizontal="right" vertical="bottom"/>
    </xf>
    <xf borderId="10" fillId="0" fontId="27" numFmtId="181" xfId="0" applyAlignment="1" applyBorder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pe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37" displayName="Table_1" name="Table_1" id="1">
  <tableColumns count="5">
    <tableColumn name="Column 1" id="1"/>
    <tableColumn name="Column 2" id="2"/>
    <tableColumn name="Column 3" id="3"/>
    <tableColumn name="Column 4" id="4"/>
    <tableColumn name="Total" id="5"/>
  </tableColumns>
  <tableStyleInfo name="Expe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13"/>
    <col customWidth="1" min="2" max="2" width="22.13"/>
    <col customWidth="1" min="3" max="3" width="29.5"/>
    <col customWidth="1" min="4" max="4" width="16.25"/>
    <col customWidth="1" min="5" max="5" width="13.75"/>
    <col customWidth="1" min="6" max="6" width="4.88"/>
    <col customWidth="1" min="7" max="7" width="13.38"/>
    <col customWidth="1" min="8" max="8" width="13.88"/>
    <col customWidth="1" min="11" max="11" width="16.0"/>
    <col customWidth="1" min="12" max="12" width="15.88"/>
    <col customWidth="1" min="13" max="13" width="23.13"/>
    <col customWidth="1" min="15" max="15" width="15.13"/>
    <col customWidth="1" min="16" max="16" width="18.0"/>
    <col customWidth="1" min="17" max="17" width="17.88"/>
    <col customWidth="1" min="18" max="18" width="15.63"/>
    <col customWidth="1" min="19" max="19" width="22.88"/>
    <col customWidth="1" min="20" max="20" width="15.5"/>
    <col customWidth="1" min="21" max="21" width="18.13"/>
    <col customWidth="1" min="23" max="23" width="15.0"/>
    <col customWidth="1" min="26" max="26" width="12.88"/>
    <col customWidth="1" min="27" max="28" width="14.88"/>
  </cols>
  <sheetData>
    <row r="1" ht="15.75" customHeight="1">
      <c r="A1" s="1"/>
      <c r="B1" s="1"/>
      <c r="C1" s="1"/>
      <c r="D1" s="2"/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3"/>
      <c r="C2" s="4"/>
      <c r="D2" s="5">
        <f>SUM(D4:D35)</f>
        <v>135539741.3</v>
      </c>
      <c r="E2" s="3">
        <f>SUM(G2:AC2)</f>
        <v>135539741.3</v>
      </c>
      <c r="F2" s="6"/>
      <c r="G2" s="6">
        <f t="shared" ref="G2:AC2" si="1">G38</f>
        <v>20842300</v>
      </c>
      <c r="H2" s="6">
        <f t="shared" si="1"/>
        <v>39282543.49</v>
      </c>
      <c r="I2" s="6">
        <f t="shared" si="1"/>
        <v>372862.276</v>
      </c>
      <c r="J2" s="6">
        <f t="shared" si="1"/>
        <v>15643207.48</v>
      </c>
      <c r="K2" s="6">
        <f t="shared" si="1"/>
        <v>0</v>
      </c>
      <c r="L2" s="6">
        <f t="shared" si="1"/>
        <v>3780664.345</v>
      </c>
      <c r="M2" s="6">
        <f t="shared" si="1"/>
        <v>9712593.959</v>
      </c>
      <c r="N2" s="6">
        <f t="shared" si="1"/>
        <v>0</v>
      </c>
      <c r="O2" s="6">
        <f t="shared" si="1"/>
        <v>23670755.09</v>
      </c>
      <c r="P2" s="6">
        <f t="shared" si="1"/>
        <v>11765955</v>
      </c>
      <c r="Q2" s="6">
        <f t="shared" si="1"/>
        <v>1758800</v>
      </c>
      <c r="R2" s="6">
        <f t="shared" si="1"/>
        <v>6702926.141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2007133.5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0</v>
      </c>
      <c r="AB2" s="6">
        <f t="shared" si="1"/>
        <v>0</v>
      </c>
      <c r="AC2" s="6">
        <f t="shared" si="1"/>
        <v>0</v>
      </c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/>
      <c r="G3" s="11" t="s">
        <v>5</v>
      </c>
      <c r="H3" s="11" t="s">
        <v>6</v>
      </c>
      <c r="I3" s="12" t="s">
        <v>7</v>
      </c>
      <c r="J3" s="13" t="s">
        <v>8</v>
      </c>
      <c r="K3" s="11" t="s">
        <v>9</v>
      </c>
      <c r="L3" s="14" t="s">
        <v>10</v>
      </c>
      <c r="M3" s="11" t="s">
        <v>11</v>
      </c>
      <c r="N3" s="11" t="s">
        <v>12</v>
      </c>
      <c r="O3" s="15" t="s">
        <v>13</v>
      </c>
      <c r="P3" s="11" t="s">
        <v>14</v>
      </c>
      <c r="Q3" s="11" t="s">
        <v>15</v>
      </c>
      <c r="R3" s="11" t="s">
        <v>16</v>
      </c>
      <c r="S3" s="11" t="s">
        <v>17</v>
      </c>
      <c r="T3" s="14" t="s">
        <v>18</v>
      </c>
      <c r="U3" s="14" t="s">
        <v>19</v>
      </c>
      <c r="V3" s="12" t="s">
        <v>20</v>
      </c>
      <c r="W3" s="16" t="s">
        <v>21</v>
      </c>
      <c r="X3" s="17" t="s">
        <v>22</v>
      </c>
      <c r="Y3" s="12" t="s">
        <v>23</v>
      </c>
      <c r="Z3" s="12" t="s">
        <v>24</v>
      </c>
      <c r="AA3" s="14" t="s">
        <v>25</v>
      </c>
      <c r="AB3" s="11" t="s">
        <v>26</v>
      </c>
      <c r="AC3" s="14" t="s">
        <v>27</v>
      </c>
    </row>
    <row r="4" ht="15.75" customHeight="1">
      <c r="A4" s="18" t="s">
        <v>28</v>
      </c>
      <c r="B4" s="19"/>
      <c r="C4" s="20" t="s">
        <v>29</v>
      </c>
      <c r="D4" s="21">
        <v>0.0</v>
      </c>
      <c r="E4" s="22">
        <f t="shared" ref="E4:E19" si="2">SUM(G4:AC4)</f>
        <v>0</v>
      </c>
      <c r="F4" s="23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ht="15.75" customHeight="1">
      <c r="A5" s="25" t="s">
        <v>30</v>
      </c>
      <c r="B5" s="19">
        <f>G2</f>
        <v>20842300</v>
      </c>
      <c r="C5" s="26" t="s">
        <v>31</v>
      </c>
      <c r="D5" s="21">
        <v>0.0</v>
      </c>
      <c r="E5" s="22">
        <f t="shared" si="2"/>
        <v>0</v>
      </c>
      <c r="F5" s="23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ht="15.75" customHeight="1">
      <c r="A6" s="27" t="s">
        <v>32</v>
      </c>
      <c r="B6" s="28">
        <f>H2</f>
        <v>39282543.49</v>
      </c>
      <c r="C6" s="20" t="s">
        <v>33</v>
      </c>
      <c r="D6" s="21">
        <v>0.0</v>
      </c>
      <c r="E6" s="22">
        <f t="shared" si="2"/>
        <v>0</v>
      </c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ht="15.75" customHeight="1">
      <c r="A7" s="27" t="str">
        <f>R3</f>
        <v>Software Tools</v>
      </c>
      <c r="B7" s="29">
        <f>R2</f>
        <v>6702926.141</v>
      </c>
      <c r="C7" s="26" t="s">
        <v>34</v>
      </c>
      <c r="D7" s="21">
        <v>0.0</v>
      </c>
      <c r="E7" s="22">
        <f t="shared" si="2"/>
        <v>0</v>
      </c>
      <c r="F7" s="23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ht="15.75" customHeight="1">
      <c r="A8" s="27" t="s">
        <v>11</v>
      </c>
      <c r="B8" s="30">
        <f>M2</f>
        <v>9712593.959</v>
      </c>
      <c r="C8" s="26" t="s">
        <v>35</v>
      </c>
      <c r="D8" s="21">
        <v>0.0</v>
      </c>
      <c r="E8" s="22">
        <f t="shared" si="2"/>
        <v>0</v>
      </c>
      <c r="F8" s="23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ht="15.75" customHeight="1">
      <c r="A9" s="31" t="s">
        <v>36</v>
      </c>
      <c r="B9" s="29">
        <f>J2</f>
        <v>15643207.48</v>
      </c>
      <c r="C9" s="20" t="s">
        <v>37</v>
      </c>
      <c r="D9" s="32">
        <v>251471.01</v>
      </c>
      <c r="E9" s="22">
        <f t="shared" si="2"/>
        <v>251471.01</v>
      </c>
      <c r="F9" s="23"/>
      <c r="G9" s="24"/>
      <c r="H9" s="24"/>
      <c r="I9" s="32">
        <v>251471.01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ht="15.75" customHeight="1">
      <c r="A10" s="15" t="s">
        <v>10</v>
      </c>
      <c r="B10" s="33">
        <f>L2</f>
        <v>3780664.345</v>
      </c>
      <c r="C10" s="34" t="s">
        <v>38</v>
      </c>
      <c r="D10" s="21">
        <v>0.0</v>
      </c>
      <c r="E10" s="22">
        <f t="shared" si="2"/>
        <v>0</v>
      </c>
      <c r="F10" s="23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15" t="s">
        <v>39</v>
      </c>
      <c r="B11" s="33">
        <f>O2</f>
        <v>23670755.09</v>
      </c>
      <c r="C11" s="20" t="s">
        <v>40</v>
      </c>
      <c r="D11" s="21">
        <v>126.0</v>
      </c>
      <c r="E11" s="22">
        <f t="shared" si="2"/>
        <v>126</v>
      </c>
      <c r="F11" s="23"/>
      <c r="G11" s="24"/>
      <c r="H11" s="24"/>
      <c r="I11" s="35">
        <v>126.0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ht="15.75" customHeight="1">
      <c r="A12" s="15" t="s">
        <v>20</v>
      </c>
      <c r="B12" s="33">
        <f>V2</f>
        <v>2007133.5</v>
      </c>
      <c r="C12" s="26" t="s">
        <v>41</v>
      </c>
      <c r="D12" s="21">
        <v>0.0</v>
      </c>
      <c r="E12" s="22">
        <f t="shared" si="2"/>
        <v>0</v>
      </c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ht="15.75" customHeight="1">
      <c r="A13" s="15" t="s">
        <v>14</v>
      </c>
      <c r="B13" s="33">
        <f>P2</f>
        <v>11765955</v>
      </c>
      <c r="C13" s="20" t="s">
        <v>42</v>
      </c>
      <c r="D13" s="21">
        <v>0.0</v>
      </c>
      <c r="E13" s="22">
        <f t="shared" si="2"/>
        <v>0</v>
      </c>
      <c r="F13" s="23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ht="15.75" customHeight="1">
      <c r="A14" s="15" t="s">
        <v>43</v>
      </c>
      <c r="B14" s="30">
        <f>I2</f>
        <v>372862.276</v>
      </c>
      <c r="C14" s="26" t="s">
        <v>44</v>
      </c>
      <c r="D14" s="21">
        <v>0.0</v>
      </c>
      <c r="E14" s="22">
        <f t="shared" si="2"/>
        <v>0</v>
      </c>
      <c r="F14" s="23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ht="15.75" customHeight="1">
      <c r="A15" s="31" t="s">
        <v>45</v>
      </c>
      <c r="B15" s="33">
        <f>Q2</f>
        <v>1758800</v>
      </c>
      <c r="C15" s="36" t="s">
        <v>46</v>
      </c>
      <c r="D15" s="21">
        <v>0.0</v>
      </c>
      <c r="E15" s="22">
        <f t="shared" si="2"/>
        <v>0</v>
      </c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ht="15.75" customHeight="1">
      <c r="C16" s="36" t="s">
        <v>47</v>
      </c>
      <c r="D16" s="21">
        <v>0.0</v>
      </c>
      <c r="E16" s="22">
        <f t="shared" si="2"/>
        <v>0</v>
      </c>
      <c r="F16" s="23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ht="15.75" customHeight="1">
      <c r="A17" s="15" t="s">
        <v>9</v>
      </c>
      <c r="B17" s="33">
        <f>K2</f>
        <v>0</v>
      </c>
      <c r="C17" s="37" t="s">
        <v>48</v>
      </c>
      <c r="D17" s="21">
        <v>0.0</v>
      </c>
      <c r="E17" s="22">
        <f t="shared" si="2"/>
        <v>0</v>
      </c>
      <c r="F17" s="23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ht="15.75" customHeight="1">
      <c r="A18" s="38"/>
      <c r="B18" s="39"/>
      <c r="C18" s="36" t="s">
        <v>49</v>
      </c>
      <c r="D18" s="40">
        <v>2.073186448E7</v>
      </c>
      <c r="E18" s="22">
        <f t="shared" si="2"/>
        <v>20731864.48</v>
      </c>
      <c r="F18" s="41"/>
      <c r="G18" s="35">
        <v>5000000.0</v>
      </c>
      <c r="H18" s="24"/>
      <c r="I18" s="42">
        <v>88657.0</v>
      </c>
      <c r="J18" s="43">
        <v>1.564320748E7</v>
      </c>
      <c r="K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ht="15.75" customHeight="1">
      <c r="A19" s="44" t="s">
        <v>4</v>
      </c>
      <c r="B19" s="45">
        <f>SUM(B5:B18)</f>
        <v>135539741.3</v>
      </c>
      <c r="C19" s="36" t="s">
        <v>50</v>
      </c>
      <c r="D19" s="46">
        <v>164300.0</v>
      </c>
      <c r="E19" s="22">
        <f t="shared" si="2"/>
        <v>164300</v>
      </c>
      <c r="F19" s="23"/>
      <c r="G19" s="24"/>
      <c r="H19" s="24"/>
      <c r="I19" s="24"/>
      <c r="J19" s="24"/>
      <c r="K19" s="24"/>
      <c r="L19" s="24"/>
      <c r="M19" s="43">
        <v>164300.0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ht="15.75" customHeight="1">
      <c r="A20" s="27" t="s">
        <v>30</v>
      </c>
      <c r="B20" s="30">
        <f>B5</f>
        <v>20842300</v>
      </c>
      <c r="C20" s="36" t="s">
        <v>51</v>
      </c>
      <c r="D20" s="47">
        <v>6.49855784E7</v>
      </c>
      <c r="E20" s="22">
        <f>SUM(H20:AC20)</f>
        <v>62985578.4</v>
      </c>
      <c r="F20" s="23"/>
      <c r="G20" s="15">
        <v>2000000.0</v>
      </c>
      <c r="H20" s="48">
        <f>41282543.49-2000000</f>
        <v>39282543.49</v>
      </c>
      <c r="I20" s="49">
        <v>32279.82</v>
      </c>
      <c r="J20" s="50"/>
      <c r="K20" s="24"/>
      <c r="L20" s="24"/>
      <c r="M20" s="24"/>
      <c r="N20" s="24"/>
      <c r="O20" s="50">
        <v>2.367075509E7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ht="15.75" customHeight="1">
      <c r="A21" s="38"/>
      <c r="B21" s="51">
        <f>SUM(B19-B20)</f>
        <v>114697441.3</v>
      </c>
      <c r="C21" s="36" t="s">
        <v>52</v>
      </c>
      <c r="D21" s="52">
        <v>51.6</v>
      </c>
      <c r="E21" s="22">
        <f t="shared" ref="E21:E24" si="3">SUM(G21:AC21)</f>
        <v>51.6</v>
      </c>
      <c r="F21" s="23"/>
      <c r="G21" s="24"/>
      <c r="H21" s="24"/>
      <c r="I21" s="50">
        <v>51.6</v>
      </c>
      <c r="J21" s="24"/>
      <c r="K21" s="24"/>
      <c r="L21" s="24"/>
      <c r="M21" s="24"/>
      <c r="N21" s="24"/>
      <c r="O21" s="50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ht="15.75" customHeight="1">
      <c r="A22" s="38"/>
      <c r="B22" s="53"/>
      <c r="C22" s="36" t="s">
        <v>53</v>
      </c>
      <c r="D22" s="54">
        <v>1758800.0</v>
      </c>
      <c r="E22" s="22">
        <f t="shared" si="3"/>
        <v>1758800</v>
      </c>
      <c r="F22" s="23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54">
        <v>1758800.0</v>
      </c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ht="15.75" customHeight="1">
      <c r="A23" s="38"/>
      <c r="B23" s="55"/>
      <c r="C23" s="56" t="s">
        <v>54</v>
      </c>
      <c r="D23" s="21">
        <v>0.0</v>
      </c>
      <c r="E23" s="22">
        <f t="shared" si="3"/>
        <v>0</v>
      </c>
      <c r="F23" s="23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ht="15.75" customHeight="1">
      <c r="A24" s="38"/>
      <c r="B24" s="38"/>
      <c r="C24" s="20" t="s">
        <v>55</v>
      </c>
      <c r="D24" s="21">
        <v>0.0</v>
      </c>
      <c r="E24" s="22">
        <f t="shared" si="3"/>
        <v>0</v>
      </c>
      <c r="F24" s="23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ht="15.75" customHeight="1">
      <c r="A25" s="25"/>
      <c r="B25" s="57"/>
      <c r="C25" s="58"/>
      <c r="D25" s="21">
        <v>0.0</v>
      </c>
      <c r="E25" s="59"/>
      <c r="F25" s="23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ht="15.75" customHeight="1">
      <c r="A26" s="60"/>
      <c r="B26" s="57"/>
      <c r="C26" s="20" t="s">
        <v>56</v>
      </c>
      <c r="D26" s="21">
        <v>0.0</v>
      </c>
      <c r="E26" s="22">
        <f t="shared" ref="E26:E35" si="4">SUM(G26:AB26)</f>
        <v>0</v>
      </c>
      <c r="F26" s="23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ht="15.75" customHeight="1">
      <c r="A27" s="61"/>
      <c r="B27" s="57"/>
      <c r="C27" s="20" t="s">
        <v>57</v>
      </c>
      <c r="D27" s="21">
        <f>9950*C36</f>
        <v>13773088.5</v>
      </c>
      <c r="E27" s="22">
        <f t="shared" si="4"/>
        <v>13773088.5</v>
      </c>
      <c r="F27" s="23"/>
      <c r="G27" s="24"/>
      <c r="H27" s="24"/>
      <c r="I27" s="24"/>
      <c r="J27" s="24"/>
      <c r="K27" s="24"/>
      <c r="L27" s="24"/>
      <c r="M27" s="24"/>
      <c r="N27" s="24"/>
      <c r="O27" s="24"/>
      <c r="P27" s="24">
        <f>8500*C36</f>
        <v>11765955</v>
      </c>
      <c r="Q27" s="24"/>
      <c r="R27" s="24"/>
      <c r="S27" s="24"/>
      <c r="T27" s="24"/>
      <c r="U27" s="24"/>
      <c r="V27" s="24">
        <f>1450*C36</f>
        <v>2007133.5</v>
      </c>
      <c r="W27" s="24"/>
      <c r="X27" s="24"/>
      <c r="Y27" s="24"/>
      <c r="Z27" s="24"/>
      <c r="AA27" s="24"/>
      <c r="AB27" s="24"/>
      <c r="AC27" s="24"/>
    </row>
    <row r="28" ht="15.75" customHeight="1">
      <c r="A28" s="60"/>
      <c r="B28" s="57"/>
      <c r="C28" s="26" t="s">
        <v>58</v>
      </c>
      <c r="D28" s="21">
        <v>0.0</v>
      </c>
      <c r="E28" s="22">
        <f t="shared" si="4"/>
        <v>0</v>
      </c>
      <c r="F28" s="23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ht="15.75" customHeight="1">
      <c r="A29" s="60"/>
      <c r="B29" s="57"/>
      <c r="C29" s="26" t="s">
        <v>59</v>
      </c>
      <c r="D29" s="21">
        <v>0.0</v>
      </c>
      <c r="E29" s="22">
        <f t="shared" si="4"/>
        <v>0</v>
      </c>
      <c r="F29" s="23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ht="15.75" customHeight="1">
      <c r="A30" s="60"/>
      <c r="B30" s="57"/>
      <c r="C30" s="20" t="s">
        <v>49</v>
      </c>
      <c r="D30" s="21">
        <f>10000*C36</f>
        <v>13842300</v>
      </c>
      <c r="E30" s="22">
        <f t="shared" si="4"/>
        <v>13842300</v>
      </c>
      <c r="F30" s="41"/>
      <c r="G30" s="24">
        <f>10000*C36</f>
        <v>13842300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ht="15.75" customHeight="1">
      <c r="A31" s="60"/>
      <c r="B31" s="57"/>
      <c r="C31" s="20" t="s">
        <v>60</v>
      </c>
      <c r="D31" s="21">
        <f>14471.5*C36
</f>
        <v>20031884.45</v>
      </c>
      <c r="E31" s="22">
        <f t="shared" si="4"/>
        <v>20031884.45</v>
      </c>
      <c r="F31" s="23"/>
      <c r="G31" s="24"/>
      <c r="H31" s="24"/>
      <c r="I31" s="24"/>
      <c r="J31" s="24"/>
      <c r="K31" s="24"/>
      <c r="L31" s="24">
        <f>2731.24*C36
</f>
        <v>3780664.345</v>
      </c>
      <c r="M31" s="24">
        <f>6897.91*C36
</f>
        <v>9548293.959</v>
      </c>
      <c r="N31" s="24"/>
      <c r="O31" s="24"/>
      <c r="P31" s="24"/>
      <c r="Q31" s="24"/>
      <c r="R31" s="24">
        <f>4842.35*C36
</f>
        <v>6702926.141</v>
      </c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ht="15.75" customHeight="1">
      <c r="A32" s="60"/>
      <c r="B32" s="62"/>
      <c r="C32" s="20" t="s">
        <v>37</v>
      </c>
      <c r="D32" s="21">
        <f>0.2*C36       
</f>
        <v>276.846</v>
      </c>
      <c r="E32" s="22">
        <f t="shared" si="4"/>
        <v>276.846</v>
      </c>
      <c r="F32" s="23"/>
      <c r="G32" s="24"/>
      <c r="H32" s="24"/>
      <c r="I32" s="24">
        <f>0.2*C36       
</f>
        <v>276.846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ht="15.75" customHeight="1">
      <c r="A33" s="25"/>
      <c r="B33" s="62"/>
      <c r="C33" s="20" t="s">
        <v>61</v>
      </c>
      <c r="D33" s="21">
        <v>0.0</v>
      </c>
      <c r="E33" s="22">
        <f t="shared" si="4"/>
        <v>0</v>
      </c>
      <c r="F33" s="23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ht="15.75" customHeight="1">
      <c r="A34" s="25"/>
      <c r="B34" s="57"/>
      <c r="C34" s="20" t="s">
        <v>62</v>
      </c>
      <c r="D34" s="21">
        <v>0.0</v>
      </c>
      <c r="E34" s="22">
        <f t="shared" si="4"/>
        <v>0</v>
      </c>
      <c r="F34" s="23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ht="15.75" customHeight="1">
      <c r="A35" s="25"/>
      <c r="B35" s="57"/>
      <c r="C35" s="26" t="s">
        <v>63</v>
      </c>
      <c r="D35" s="21">
        <v>0.0</v>
      </c>
      <c r="E35" s="22">
        <f t="shared" si="4"/>
        <v>0</v>
      </c>
      <c r="F35" s="23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ht="15.75" customHeight="1">
      <c r="A36" s="25"/>
      <c r="B36" s="57"/>
      <c r="C36" s="63">
        <f>Income!C36</f>
        <v>1384.23</v>
      </c>
      <c r="D36" s="64"/>
      <c r="E36" s="59"/>
      <c r="F36" s="23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ht="15.75" customHeight="1">
      <c r="A37" s="65"/>
      <c r="B37" s="66"/>
      <c r="C37" s="67"/>
      <c r="D37" s="22">
        <f t="shared" ref="D37:E37" si="5">SUM(D4:D35)</f>
        <v>135539741.3</v>
      </c>
      <c r="E37" s="22">
        <f t="shared" si="5"/>
        <v>133539741.3</v>
      </c>
      <c r="F37" s="23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ht="15.75" customHeight="1">
      <c r="A38" s="1"/>
      <c r="B38" s="1"/>
      <c r="C38" s="3"/>
      <c r="D38" s="68"/>
      <c r="E38" s="1"/>
      <c r="F38" s="6"/>
      <c r="G38" s="69">
        <f t="shared" ref="G38:AC38" si="6">SUM(G4:G37)</f>
        <v>20842300</v>
      </c>
      <c r="H38" s="69">
        <f t="shared" si="6"/>
        <v>39282543.49</v>
      </c>
      <c r="I38" s="69">
        <f t="shared" si="6"/>
        <v>372862.276</v>
      </c>
      <c r="J38" s="69">
        <f t="shared" si="6"/>
        <v>15643207.48</v>
      </c>
      <c r="K38" s="69">
        <f t="shared" si="6"/>
        <v>0</v>
      </c>
      <c r="L38" s="69">
        <f t="shared" si="6"/>
        <v>3780664.345</v>
      </c>
      <c r="M38" s="69">
        <f t="shared" si="6"/>
        <v>9712593.959</v>
      </c>
      <c r="N38" s="69">
        <f t="shared" si="6"/>
        <v>0</v>
      </c>
      <c r="O38" s="69">
        <f t="shared" si="6"/>
        <v>23670755.09</v>
      </c>
      <c r="P38" s="69">
        <f t="shared" si="6"/>
        <v>11765955</v>
      </c>
      <c r="Q38" s="69">
        <f t="shared" si="6"/>
        <v>1758800</v>
      </c>
      <c r="R38" s="69">
        <f t="shared" si="6"/>
        <v>6702926.141</v>
      </c>
      <c r="S38" s="69">
        <f t="shared" si="6"/>
        <v>0</v>
      </c>
      <c r="T38" s="69">
        <f t="shared" si="6"/>
        <v>0</v>
      </c>
      <c r="U38" s="69">
        <f t="shared" si="6"/>
        <v>0</v>
      </c>
      <c r="V38" s="69">
        <f t="shared" si="6"/>
        <v>2007133.5</v>
      </c>
      <c r="W38" s="69">
        <f t="shared" si="6"/>
        <v>0</v>
      </c>
      <c r="X38" s="69">
        <f t="shared" si="6"/>
        <v>0</v>
      </c>
      <c r="Y38" s="69">
        <f t="shared" si="6"/>
        <v>0</v>
      </c>
      <c r="Z38" s="69">
        <f t="shared" si="6"/>
        <v>0</v>
      </c>
      <c r="AA38" s="69">
        <f t="shared" si="6"/>
        <v>0</v>
      </c>
      <c r="AB38" s="69">
        <f t="shared" si="6"/>
        <v>0</v>
      </c>
      <c r="AC38" s="69">
        <f t="shared" si="6"/>
        <v>0</v>
      </c>
    </row>
    <row r="39" ht="15.75" customHeight="1">
      <c r="A39" s="1"/>
      <c r="B39" s="3"/>
      <c r="C39" s="7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3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3"/>
      <c r="C41" s="1"/>
      <c r="D41" s="1"/>
      <c r="E41" s="1"/>
      <c r="F41" s="1"/>
      <c r="G41" s="1"/>
      <c r="H41" s="1"/>
      <c r="I41" s="7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3"/>
      <c r="C43" s="3"/>
      <c r="D43" s="1"/>
      <c r="E43" s="3"/>
      <c r="F43" s="1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5 D36:E36">
      <formula1>AND(ISNUMBER(D25),(NOT(OR(NOT(ISERROR(DATEVALUE(D25))), AND(ISNUMBER(D25), LEFT(CELL("format", D25))="D")))))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25"/>
    <col customWidth="1" min="2" max="2" width="15.75"/>
    <col customWidth="1" min="3" max="3" width="26.25"/>
    <col customWidth="1" min="4" max="4" width="17.5"/>
    <col customWidth="1" min="5" max="5" width="16.5"/>
    <col customWidth="1" min="6" max="6" width="13.88"/>
    <col customWidth="1" min="7" max="7" width="15.88"/>
    <col customWidth="1" min="9" max="9" width="16.5"/>
    <col customWidth="1" min="12" max="12" width="13.5"/>
    <col customWidth="1" min="13" max="13" width="16.75"/>
    <col customWidth="1" min="14" max="15" width="13.88"/>
  </cols>
  <sheetData>
    <row r="1" ht="15.75" customHeight="1">
      <c r="A1" s="72"/>
      <c r="B1" s="72"/>
      <c r="C1" s="4"/>
      <c r="D1" s="73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</row>
    <row r="2" ht="15.75" customHeight="1">
      <c r="A2" s="72"/>
      <c r="B2" s="72"/>
      <c r="C2" s="72"/>
      <c r="D2" s="74">
        <f>SUM(D4:D35)</f>
        <v>778397637.5</v>
      </c>
      <c r="E2" s="4">
        <f>SUM(F2:AF2)</f>
        <v>778397637.5</v>
      </c>
      <c r="F2" s="74">
        <f t="shared" ref="F2:Y2" si="1">F36</f>
        <v>20842300</v>
      </c>
      <c r="G2" s="74">
        <f t="shared" si="1"/>
        <v>392536.72</v>
      </c>
      <c r="H2" s="74">
        <f t="shared" si="1"/>
        <v>10000.7</v>
      </c>
      <c r="I2" s="74">
        <f t="shared" si="1"/>
        <v>692066552</v>
      </c>
      <c r="J2" s="74">
        <f t="shared" si="1"/>
        <v>275000</v>
      </c>
      <c r="K2" s="74">
        <f t="shared" si="1"/>
        <v>0</v>
      </c>
      <c r="L2" s="74">
        <f t="shared" si="1"/>
        <v>1301.1762</v>
      </c>
      <c r="M2" s="74">
        <f t="shared" si="1"/>
        <v>64809947</v>
      </c>
      <c r="N2" s="74">
        <f t="shared" si="1"/>
        <v>0</v>
      </c>
      <c r="O2" s="74">
        <f t="shared" si="1"/>
        <v>0</v>
      </c>
      <c r="P2" s="74">
        <f t="shared" si="1"/>
        <v>0</v>
      </c>
      <c r="Q2" s="74">
        <f t="shared" si="1"/>
        <v>0</v>
      </c>
      <c r="R2" s="74">
        <f t="shared" si="1"/>
        <v>0</v>
      </c>
      <c r="S2" s="74">
        <f t="shared" si="1"/>
        <v>0</v>
      </c>
      <c r="T2" s="74">
        <f t="shared" si="1"/>
        <v>0</v>
      </c>
      <c r="U2" s="74">
        <f t="shared" si="1"/>
        <v>0</v>
      </c>
      <c r="V2" s="74">
        <f t="shared" si="1"/>
        <v>0</v>
      </c>
      <c r="W2" s="74">
        <f t="shared" si="1"/>
        <v>0</v>
      </c>
      <c r="X2" s="72" t="str">
        <f t="shared" si="1"/>
        <v/>
      </c>
      <c r="Y2" s="72" t="str">
        <f t="shared" si="1"/>
        <v/>
      </c>
      <c r="Z2" s="72"/>
      <c r="AA2" s="72"/>
      <c r="AB2" s="72"/>
      <c r="AC2" s="72"/>
      <c r="AD2" s="72"/>
      <c r="AE2" s="72"/>
      <c r="AF2" s="72"/>
      <c r="AG2" s="72"/>
    </row>
    <row r="3" ht="15.75" customHeight="1">
      <c r="A3" s="72"/>
      <c r="B3" s="72"/>
      <c r="C3" s="72"/>
      <c r="D3" s="75"/>
      <c r="E3" s="72" t="s">
        <v>4</v>
      </c>
      <c r="F3" s="72" t="s">
        <v>30</v>
      </c>
      <c r="G3" s="72" t="s">
        <v>64</v>
      </c>
      <c r="H3" s="72" t="s">
        <v>65</v>
      </c>
      <c r="I3" s="72" t="s">
        <v>66</v>
      </c>
      <c r="J3" s="14" t="s">
        <v>67</v>
      </c>
      <c r="K3" s="76" t="s">
        <v>68</v>
      </c>
      <c r="L3" s="72" t="s">
        <v>69</v>
      </c>
      <c r="M3" s="72" t="s">
        <v>70</v>
      </c>
      <c r="N3" s="72" t="s">
        <v>71</v>
      </c>
      <c r="O3" s="72" t="s">
        <v>72</v>
      </c>
      <c r="P3" s="72" t="s">
        <v>73</v>
      </c>
      <c r="Q3" s="72" t="s">
        <v>74</v>
      </c>
      <c r="R3" s="76" t="s">
        <v>75</v>
      </c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</row>
    <row r="4" ht="15.75" customHeight="1">
      <c r="A4" s="77" t="s">
        <v>76</v>
      </c>
      <c r="B4" s="78"/>
      <c r="C4" s="79" t="s">
        <v>29</v>
      </c>
      <c r="D4" s="80">
        <v>0.0</v>
      </c>
      <c r="E4" s="81">
        <f t="shared" ref="E4:E29" si="2">SUM(F4:W4)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72"/>
      <c r="Y4" s="72"/>
      <c r="Z4" s="72"/>
      <c r="AA4" s="72"/>
      <c r="AB4" s="72"/>
      <c r="AC4" s="72"/>
      <c r="AD4" s="72"/>
      <c r="AE4" s="72"/>
      <c r="AF4" s="72"/>
      <c r="AG4" s="72"/>
    </row>
    <row r="5" ht="15.75" customHeight="1">
      <c r="A5" s="72" t="s">
        <v>30</v>
      </c>
      <c r="B5" s="78">
        <f>F2</f>
        <v>20842300</v>
      </c>
      <c r="C5" s="82" t="s">
        <v>31</v>
      </c>
      <c r="D5" s="80">
        <v>0.0</v>
      </c>
      <c r="E5" s="81">
        <f t="shared" si="2"/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72"/>
      <c r="Y5" s="72"/>
      <c r="Z5" s="72"/>
      <c r="AA5" s="72"/>
      <c r="AB5" s="72"/>
      <c r="AC5" s="72"/>
      <c r="AD5" s="72"/>
      <c r="AE5" s="72"/>
      <c r="AF5" s="72"/>
      <c r="AG5" s="72"/>
    </row>
    <row r="6" ht="15.75" customHeight="1">
      <c r="A6" s="72" t="s">
        <v>77</v>
      </c>
      <c r="B6" s="74">
        <f>M2</f>
        <v>64809947</v>
      </c>
      <c r="C6" s="79" t="s">
        <v>33</v>
      </c>
      <c r="D6" s="80">
        <v>0.0</v>
      </c>
      <c r="E6" s="81">
        <f t="shared" si="2"/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72"/>
      <c r="Y6" s="72"/>
      <c r="Z6" s="72"/>
      <c r="AA6" s="72"/>
      <c r="AB6" s="72"/>
      <c r="AC6" s="72"/>
      <c r="AD6" s="72"/>
      <c r="AE6" s="72"/>
      <c r="AF6" s="72"/>
      <c r="AG6" s="72"/>
    </row>
    <row r="7" ht="15.75" customHeight="1">
      <c r="A7" s="72" t="s">
        <v>64</v>
      </c>
      <c r="B7" s="83">
        <f>G2</f>
        <v>392536.72</v>
      </c>
      <c r="C7" s="82" t="s">
        <v>34</v>
      </c>
      <c r="D7" s="80">
        <v>0.0</v>
      </c>
      <c r="E7" s="81">
        <f t="shared" si="2"/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72"/>
      <c r="Y7" s="72"/>
      <c r="Z7" s="72"/>
      <c r="AA7" s="72"/>
      <c r="AB7" s="72"/>
      <c r="AC7" s="72"/>
      <c r="AD7" s="72"/>
      <c r="AE7" s="72"/>
      <c r="AF7" s="72"/>
      <c r="AG7" s="72"/>
    </row>
    <row r="8" ht="15.75" customHeight="1">
      <c r="A8" s="76" t="s">
        <v>78</v>
      </c>
      <c r="B8" s="33">
        <f>H2</f>
        <v>10000.7</v>
      </c>
      <c r="C8" s="82" t="s">
        <v>35</v>
      </c>
      <c r="D8" s="80">
        <v>0.0</v>
      </c>
      <c r="E8" s="81">
        <f t="shared" si="2"/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72"/>
      <c r="Y8" s="72"/>
      <c r="Z8" s="72"/>
      <c r="AA8" s="72"/>
      <c r="AB8" s="72"/>
      <c r="AC8" s="72"/>
      <c r="AD8" s="72"/>
      <c r="AE8" s="72"/>
      <c r="AF8" s="72"/>
      <c r="AG8" s="72"/>
    </row>
    <row r="9" ht="15.75" customHeight="1">
      <c r="A9" s="76" t="s">
        <v>69</v>
      </c>
      <c r="B9" s="33">
        <f>L2</f>
        <v>1301.1762</v>
      </c>
      <c r="C9" s="79" t="s">
        <v>37</v>
      </c>
      <c r="D9" s="80">
        <v>0.0</v>
      </c>
      <c r="E9" s="81">
        <f t="shared" si="2"/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72"/>
      <c r="Y9" s="72"/>
      <c r="Z9" s="72"/>
      <c r="AA9" s="72"/>
      <c r="AB9" s="72"/>
      <c r="AC9" s="72"/>
      <c r="AD9" s="72"/>
      <c r="AE9" s="72"/>
      <c r="AF9" s="72"/>
      <c r="AG9" s="72"/>
    </row>
    <row r="10" ht="15.75" customHeight="1">
      <c r="A10" s="76" t="s">
        <v>79</v>
      </c>
      <c r="B10" s="33">
        <f>J2</f>
        <v>275000</v>
      </c>
      <c r="C10" s="79" t="s">
        <v>80</v>
      </c>
      <c r="D10" s="84">
        <v>10000.7</v>
      </c>
      <c r="E10" s="81">
        <f t="shared" si="2"/>
        <v>10000.7</v>
      </c>
      <c r="F10" s="4"/>
      <c r="G10" s="4"/>
      <c r="H10" s="84">
        <v>10000.7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72"/>
      <c r="Y10" s="72"/>
      <c r="Z10" s="72"/>
      <c r="AA10" s="72"/>
      <c r="AB10" s="72"/>
      <c r="AC10" s="72"/>
      <c r="AD10" s="72"/>
      <c r="AE10" s="72"/>
      <c r="AF10" s="72"/>
      <c r="AG10" s="72"/>
    </row>
    <row r="11" ht="15.75" customHeight="1">
      <c r="A11" s="15" t="s">
        <v>81</v>
      </c>
      <c r="B11" s="33">
        <f>I2</f>
        <v>692066552</v>
      </c>
      <c r="C11" s="79" t="s">
        <v>82</v>
      </c>
      <c r="D11" s="80">
        <v>0.0</v>
      </c>
      <c r="E11" s="81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72"/>
      <c r="Y11" s="72"/>
      <c r="Z11" s="72"/>
      <c r="AA11" s="72"/>
      <c r="AB11" s="72"/>
      <c r="AC11" s="72"/>
      <c r="AD11" s="72"/>
      <c r="AE11" s="72"/>
      <c r="AF11" s="72"/>
      <c r="AG11" s="72"/>
    </row>
    <row r="12" ht="15.75" customHeight="1">
      <c r="A12" s="85" t="s">
        <v>4</v>
      </c>
      <c r="B12" s="86">
        <f>SUM(B5:B11)</f>
        <v>778397637.5</v>
      </c>
      <c r="C12" s="82" t="s">
        <v>41</v>
      </c>
      <c r="D12" s="80">
        <v>0.0</v>
      </c>
      <c r="E12" s="81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72"/>
      <c r="Y12" s="72"/>
      <c r="Z12" s="72"/>
      <c r="AA12" s="72"/>
      <c r="AB12" s="72"/>
      <c r="AC12" s="72"/>
      <c r="AD12" s="72"/>
      <c r="AE12" s="72"/>
      <c r="AF12" s="72"/>
      <c r="AG12" s="72"/>
    </row>
    <row r="13" ht="15.75" customHeight="1">
      <c r="A13" s="87"/>
      <c r="B13" s="88">
        <f>B5</f>
        <v>20842300</v>
      </c>
      <c r="C13" s="79" t="s">
        <v>42</v>
      </c>
      <c r="D13" s="80">
        <v>0.0</v>
      </c>
      <c r="E13" s="81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72"/>
      <c r="Y13" s="72"/>
      <c r="Z13" s="72"/>
      <c r="AA13" s="72"/>
      <c r="AB13" s="72"/>
      <c r="AC13" s="72"/>
      <c r="AD13" s="72"/>
      <c r="AE13" s="72"/>
      <c r="AF13" s="72"/>
      <c r="AG13" s="72"/>
    </row>
    <row r="14" ht="15.75" customHeight="1">
      <c r="A14" s="77"/>
      <c r="B14" s="89">
        <f>B12-B13</f>
        <v>757555337.5</v>
      </c>
      <c r="C14" s="82" t="s">
        <v>44</v>
      </c>
      <c r="D14" s="80">
        <v>0.0</v>
      </c>
      <c r="E14" s="81">
        <f t="shared" si="2"/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72"/>
      <c r="Y14" s="72"/>
      <c r="Z14" s="72"/>
      <c r="AA14" s="72"/>
      <c r="AB14" s="72"/>
      <c r="AC14" s="72"/>
      <c r="AD14" s="72"/>
      <c r="AE14" s="72"/>
      <c r="AF14" s="72"/>
      <c r="AG14" s="72"/>
    </row>
    <row r="15" ht="15.75" customHeight="1">
      <c r="C15" s="79" t="s">
        <v>46</v>
      </c>
      <c r="D15" s="80">
        <v>0.0</v>
      </c>
      <c r="E15" s="81">
        <f t="shared" si="2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72"/>
      <c r="Y15" s="72"/>
      <c r="Z15" s="72"/>
      <c r="AA15" s="72"/>
      <c r="AB15" s="72"/>
      <c r="AC15" s="72"/>
      <c r="AD15" s="72"/>
      <c r="AE15" s="72"/>
      <c r="AF15" s="72"/>
      <c r="AG15" s="72"/>
    </row>
    <row r="16" ht="15.75" customHeight="1">
      <c r="A16" s="72"/>
      <c r="B16" s="72"/>
      <c r="C16" s="79" t="s">
        <v>47</v>
      </c>
      <c r="D16" s="80">
        <v>0.0</v>
      </c>
      <c r="E16" s="81">
        <f t="shared" si="2"/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72"/>
      <c r="Y16" s="72"/>
      <c r="Z16" s="72"/>
      <c r="AA16" s="72"/>
      <c r="AB16" s="72"/>
      <c r="AC16" s="72"/>
      <c r="AD16" s="72"/>
      <c r="AE16" s="72"/>
      <c r="AF16" s="72"/>
      <c r="AG16" s="72"/>
    </row>
    <row r="17" ht="15.75" customHeight="1">
      <c r="A17" s="72"/>
      <c r="B17" s="90"/>
      <c r="C17" s="82" t="s">
        <v>48</v>
      </c>
      <c r="D17" s="80">
        <v>0.0</v>
      </c>
      <c r="E17" s="81">
        <f t="shared" si="2"/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72"/>
      <c r="Y17" s="72"/>
      <c r="Z17" s="72"/>
      <c r="AA17" s="72"/>
      <c r="AB17" s="72"/>
      <c r="AC17" s="72"/>
      <c r="AD17" s="72"/>
      <c r="AE17" s="72"/>
      <c r="AF17" s="72"/>
      <c r="AG17" s="72"/>
    </row>
    <row r="18" ht="15.75" customHeight="1">
      <c r="A18" s="72"/>
      <c r="B18" s="91"/>
      <c r="C18" s="79" t="s">
        <v>49</v>
      </c>
      <c r="D18" s="40">
        <v>3.8648E7</v>
      </c>
      <c r="E18" s="81">
        <f t="shared" si="2"/>
        <v>38648000</v>
      </c>
      <c r="F18" s="4"/>
      <c r="G18" s="4"/>
      <c r="H18" s="4"/>
      <c r="I18" s="4"/>
      <c r="J18" s="4"/>
      <c r="K18" s="4"/>
      <c r="L18" s="4"/>
      <c r="M18" s="42">
        <v>3.8648E7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72"/>
      <c r="Y18" s="72"/>
      <c r="Z18" s="72"/>
      <c r="AA18" s="72"/>
      <c r="AB18" s="72"/>
      <c r="AC18" s="72"/>
      <c r="AD18" s="72"/>
      <c r="AE18" s="72"/>
      <c r="AF18" s="72"/>
      <c r="AG18" s="72"/>
    </row>
    <row r="19" ht="15.75" customHeight="1">
      <c r="A19" s="72"/>
      <c r="B19" s="72"/>
      <c r="C19" s="79" t="s">
        <v>50</v>
      </c>
      <c r="D19" s="92">
        <v>5000000.0</v>
      </c>
      <c r="E19" s="81">
        <f t="shared" si="2"/>
        <v>5000000</v>
      </c>
      <c r="F19" s="93">
        <v>5000000.0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72"/>
      <c r="Y19" s="72"/>
      <c r="Z19" s="72"/>
      <c r="AA19" s="72"/>
      <c r="AB19" s="72"/>
      <c r="AC19" s="72"/>
      <c r="AD19" s="72"/>
      <c r="AE19" s="72"/>
      <c r="AF19" s="72"/>
      <c r="AG19" s="72"/>
    </row>
    <row r="20" ht="15.75" customHeight="1">
      <c r="A20" s="72"/>
      <c r="B20" s="72"/>
      <c r="C20" s="79" t="s">
        <v>51</v>
      </c>
      <c r="D20" s="52">
        <v>27100.0</v>
      </c>
      <c r="E20" s="81">
        <f t="shared" si="2"/>
        <v>27100</v>
      </c>
      <c r="F20" s="4"/>
      <c r="G20" s="50">
        <v>27100.0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72"/>
      <c r="Y20" s="72"/>
      <c r="Z20" s="72"/>
      <c r="AA20" s="72"/>
      <c r="AB20" s="72"/>
      <c r="AC20" s="72"/>
      <c r="AD20" s="72"/>
      <c r="AE20" s="72"/>
      <c r="AF20" s="72"/>
      <c r="AG20" s="72"/>
    </row>
    <row r="21" ht="15.75" customHeight="1">
      <c r="A21" s="72"/>
      <c r="B21" s="78"/>
      <c r="C21" s="79" t="s">
        <v>52</v>
      </c>
      <c r="D21" s="52">
        <v>275000.0</v>
      </c>
      <c r="E21" s="81">
        <f t="shared" si="2"/>
        <v>275000</v>
      </c>
      <c r="F21" s="4"/>
      <c r="G21" s="4"/>
      <c r="H21" s="4"/>
      <c r="I21" s="4"/>
      <c r="J21" s="52">
        <v>275000.0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72"/>
      <c r="Y21" s="72"/>
      <c r="Z21" s="72"/>
      <c r="AA21" s="72"/>
      <c r="AB21" s="72"/>
      <c r="AC21" s="72"/>
      <c r="AD21" s="72"/>
      <c r="AE21" s="72"/>
      <c r="AF21" s="72"/>
      <c r="AG21" s="72"/>
    </row>
    <row r="22" ht="15.75" customHeight="1">
      <c r="A22" s="72"/>
      <c r="B22" s="94"/>
      <c r="C22" s="79" t="s">
        <v>53</v>
      </c>
      <c r="D22" s="92">
        <v>2000000.0</v>
      </c>
      <c r="E22" s="81">
        <f t="shared" si="2"/>
        <v>2000000</v>
      </c>
      <c r="F22" s="93">
        <v>2000000.0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72"/>
      <c r="Y22" s="72"/>
      <c r="Z22" s="72"/>
      <c r="AA22" s="72"/>
      <c r="AB22" s="72"/>
      <c r="AC22" s="72"/>
      <c r="AD22" s="72"/>
      <c r="AE22" s="72"/>
      <c r="AF22" s="72"/>
      <c r="AG22" s="72"/>
    </row>
    <row r="23" ht="15.75" customHeight="1">
      <c r="A23" s="72"/>
      <c r="B23" s="95"/>
      <c r="C23" s="96" t="s">
        <v>54</v>
      </c>
      <c r="D23" s="80">
        <v>0.0</v>
      </c>
      <c r="E23" s="81">
        <f t="shared" si="2"/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72"/>
      <c r="Y23" s="72"/>
      <c r="Z23" s="72"/>
      <c r="AA23" s="72"/>
      <c r="AB23" s="72"/>
      <c r="AC23" s="72"/>
      <c r="AD23" s="72"/>
      <c r="AE23" s="72"/>
      <c r="AF23" s="72"/>
      <c r="AG23" s="72"/>
    </row>
    <row r="24" ht="15.75" customHeight="1">
      <c r="A24" s="4"/>
      <c r="B24" s="78"/>
      <c r="C24" s="79" t="s">
        <v>55</v>
      </c>
      <c r="D24" s="80">
        <v>0.0</v>
      </c>
      <c r="E24" s="81">
        <f t="shared" si="2"/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72"/>
      <c r="Y24" s="72"/>
      <c r="Z24" s="72"/>
      <c r="AA24" s="72"/>
      <c r="AB24" s="72"/>
      <c r="AC24" s="72"/>
      <c r="AD24" s="72"/>
      <c r="AE24" s="72"/>
      <c r="AF24" s="72"/>
      <c r="AG24" s="72"/>
    </row>
    <row r="25" ht="15.75" customHeight="1">
      <c r="A25" s="50"/>
      <c r="B25" s="78"/>
      <c r="C25" s="72"/>
      <c r="D25" s="80">
        <v>0.0</v>
      </c>
      <c r="E25" s="81">
        <f t="shared" si="2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72"/>
      <c r="Y25" s="72"/>
      <c r="Z25" s="72"/>
      <c r="AA25" s="72"/>
      <c r="AB25" s="72"/>
      <c r="AC25" s="72"/>
      <c r="AD25" s="72"/>
      <c r="AE25" s="72"/>
      <c r="AF25" s="72"/>
      <c r="AG25" s="72"/>
    </row>
    <row r="26" ht="15.75" customHeight="1">
      <c r="A26" s="97"/>
      <c r="B26" s="78"/>
      <c r="C26" s="79" t="s">
        <v>56</v>
      </c>
      <c r="D26" s="80">
        <v>0.0</v>
      </c>
      <c r="E26" s="81">
        <f t="shared" si="2"/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72"/>
      <c r="Y26" s="72"/>
      <c r="Z26" s="72"/>
      <c r="AA26" s="72"/>
      <c r="AB26" s="72"/>
      <c r="AC26" s="72"/>
      <c r="AD26" s="72"/>
      <c r="AE26" s="72"/>
      <c r="AF26" s="72"/>
      <c r="AG26" s="72"/>
    </row>
    <row r="27" ht="14.25" customHeight="1">
      <c r="A27" s="50"/>
      <c r="B27" s="72"/>
      <c r="C27" s="79" t="s">
        <v>57</v>
      </c>
      <c r="D27" s="80">
        <v>0.0</v>
      </c>
      <c r="E27" s="81">
        <f t="shared" si="2"/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72"/>
      <c r="Y27" s="72"/>
      <c r="Z27" s="72"/>
      <c r="AA27" s="72"/>
      <c r="AB27" s="72"/>
      <c r="AC27" s="72"/>
      <c r="AD27" s="72"/>
      <c r="AE27" s="72"/>
      <c r="AF27" s="72"/>
      <c r="AG27" s="72"/>
    </row>
    <row r="28" ht="15.75" customHeight="1">
      <c r="A28" s="50"/>
      <c r="B28" s="98"/>
      <c r="C28" s="82" t="s">
        <v>58</v>
      </c>
      <c r="D28" s="80">
        <v>0.0</v>
      </c>
      <c r="E28" s="81">
        <f t="shared" si="2"/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72"/>
      <c r="Y28" s="72"/>
      <c r="Z28" s="72"/>
      <c r="AA28" s="72"/>
      <c r="AB28" s="72"/>
      <c r="AC28" s="72"/>
      <c r="AD28" s="72"/>
      <c r="AE28" s="72"/>
      <c r="AF28" s="72"/>
      <c r="AG28" s="72"/>
    </row>
    <row r="29" ht="15.75" customHeight="1">
      <c r="A29" s="50"/>
      <c r="B29" s="78"/>
      <c r="C29" s="82" t="s">
        <v>59</v>
      </c>
      <c r="D29" s="80">
        <v>0.0</v>
      </c>
      <c r="E29" s="81">
        <f t="shared" si="2"/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72"/>
      <c r="Y29" s="72"/>
      <c r="Z29" s="72"/>
      <c r="AA29" s="72"/>
      <c r="AB29" s="72"/>
      <c r="AC29" s="72"/>
      <c r="AD29" s="72"/>
      <c r="AE29" s="72"/>
      <c r="AF29" s="72"/>
      <c r="AG29" s="72"/>
    </row>
    <row r="30" ht="15.75" customHeight="1">
      <c r="A30" s="72"/>
      <c r="B30" s="78"/>
      <c r="C30" s="79" t="s">
        <v>49</v>
      </c>
      <c r="D30" s="80">
        <f>12900*C36
</f>
        <v>17856567</v>
      </c>
      <c r="E30" s="81">
        <f>SUM(G30:W30)</f>
        <v>17856567</v>
      </c>
      <c r="F30" s="4"/>
      <c r="G30" s="4"/>
      <c r="H30" s="4"/>
      <c r="I30" s="4"/>
      <c r="J30" s="4"/>
      <c r="K30" s="4"/>
      <c r="L30" s="4"/>
      <c r="M30" s="4">
        <f>12900*C36
</f>
        <v>17856567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72"/>
      <c r="Y30" s="72"/>
      <c r="Z30" s="72"/>
      <c r="AA30" s="72"/>
      <c r="AB30" s="72"/>
      <c r="AC30" s="72"/>
      <c r="AD30" s="72"/>
      <c r="AE30" s="72"/>
      <c r="AF30" s="72"/>
      <c r="AG30" s="72"/>
    </row>
    <row r="31" ht="13.5" customHeight="1">
      <c r="A31" s="72"/>
      <c r="B31" s="78"/>
      <c r="C31" s="79" t="s">
        <v>60</v>
      </c>
      <c r="D31" s="80">
        <f>10264*C36
</f>
        <v>14207736.72</v>
      </c>
      <c r="E31" s="81">
        <f>SUM(F31:W31)</f>
        <v>14207736.72</v>
      </c>
      <c r="F31" s="4">
        <f>10000*C36</f>
        <v>13842300</v>
      </c>
      <c r="G31" s="4">
        <f>264*C36</f>
        <v>365436.72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72"/>
      <c r="Y31" s="72"/>
      <c r="Z31" s="72"/>
      <c r="AA31" s="72"/>
      <c r="AB31" s="72"/>
      <c r="AC31" s="72"/>
      <c r="AD31" s="72"/>
      <c r="AE31" s="72"/>
      <c r="AF31" s="72"/>
      <c r="AG31" s="72"/>
    </row>
    <row r="32" ht="15.75" customHeight="1">
      <c r="A32" s="72"/>
      <c r="B32" s="78"/>
      <c r="C32" s="79" t="s">
        <v>37</v>
      </c>
      <c r="D32" s="80">
        <f>499965*C36      
</f>
        <v>692066552</v>
      </c>
      <c r="E32" s="81">
        <f>SUM(G32:W32)</f>
        <v>692066552</v>
      </c>
      <c r="G32" s="4"/>
      <c r="H32" s="4"/>
      <c r="I32" s="4">
        <f>499965*C36      
</f>
        <v>692066552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72"/>
      <c r="Y32" s="72"/>
      <c r="Z32" s="72"/>
      <c r="AA32" s="72"/>
      <c r="AB32" s="72"/>
      <c r="AC32" s="72"/>
      <c r="AD32" s="72"/>
      <c r="AE32" s="72"/>
      <c r="AF32" s="72"/>
      <c r="AG32" s="72"/>
    </row>
    <row r="33" ht="15.75" customHeight="1">
      <c r="A33" s="72"/>
      <c r="B33" s="78"/>
      <c r="C33" s="79" t="s">
        <v>61</v>
      </c>
      <c r="D33" s="80">
        <v>0.0</v>
      </c>
      <c r="E33" s="81">
        <f t="shared" ref="E33:E35" si="3">SUM(F33:W33)</f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72"/>
      <c r="Y33" s="72"/>
      <c r="Z33" s="72"/>
      <c r="AA33" s="72"/>
      <c r="AB33" s="72"/>
      <c r="AC33" s="72"/>
      <c r="AD33" s="72"/>
      <c r="AE33" s="72"/>
      <c r="AF33" s="72"/>
      <c r="AG33" s="72"/>
    </row>
    <row r="34" ht="15.75" customHeight="1">
      <c r="A34" s="72"/>
      <c r="B34" s="78"/>
      <c r="C34" s="79" t="s">
        <v>62</v>
      </c>
      <c r="D34" s="80">
        <f>0.94*C36
</f>
        <v>1301.1762</v>
      </c>
      <c r="E34" s="81">
        <f t="shared" si="3"/>
        <v>1301.1762</v>
      </c>
      <c r="F34" s="4"/>
      <c r="G34" s="4"/>
      <c r="H34" s="4"/>
      <c r="I34" s="4"/>
      <c r="J34" s="4"/>
      <c r="K34" s="4"/>
      <c r="L34" s="4">
        <f>0.94*C36
</f>
        <v>1301.1762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72"/>
      <c r="Y34" s="72"/>
      <c r="Z34" s="72"/>
      <c r="AA34" s="72"/>
      <c r="AB34" s="72"/>
      <c r="AC34" s="72"/>
      <c r="AD34" s="72"/>
      <c r="AE34" s="72"/>
      <c r="AF34" s="72"/>
      <c r="AG34" s="72"/>
    </row>
    <row r="35" ht="15.75" customHeight="1">
      <c r="A35" s="72"/>
      <c r="B35" s="78"/>
      <c r="C35" s="82" t="s">
        <v>63</v>
      </c>
      <c r="D35" s="80">
        <f>6000*C36</f>
        <v>8305380</v>
      </c>
      <c r="E35" s="81">
        <f t="shared" si="3"/>
        <v>8305380</v>
      </c>
      <c r="F35" s="4"/>
      <c r="G35" s="4"/>
      <c r="H35" s="4"/>
      <c r="I35" s="4"/>
      <c r="J35" s="4"/>
      <c r="K35" s="4"/>
      <c r="L35" s="4"/>
      <c r="M35" s="4">
        <f>6000*C36</f>
        <v>8305380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72"/>
      <c r="Y35" s="72"/>
      <c r="Z35" s="72"/>
      <c r="AA35" s="72"/>
      <c r="AB35" s="72"/>
      <c r="AC35" s="72"/>
      <c r="AD35" s="72"/>
      <c r="AE35" s="72"/>
      <c r="AF35" s="72"/>
      <c r="AG35" s="72"/>
    </row>
    <row r="36" ht="15.75" customHeight="1">
      <c r="A36" s="72"/>
      <c r="B36" s="78"/>
      <c r="C36" s="99">
        <f>'Cash Report'!E31</f>
        <v>1384.23</v>
      </c>
      <c r="D36" s="100">
        <f t="shared" ref="D36:W36" si="4">SUM(D4:D35)</f>
        <v>778397637.5</v>
      </c>
      <c r="E36" s="100">
        <f t="shared" si="4"/>
        <v>778397637.5</v>
      </c>
      <c r="F36" s="100">
        <f t="shared" si="4"/>
        <v>20842300</v>
      </c>
      <c r="G36" s="100">
        <f t="shared" si="4"/>
        <v>392536.72</v>
      </c>
      <c r="H36" s="100">
        <f t="shared" si="4"/>
        <v>10000.7</v>
      </c>
      <c r="I36" s="100">
        <f t="shared" si="4"/>
        <v>692066552</v>
      </c>
      <c r="J36" s="100">
        <f t="shared" si="4"/>
        <v>275000</v>
      </c>
      <c r="K36" s="100">
        <f t="shared" si="4"/>
        <v>0</v>
      </c>
      <c r="L36" s="100">
        <f t="shared" si="4"/>
        <v>1301.1762</v>
      </c>
      <c r="M36" s="100">
        <f t="shared" si="4"/>
        <v>64809947</v>
      </c>
      <c r="N36" s="100">
        <f t="shared" si="4"/>
        <v>0</v>
      </c>
      <c r="O36" s="100">
        <f t="shared" si="4"/>
        <v>0</v>
      </c>
      <c r="P36" s="100">
        <f t="shared" si="4"/>
        <v>0</v>
      </c>
      <c r="Q36" s="100">
        <f t="shared" si="4"/>
        <v>0</v>
      </c>
      <c r="R36" s="100">
        <f t="shared" si="4"/>
        <v>0</v>
      </c>
      <c r="S36" s="100">
        <f t="shared" si="4"/>
        <v>0</v>
      </c>
      <c r="T36" s="100">
        <f t="shared" si="4"/>
        <v>0</v>
      </c>
      <c r="U36" s="100">
        <f t="shared" si="4"/>
        <v>0</v>
      </c>
      <c r="V36" s="100">
        <f t="shared" si="4"/>
        <v>0</v>
      </c>
      <c r="W36" s="100">
        <f t="shared" si="4"/>
        <v>0</v>
      </c>
      <c r="X36" s="72"/>
      <c r="Y36" s="72"/>
      <c r="Z36" s="72"/>
      <c r="AA36" s="72"/>
      <c r="AB36" s="72"/>
      <c r="AC36" s="72"/>
      <c r="AD36" s="72"/>
      <c r="AE36" s="72"/>
      <c r="AF36" s="72"/>
      <c r="AG36" s="72"/>
    </row>
    <row r="37" ht="15.75" customHeight="1">
      <c r="A37" s="72"/>
      <c r="B37" s="78"/>
      <c r="C37" s="72"/>
      <c r="D37" s="101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</row>
    <row r="38" ht="15.75" customHeight="1">
      <c r="A38" s="72"/>
      <c r="B38" s="72"/>
      <c r="C38" s="72"/>
      <c r="D38" s="75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</row>
    <row r="39" ht="15.75" customHeight="1">
      <c r="A39" s="72"/>
      <c r="B39" s="72"/>
      <c r="C39" s="72"/>
      <c r="D39" s="75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</row>
    <row r="40" ht="15.75" customHeight="1">
      <c r="A40" s="72"/>
      <c r="B40" s="72"/>
      <c r="C40" s="72"/>
      <c r="D40" s="75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</row>
    <row r="41" ht="15.75" customHeight="1">
      <c r="A41" s="72"/>
      <c r="B41" s="72"/>
      <c r="C41" s="72"/>
      <c r="D41" s="75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</row>
    <row r="42" ht="15.75" customHeight="1">
      <c r="A42" s="72"/>
      <c r="B42" s="72"/>
      <c r="C42" s="72"/>
      <c r="D42" s="75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</row>
    <row r="43" ht="15.75" customHeight="1">
      <c r="A43" s="72"/>
      <c r="B43" s="72"/>
      <c r="C43" s="72"/>
      <c r="D43" s="75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</row>
    <row r="44" ht="15.75" customHeight="1">
      <c r="A44" s="72"/>
      <c r="B44" s="72"/>
      <c r="C44" s="72"/>
      <c r="D44" s="75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</row>
    <row r="45" ht="15.75" customHeight="1">
      <c r="A45" s="72"/>
      <c r="B45" s="72"/>
      <c r="C45" s="72"/>
      <c r="D45" s="75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</row>
    <row r="46" ht="15.75" customHeight="1">
      <c r="A46" s="72"/>
      <c r="B46" s="72"/>
      <c r="C46" s="72"/>
      <c r="D46" s="75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</row>
    <row r="47" ht="15.75" customHeight="1">
      <c r="A47" s="72"/>
      <c r="B47" s="72"/>
      <c r="C47" s="72"/>
      <c r="D47" s="75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</row>
    <row r="48" ht="15.75" customHeight="1">
      <c r="A48" s="72"/>
      <c r="B48" s="72"/>
      <c r="C48" s="72"/>
      <c r="D48" s="75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</row>
    <row r="49" ht="15.75" customHeight="1">
      <c r="A49" s="72"/>
      <c r="B49" s="72"/>
      <c r="C49" s="72"/>
      <c r="D49" s="75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</row>
    <row r="50" ht="15.75" customHeight="1">
      <c r="A50" s="72"/>
      <c r="B50" s="72"/>
      <c r="C50" s="72"/>
      <c r="D50" s="75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</row>
    <row r="51" ht="15.75" customHeight="1">
      <c r="A51" s="72"/>
      <c r="B51" s="72"/>
      <c r="C51" s="72"/>
      <c r="D51" s="75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</row>
    <row r="52" ht="15.75" customHeight="1">
      <c r="A52" s="72"/>
      <c r="B52" s="72"/>
      <c r="C52" s="72"/>
      <c r="D52" s="75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</row>
    <row r="53" ht="15.75" customHeight="1">
      <c r="A53" s="72"/>
      <c r="B53" s="72"/>
      <c r="C53" s="72"/>
      <c r="D53" s="75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</row>
    <row r="54" ht="15.75" customHeight="1">
      <c r="A54" s="72"/>
      <c r="B54" s="72"/>
      <c r="C54" s="72"/>
      <c r="D54" s="75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</row>
    <row r="55" ht="15.75" customHeight="1">
      <c r="A55" s="72"/>
      <c r="B55" s="72"/>
      <c r="C55" s="72"/>
      <c r="D55" s="75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</row>
    <row r="56" ht="15.75" customHeight="1">
      <c r="A56" s="72"/>
      <c r="B56" s="72"/>
      <c r="C56" s="72"/>
      <c r="D56" s="75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</row>
    <row r="57" ht="15.75" customHeight="1">
      <c r="A57" s="72"/>
      <c r="B57" s="72"/>
      <c r="C57" s="72"/>
      <c r="D57" s="75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</row>
    <row r="58" ht="15.75" customHeight="1">
      <c r="A58" s="72"/>
      <c r="B58" s="72"/>
      <c r="C58" s="72"/>
      <c r="D58" s="75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</row>
    <row r="59" ht="15.75" customHeight="1">
      <c r="A59" s="72"/>
      <c r="B59" s="72"/>
      <c r="C59" s="72"/>
      <c r="D59" s="75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</row>
    <row r="60" ht="15.75" customHeight="1">
      <c r="A60" s="72"/>
      <c r="B60" s="72"/>
      <c r="C60" s="72"/>
      <c r="D60" s="75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</row>
    <row r="61" ht="15.75" customHeight="1">
      <c r="A61" s="72"/>
      <c r="B61" s="72"/>
      <c r="C61" s="72"/>
      <c r="D61" s="75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</row>
    <row r="62" ht="15.75" customHeight="1">
      <c r="A62" s="72"/>
      <c r="B62" s="72"/>
      <c r="C62" s="72"/>
      <c r="D62" s="75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</row>
    <row r="63" ht="15.75" customHeight="1">
      <c r="A63" s="72"/>
      <c r="B63" s="72"/>
      <c r="C63" s="72"/>
      <c r="D63" s="75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</row>
    <row r="64" ht="15.75" customHeight="1">
      <c r="A64" s="72"/>
      <c r="B64" s="72"/>
      <c r="C64" s="72"/>
      <c r="D64" s="75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</row>
    <row r="65" ht="15.75" customHeight="1">
      <c r="A65" s="72"/>
      <c r="B65" s="72"/>
      <c r="C65" s="72"/>
      <c r="D65" s="75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</row>
    <row r="66" ht="15.75" customHeight="1">
      <c r="A66" s="72"/>
      <c r="B66" s="72"/>
      <c r="C66" s="72"/>
      <c r="D66" s="75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</row>
    <row r="67" ht="15.75" customHeight="1">
      <c r="A67" s="72"/>
      <c r="B67" s="72"/>
      <c r="C67" s="72"/>
      <c r="D67" s="75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</row>
    <row r="68" ht="15.75" customHeight="1">
      <c r="A68" s="72"/>
      <c r="B68" s="72"/>
      <c r="C68" s="72"/>
      <c r="D68" s="75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</row>
    <row r="69" ht="15.75" customHeight="1">
      <c r="A69" s="72"/>
      <c r="B69" s="72"/>
      <c r="C69" s="72"/>
      <c r="D69" s="75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</row>
    <row r="70" ht="15.75" customHeight="1">
      <c r="A70" s="72"/>
      <c r="B70" s="72"/>
      <c r="C70" s="72"/>
      <c r="D70" s="75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</row>
    <row r="71" ht="15.75" customHeight="1">
      <c r="A71" s="72"/>
      <c r="B71" s="72"/>
      <c r="C71" s="72"/>
      <c r="D71" s="75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</row>
    <row r="72" ht="15.75" customHeight="1">
      <c r="A72" s="72"/>
      <c r="B72" s="72"/>
      <c r="C72" s="72"/>
      <c r="D72" s="75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</row>
    <row r="73" ht="15.75" customHeight="1">
      <c r="A73" s="72"/>
      <c r="B73" s="72"/>
      <c r="C73" s="72"/>
      <c r="D73" s="75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</row>
    <row r="74" ht="15.75" customHeight="1">
      <c r="A74" s="72"/>
      <c r="B74" s="72"/>
      <c r="C74" s="72"/>
      <c r="D74" s="75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</row>
    <row r="75" ht="15.75" customHeight="1">
      <c r="A75" s="72"/>
      <c r="B75" s="72"/>
      <c r="C75" s="72"/>
      <c r="D75" s="75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</row>
    <row r="76" ht="15.75" customHeight="1">
      <c r="A76" s="72"/>
      <c r="B76" s="72"/>
      <c r="C76" s="72"/>
      <c r="D76" s="75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</row>
    <row r="77" ht="15.75" customHeight="1">
      <c r="A77" s="72"/>
      <c r="B77" s="72"/>
      <c r="C77" s="72"/>
      <c r="D77" s="75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</row>
    <row r="78" ht="15.75" customHeight="1">
      <c r="A78" s="72"/>
      <c r="B78" s="72"/>
      <c r="C78" s="72"/>
      <c r="D78" s="75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</row>
    <row r="79" ht="15.75" customHeight="1">
      <c r="A79" s="72"/>
      <c r="B79" s="72"/>
      <c r="C79" s="72"/>
      <c r="D79" s="75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</row>
    <row r="80" ht="15.75" customHeight="1">
      <c r="A80" s="72"/>
      <c r="B80" s="72"/>
      <c r="C80" s="72"/>
      <c r="D80" s="75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</row>
    <row r="81" ht="15.75" customHeight="1">
      <c r="A81" s="72"/>
      <c r="B81" s="72"/>
      <c r="C81" s="72"/>
      <c r="D81" s="75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</row>
    <row r="82" ht="15.75" customHeight="1">
      <c r="A82" s="72"/>
      <c r="B82" s="72"/>
      <c r="C82" s="72"/>
      <c r="D82" s="75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</row>
    <row r="83" ht="15.75" customHeight="1">
      <c r="A83" s="72"/>
      <c r="B83" s="72"/>
      <c r="C83" s="72"/>
      <c r="D83" s="75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</row>
    <row r="84" ht="15.75" customHeight="1">
      <c r="A84" s="72"/>
      <c r="B84" s="72"/>
      <c r="C84" s="72"/>
      <c r="D84" s="75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</row>
    <row r="85" ht="15.75" customHeight="1">
      <c r="A85" s="72"/>
      <c r="B85" s="72"/>
      <c r="C85" s="72"/>
      <c r="D85" s="75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</row>
    <row r="86" ht="15.75" customHeight="1">
      <c r="A86" s="72"/>
      <c r="B86" s="72"/>
      <c r="C86" s="72"/>
      <c r="D86" s="75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</row>
    <row r="87" ht="15.75" customHeight="1">
      <c r="A87" s="72"/>
      <c r="B87" s="72"/>
      <c r="C87" s="72"/>
      <c r="D87" s="75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</row>
    <row r="88" ht="15.75" customHeight="1">
      <c r="A88" s="72"/>
      <c r="B88" s="72"/>
      <c r="C88" s="72"/>
      <c r="D88" s="75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</row>
    <row r="89" ht="15.75" customHeight="1">
      <c r="A89" s="72"/>
      <c r="B89" s="72"/>
      <c r="C89" s="72"/>
      <c r="D89" s="75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</row>
    <row r="90" ht="15.75" customHeight="1">
      <c r="A90" s="72"/>
      <c r="B90" s="72"/>
      <c r="C90" s="72"/>
      <c r="D90" s="75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</row>
    <row r="91" ht="15.75" customHeight="1">
      <c r="A91" s="72"/>
      <c r="B91" s="72"/>
      <c r="C91" s="72"/>
      <c r="D91" s="75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</row>
    <row r="92" ht="15.75" customHeight="1">
      <c r="A92" s="72"/>
      <c r="B92" s="72"/>
      <c r="C92" s="72"/>
      <c r="D92" s="75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</row>
    <row r="93" ht="15.75" customHeight="1">
      <c r="A93" s="72"/>
      <c r="B93" s="72"/>
      <c r="C93" s="72"/>
      <c r="D93" s="75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</row>
    <row r="94" ht="15.75" customHeight="1">
      <c r="A94" s="72"/>
      <c r="B94" s="72"/>
      <c r="C94" s="72"/>
      <c r="D94" s="75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</row>
    <row r="95" ht="15.75" customHeight="1">
      <c r="A95" s="72"/>
      <c r="B95" s="72"/>
      <c r="C95" s="72"/>
      <c r="D95" s="75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</row>
    <row r="96" ht="15.75" customHeight="1">
      <c r="A96" s="72"/>
      <c r="B96" s="72"/>
      <c r="C96" s="72"/>
      <c r="D96" s="75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</row>
    <row r="97" ht="15.75" customHeight="1">
      <c r="A97" s="72"/>
      <c r="B97" s="72"/>
      <c r="C97" s="72"/>
      <c r="D97" s="75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</row>
    <row r="98" ht="15.75" customHeight="1">
      <c r="A98" s="72"/>
      <c r="B98" s="72"/>
      <c r="C98" s="72"/>
      <c r="D98" s="75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</row>
    <row r="99" ht="15.75" customHeight="1">
      <c r="A99" s="72"/>
      <c r="B99" s="72"/>
      <c r="C99" s="72"/>
      <c r="D99" s="75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</row>
    <row r="100" ht="15.75" customHeight="1">
      <c r="A100" s="72"/>
      <c r="B100" s="72"/>
      <c r="C100" s="72"/>
      <c r="D100" s="75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</row>
    <row r="101" ht="15.75" customHeight="1">
      <c r="A101" s="72"/>
      <c r="B101" s="72"/>
      <c r="C101" s="72"/>
      <c r="D101" s="75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</row>
    <row r="102" ht="15.75" customHeight="1">
      <c r="A102" s="72"/>
      <c r="B102" s="72"/>
      <c r="C102" s="72"/>
      <c r="D102" s="75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</row>
    <row r="103" ht="15.75" customHeight="1">
      <c r="A103" s="72"/>
      <c r="B103" s="72"/>
      <c r="C103" s="72"/>
      <c r="D103" s="75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</row>
    <row r="104" ht="15.75" customHeight="1">
      <c r="A104" s="72"/>
      <c r="B104" s="72"/>
      <c r="C104" s="72"/>
      <c r="D104" s="75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</row>
    <row r="105" ht="15.75" customHeight="1">
      <c r="A105" s="72"/>
      <c r="B105" s="72"/>
      <c r="C105" s="72"/>
      <c r="D105" s="75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</row>
    <row r="106" ht="15.75" customHeight="1">
      <c r="A106" s="72"/>
      <c r="B106" s="72"/>
      <c r="C106" s="72"/>
      <c r="D106" s="75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</row>
    <row r="107" ht="15.75" customHeight="1">
      <c r="A107" s="72"/>
      <c r="B107" s="72"/>
      <c r="C107" s="72"/>
      <c r="D107" s="75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</row>
    <row r="108" ht="15.75" customHeight="1">
      <c r="A108" s="72"/>
      <c r="B108" s="72"/>
      <c r="C108" s="72"/>
      <c r="D108" s="75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</row>
    <row r="109" ht="15.75" customHeight="1">
      <c r="A109" s="72"/>
      <c r="B109" s="72"/>
      <c r="C109" s="72"/>
      <c r="D109" s="75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</row>
    <row r="110" ht="15.75" customHeight="1">
      <c r="A110" s="72"/>
      <c r="B110" s="72"/>
      <c r="C110" s="72"/>
      <c r="D110" s="75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</row>
    <row r="111" ht="15.75" customHeight="1">
      <c r="A111" s="72"/>
      <c r="B111" s="72"/>
      <c r="C111" s="72"/>
      <c r="D111" s="75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</row>
    <row r="112" ht="15.75" customHeight="1">
      <c r="A112" s="72"/>
      <c r="B112" s="72"/>
      <c r="C112" s="72"/>
      <c r="D112" s="75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</row>
    <row r="113" ht="15.75" customHeight="1">
      <c r="A113" s="72"/>
      <c r="B113" s="72"/>
      <c r="C113" s="72"/>
      <c r="D113" s="75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</row>
    <row r="114" ht="15.75" customHeight="1">
      <c r="A114" s="72"/>
      <c r="B114" s="72"/>
      <c r="C114" s="72"/>
      <c r="D114" s="75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</row>
    <row r="115" ht="15.75" customHeight="1">
      <c r="A115" s="72"/>
      <c r="B115" s="72"/>
      <c r="C115" s="72"/>
      <c r="D115" s="75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</row>
    <row r="116" ht="15.75" customHeight="1">
      <c r="A116" s="72"/>
      <c r="B116" s="72"/>
      <c r="C116" s="72"/>
      <c r="D116" s="75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</row>
    <row r="117" ht="15.75" customHeight="1">
      <c r="A117" s="72"/>
      <c r="B117" s="72"/>
      <c r="C117" s="72"/>
      <c r="D117" s="75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</row>
    <row r="118" ht="15.75" customHeight="1">
      <c r="A118" s="72"/>
      <c r="B118" s="72"/>
      <c r="C118" s="72"/>
      <c r="D118" s="75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</row>
    <row r="119" ht="15.75" customHeight="1">
      <c r="A119" s="72"/>
      <c r="B119" s="72"/>
      <c r="C119" s="72"/>
      <c r="D119" s="75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</row>
    <row r="120" ht="15.75" customHeight="1">
      <c r="A120" s="72"/>
      <c r="B120" s="72"/>
      <c r="C120" s="72"/>
      <c r="D120" s="75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</row>
    <row r="121" ht="15.75" customHeight="1">
      <c r="A121" s="72"/>
      <c r="B121" s="72"/>
      <c r="C121" s="72"/>
      <c r="D121" s="75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</row>
    <row r="122" ht="15.75" customHeight="1">
      <c r="A122" s="72"/>
      <c r="B122" s="72"/>
      <c r="C122" s="72"/>
      <c r="D122" s="75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</row>
    <row r="123" ht="15.75" customHeight="1">
      <c r="A123" s="72"/>
      <c r="B123" s="72"/>
      <c r="C123" s="72"/>
      <c r="D123" s="75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</row>
    <row r="124" ht="15.75" customHeight="1">
      <c r="A124" s="72"/>
      <c r="B124" s="72"/>
      <c r="C124" s="72"/>
      <c r="D124" s="75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</row>
    <row r="125" ht="15.75" customHeight="1">
      <c r="A125" s="72"/>
      <c r="B125" s="72"/>
      <c r="C125" s="72"/>
      <c r="D125" s="75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</row>
    <row r="126" ht="15.75" customHeight="1">
      <c r="A126" s="72"/>
      <c r="B126" s="72"/>
      <c r="C126" s="72"/>
      <c r="D126" s="75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</row>
    <row r="127" ht="15.75" customHeight="1">
      <c r="A127" s="72"/>
      <c r="B127" s="72"/>
      <c r="C127" s="72"/>
      <c r="D127" s="75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</row>
    <row r="128" ht="15.75" customHeight="1">
      <c r="A128" s="72"/>
      <c r="B128" s="72"/>
      <c r="C128" s="72"/>
      <c r="D128" s="75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</row>
    <row r="129" ht="15.75" customHeight="1">
      <c r="A129" s="72"/>
      <c r="B129" s="72"/>
      <c r="C129" s="72"/>
      <c r="D129" s="75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</row>
    <row r="130" ht="15.75" customHeight="1">
      <c r="A130" s="72"/>
      <c r="B130" s="72"/>
      <c r="C130" s="72"/>
      <c r="D130" s="75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</row>
    <row r="131" ht="15.75" customHeight="1">
      <c r="A131" s="72"/>
      <c r="B131" s="72"/>
      <c r="C131" s="72"/>
      <c r="D131" s="75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</row>
    <row r="132" ht="15.75" customHeight="1">
      <c r="A132" s="72"/>
      <c r="B132" s="72"/>
      <c r="C132" s="72"/>
      <c r="D132" s="75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</row>
    <row r="133" ht="15.75" customHeight="1">
      <c r="A133" s="72"/>
      <c r="B133" s="72"/>
      <c r="C133" s="72"/>
      <c r="D133" s="75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</row>
    <row r="134" ht="15.75" customHeight="1">
      <c r="A134" s="72"/>
      <c r="B134" s="72"/>
      <c r="C134" s="72"/>
      <c r="D134" s="75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</row>
    <row r="135" ht="15.75" customHeight="1">
      <c r="A135" s="72"/>
      <c r="B135" s="72"/>
      <c r="C135" s="72"/>
      <c r="D135" s="75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</row>
    <row r="136" ht="15.75" customHeight="1">
      <c r="A136" s="72"/>
      <c r="B136" s="72"/>
      <c r="C136" s="72"/>
      <c r="D136" s="75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</row>
    <row r="137" ht="15.75" customHeight="1">
      <c r="A137" s="72"/>
      <c r="B137" s="72"/>
      <c r="C137" s="72"/>
      <c r="D137" s="75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</row>
    <row r="138" ht="15.75" customHeight="1">
      <c r="A138" s="72"/>
      <c r="B138" s="72"/>
      <c r="C138" s="72"/>
      <c r="D138" s="75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</row>
    <row r="139" ht="15.75" customHeight="1">
      <c r="A139" s="72"/>
      <c r="B139" s="72"/>
      <c r="C139" s="72"/>
      <c r="D139" s="75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</row>
    <row r="140" ht="15.75" customHeight="1">
      <c r="A140" s="72"/>
      <c r="B140" s="72"/>
      <c r="C140" s="72"/>
      <c r="D140" s="75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</row>
    <row r="141" ht="15.75" customHeight="1">
      <c r="A141" s="72"/>
      <c r="B141" s="72"/>
      <c r="C141" s="72"/>
      <c r="D141" s="75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</row>
    <row r="142" ht="15.75" customHeight="1">
      <c r="A142" s="72"/>
      <c r="B142" s="72"/>
      <c r="C142" s="72"/>
      <c r="D142" s="75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</row>
    <row r="143" ht="15.75" customHeight="1">
      <c r="A143" s="72"/>
      <c r="B143" s="72"/>
      <c r="C143" s="72"/>
      <c r="D143" s="75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</row>
    <row r="144" ht="15.75" customHeight="1">
      <c r="A144" s="72"/>
      <c r="B144" s="72"/>
      <c r="C144" s="72"/>
      <c r="D144" s="75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</row>
    <row r="145" ht="15.75" customHeight="1">
      <c r="A145" s="72"/>
      <c r="B145" s="72"/>
      <c r="C145" s="72"/>
      <c r="D145" s="75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</row>
    <row r="146" ht="15.75" customHeight="1">
      <c r="A146" s="72"/>
      <c r="B146" s="72"/>
      <c r="C146" s="72"/>
      <c r="D146" s="75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</row>
    <row r="147" ht="15.75" customHeight="1">
      <c r="A147" s="72"/>
      <c r="B147" s="72"/>
      <c r="C147" s="72"/>
      <c r="D147" s="75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</row>
    <row r="148" ht="15.75" customHeight="1">
      <c r="A148" s="72"/>
      <c r="B148" s="72"/>
      <c r="C148" s="72"/>
      <c r="D148" s="75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</row>
    <row r="149" ht="15.75" customHeight="1">
      <c r="A149" s="72"/>
      <c r="B149" s="72"/>
      <c r="C149" s="72"/>
      <c r="D149" s="75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</row>
    <row r="150" ht="15.75" customHeight="1">
      <c r="A150" s="72"/>
      <c r="B150" s="72"/>
      <c r="C150" s="72"/>
      <c r="D150" s="75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</row>
    <row r="151" ht="15.75" customHeight="1">
      <c r="A151" s="72"/>
      <c r="B151" s="72"/>
      <c r="C151" s="72"/>
      <c r="D151" s="75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</row>
    <row r="152" ht="15.75" customHeight="1">
      <c r="A152" s="72"/>
      <c r="B152" s="72"/>
      <c r="C152" s="72"/>
      <c r="D152" s="75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</row>
    <row r="153" ht="15.75" customHeight="1">
      <c r="A153" s="72"/>
      <c r="B153" s="72"/>
      <c r="C153" s="72"/>
      <c r="D153" s="75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</row>
    <row r="154" ht="15.75" customHeight="1">
      <c r="A154" s="72"/>
      <c r="B154" s="72"/>
      <c r="C154" s="72"/>
      <c r="D154" s="75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</row>
    <row r="155" ht="15.75" customHeight="1">
      <c r="A155" s="72"/>
      <c r="B155" s="72"/>
      <c r="C155" s="72"/>
      <c r="D155" s="75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</row>
    <row r="156" ht="15.75" customHeight="1">
      <c r="A156" s="72"/>
      <c r="B156" s="72"/>
      <c r="C156" s="72"/>
      <c r="D156" s="75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</row>
    <row r="157" ht="15.75" customHeight="1">
      <c r="A157" s="72"/>
      <c r="B157" s="72"/>
      <c r="C157" s="72"/>
      <c r="D157" s="75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</row>
    <row r="158" ht="15.75" customHeight="1">
      <c r="A158" s="72"/>
      <c r="B158" s="72"/>
      <c r="C158" s="72"/>
      <c r="D158" s="75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</row>
    <row r="159" ht="15.75" customHeight="1">
      <c r="A159" s="72"/>
      <c r="B159" s="72"/>
      <c r="C159" s="72"/>
      <c r="D159" s="75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</row>
    <row r="160" ht="15.75" customHeight="1">
      <c r="A160" s="72"/>
      <c r="B160" s="72"/>
      <c r="C160" s="72"/>
      <c r="D160" s="75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</row>
    <row r="161" ht="15.75" customHeight="1">
      <c r="A161" s="72"/>
      <c r="B161" s="72"/>
      <c r="C161" s="72"/>
      <c r="D161" s="75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</row>
    <row r="162" ht="15.75" customHeight="1">
      <c r="A162" s="72"/>
      <c r="B162" s="72"/>
      <c r="C162" s="72"/>
      <c r="D162" s="75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</row>
    <row r="163" ht="15.75" customHeight="1">
      <c r="A163" s="72"/>
      <c r="B163" s="72"/>
      <c r="C163" s="72"/>
      <c r="D163" s="75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</row>
    <row r="164" ht="15.75" customHeight="1">
      <c r="A164" s="72"/>
      <c r="B164" s="72"/>
      <c r="C164" s="72"/>
      <c r="D164" s="75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</row>
    <row r="165" ht="15.75" customHeight="1">
      <c r="A165" s="72"/>
      <c r="B165" s="72"/>
      <c r="C165" s="72"/>
      <c r="D165" s="75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</row>
    <row r="166" ht="15.75" customHeight="1">
      <c r="A166" s="72"/>
      <c r="B166" s="72"/>
      <c r="C166" s="72"/>
      <c r="D166" s="75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</row>
    <row r="167" ht="15.75" customHeight="1">
      <c r="A167" s="72"/>
      <c r="B167" s="72"/>
      <c r="C167" s="72"/>
      <c r="D167" s="75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</row>
    <row r="168" ht="15.75" customHeight="1">
      <c r="A168" s="72"/>
      <c r="B168" s="72"/>
      <c r="C168" s="72"/>
      <c r="D168" s="75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</row>
    <row r="169" ht="15.75" customHeight="1">
      <c r="A169" s="72"/>
      <c r="B169" s="72"/>
      <c r="C169" s="72"/>
      <c r="D169" s="75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</row>
    <row r="170" ht="15.75" customHeight="1">
      <c r="A170" s="72"/>
      <c r="B170" s="72"/>
      <c r="C170" s="72"/>
      <c r="D170" s="75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</row>
    <row r="171" ht="15.75" customHeight="1">
      <c r="A171" s="72"/>
      <c r="B171" s="72"/>
      <c r="C171" s="72"/>
      <c r="D171" s="75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</row>
    <row r="172" ht="15.75" customHeight="1">
      <c r="A172" s="72"/>
      <c r="B172" s="72"/>
      <c r="C172" s="72"/>
      <c r="D172" s="75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</row>
    <row r="173" ht="15.75" customHeight="1">
      <c r="A173" s="72"/>
      <c r="B173" s="72"/>
      <c r="C173" s="72"/>
      <c r="D173" s="75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</row>
    <row r="174" ht="15.75" customHeight="1">
      <c r="A174" s="72"/>
      <c r="B174" s="72"/>
      <c r="C174" s="72"/>
      <c r="D174" s="75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</row>
    <row r="175" ht="15.75" customHeight="1">
      <c r="A175" s="72"/>
      <c r="B175" s="72"/>
      <c r="C175" s="72"/>
      <c r="D175" s="75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</row>
    <row r="176" ht="15.75" customHeight="1">
      <c r="A176" s="72"/>
      <c r="B176" s="72"/>
      <c r="C176" s="72"/>
      <c r="D176" s="75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</row>
    <row r="177" ht="15.75" customHeight="1">
      <c r="A177" s="72"/>
      <c r="B177" s="72"/>
      <c r="C177" s="72"/>
      <c r="D177" s="75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</row>
    <row r="178" ht="15.75" customHeight="1">
      <c r="A178" s="72"/>
      <c r="B178" s="72"/>
      <c r="C178" s="72"/>
      <c r="D178" s="75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</row>
    <row r="179" ht="15.75" customHeight="1">
      <c r="A179" s="72"/>
      <c r="B179" s="72"/>
      <c r="C179" s="72"/>
      <c r="D179" s="75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</row>
    <row r="180" ht="15.75" customHeight="1">
      <c r="A180" s="72"/>
      <c r="B180" s="72"/>
      <c r="C180" s="72"/>
      <c r="D180" s="75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</row>
    <row r="181" ht="15.75" customHeight="1">
      <c r="A181" s="72"/>
      <c r="B181" s="72"/>
      <c r="C181" s="72"/>
      <c r="D181" s="75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</row>
    <row r="182" ht="15.75" customHeight="1">
      <c r="A182" s="72"/>
      <c r="B182" s="72"/>
      <c r="C182" s="72"/>
      <c r="D182" s="75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</row>
    <row r="183" ht="15.75" customHeight="1">
      <c r="A183" s="72"/>
      <c r="B183" s="72"/>
      <c r="C183" s="72"/>
      <c r="D183" s="75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</row>
    <row r="184" ht="15.75" customHeight="1">
      <c r="A184" s="72"/>
      <c r="B184" s="72"/>
      <c r="C184" s="72"/>
      <c r="D184" s="75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</row>
    <row r="185" ht="15.75" customHeight="1">
      <c r="A185" s="72"/>
      <c r="B185" s="72"/>
      <c r="C185" s="72"/>
      <c r="D185" s="75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</row>
    <row r="186" ht="15.75" customHeight="1">
      <c r="A186" s="72"/>
      <c r="B186" s="72"/>
      <c r="C186" s="72"/>
      <c r="D186" s="75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</row>
    <row r="187" ht="15.75" customHeight="1">
      <c r="A187" s="72"/>
      <c r="B187" s="72"/>
      <c r="C187" s="72"/>
      <c r="D187" s="75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</row>
    <row r="188" ht="15.75" customHeight="1">
      <c r="A188" s="72"/>
      <c r="B188" s="72"/>
      <c r="C188" s="72"/>
      <c r="D188" s="75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</row>
    <row r="189" ht="15.75" customHeight="1">
      <c r="A189" s="72"/>
      <c r="B189" s="72"/>
      <c r="C189" s="72"/>
      <c r="D189" s="75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</row>
    <row r="190" ht="15.75" customHeight="1">
      <c r="A190" s="72"/>
      <c r="B190" s="72"/>
      <c r="C190" s="72"/>
      <c r="D190" s="75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</row>
    <row r="191" ht="15.75" customHeight="1">
      <c r="A191" s="72"/>
      <c r="B191" s="72"/>
      <c r="C191" s="72"/>
      <c r="D191" s="75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</row>
    <row r="192" ht="15.75" customHeight="1">
      <c r="A192" s="72"/>
      <c r="B192" s="72"/>
      <c r="C192" s="72"/>
      <c r="D192" s="75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</row>
    <row r="193" ht="15.75" customHeight="1">
      <c r="A193" s="72"/>
      <c r="B193" s="72"/>
      <c r="C193" s="72"/>
      <c r="D193" s="75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</row>
    <row r="194" ht="15.75" customHeight="1">
      <c r="A194" s="72"/>
      <c r="B194" s="72"/>
      <c r="C194" s="72"/>
      <c r="D194" s="75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</row>
    <row r="195" ht="15.75" customHeight="1">
      <c r="A195" s="72"/>
      <c r="B195" s="72"/>
      <c r="C195" s="72"/>
      <c r="D195" s="75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</row>
    <row r="196" ht="15.75" customHeight="1">
      <c r="A196" s="72"/>
      <c r="B196" s="72"/>
      <c r="C196" s="72"/>
      <c r="D196" s="75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</row>
    <row r="197" ht="15.75" customHeight="1">
      <c r="A197" s="72"/>
      <c r="B197" s="72"/>
      <c r="C197" s="72"/>
      <c r="D197" s="75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</row>
    <row r="198" ht="15.75" customHeight="1">
      <c r="A198" s="72"/>
      <c r="B198" s="72"/>
      <c r="C198" s="72"/>
      <c r="D198" s="75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</row>
    <row r="199" ht="15.75" customHeight="1">
      <c r="A199" s="72"/>
      <c r="B199" s="72"/>
      <c r="C199" s="72"/>
      <c r="D199" s="75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</row>
    <row r="200" ht="15.75" customHeight="1">
      <c r="A200" s="72"/>
      <c r="B200" s="72"/>
      <c r="C200" s="72"/>
      <c r="D200" s="75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</row>
    <row r="201" ht="15.75" customHeight="1">
      <c r="A201" s="72"/>
      <c r="B201" s="72"/>
      <c r="C201" s="72"/>
      <c r="D201" s="75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</row>
    <row r="202" ht="15.75" customHeight="1">
      <c r="A202" s="72"/>
      <c r="B202" s="72"/>
      <c r="C202" s="72"/>
      <c r="D202" s="75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</row>
    <row r="203" ht="15.75" customHeight="1">
      <c r="A203" s="72"/>
      <c r="B203" s="72"/>
      <c r="C203" s="72"/>
      <c r="D203" s="75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</row>
    <row r="204" ht="15.75" customHeight="1">
      <c r="A204" s="72"/>
      <c r="B204" s="72"/>
      <c r="C204" s="72"/>
      <c r="D204" s="75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</row>
    <row r="205" ht="15.75" customHeight="1">
      <c r="A205" s="72"/>
      <c r="B205" s="72"/>
      <c r="C205" s="72"/>
      <c r="D205" s="75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</row>
    <row r="206" ht="15.75" customHeight="1">
      <c r="A206" s="72"/>
      <c r="B206" s="72"/>
      <c r="C206" s="72"/>
      <c r="D206" s="75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</row>
    <row r="207" ht="15.75" customHeight="1">
      <c r="A207" s="72"/>
      <c r="B207" s="72"/>
      <c r="C207" s="72"/>
      <c r="D207" s="75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</row>
    <row r="208" ht="15.75" customHeight="1">
      <c r="A208" s="72"/>
      <c r="B208" s="72"/>
      <c r="C208" s="72"/>
      <c r="D208" s="75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</row>
    <row r="209" ht="15.75" customHeight="1">
      <c r="A209" s="72"/>
      <c r="B209" s="72"/>
      <c r="C209" s="72"/>
      <c r="D209" s="75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</row>
    <row r="210" ht="15.75" customHeight="1">
      <c r="A210" s="72"/>
      <c r="B210" s="72"/>
      <c r="C210" s="72"/>
      <c r="D210" s="75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</row>
    <row r="211" ht="15.75" customHeight="1">
      <c r="A211" s="72"/>
      <c r="B211" s="72"/>
      <c r="C211" s="72"/>
      <c r="D211" s="75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</row>
    <row r="212" ht="15.75" customHeight="1">
      <c r="A212" s="72"/>
      <c r="B212" s="72"/>
      <c r="C212" s="72"/>
      <c r="D212" s="75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</row>
    <row r="213" ht="15.75" customHeight="1">
      <c r="A213" s="72"/>
      <c r="B213" s="72"/>
      <c r="C213" s="72"/>
      <c r="D213" s="75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</row>
    <row r="214" ht="15.75" customHeight="1">
      <c r="A214" s="72"/>
      <c r="B214" s="72"/>
      <c r="C214" s="72"/>
      <c r="D214" s="75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</row>
    <row r="215" ht="15.75" customHeight="1">
      <c r="A215" s="72"/>
      <c r="B215" s="72"/>
      <c r="C215" s="72"/>
      <c r="D215" s="75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</row>
    <row r="216" ht="15.75" customHeight="1">
      <c r="A216" s="72"/>
      <c r="B216" s="72"/>
      <c r="C216" s="72"/>
      <c r="D216" s="75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</row>
    <row r="217" ht="15.75" customHeight="1">
      <c r="A217" s="72"/>
      <c r="B217" s="72"/>
      <c r="C217" s="72"/>
      <c r="D217" s="75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</row>
    <row r="218" ht="15.75" customHeight="1">
      <c r="A218" s="72"/>
      <c r="B218" s="72"/>
      <c r="C218" s="72"/>
      <c r="D218" s="75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</row>
    <row r="219" ht="15.75" customHeight="1">
      <c r="A219" s="72"/>
      <c r="B219" s="72"/>
      <c r="C219" s="72"/>
      <c r="D219" s="75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</row>
    <row r="220" ht="15.75" customHeight="1">
      <c r="A220" s="72"/>
      <c r="B220" s="72"/>
      <c r="C220" s="72"/>
      <c r="D220" s="75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</row>
    <row r="221" ht="15.75" customHeight="1">
      <c r="A221" s="72"/>
      <c r="B221" s="72"/>
      <c r="C221" s="72"/>
      <c r="D221" s="75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</row>
    <row r="222" ht="15.75" customHeight="1">
      <c r="A222" s="72"/>
      <c r="B222" s="72"/>
      <c r="C222" s="72"/>
      <c r="D222" s="75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</row>
    <row r="223" ht="15.75" customHeight="1">
      <c r="A223" s="72"/>
      <c r="B223" s="72"/>
      <c r="C223" s="72"/>
      <c r="D223" s="75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</row>
    <row r="224" ht="15.75" customHeight="1">
      <c r="A224" s="72"/>
      <c r="B224" s="72"/>
      <c r="C224" s="72"/>
      <c r="D224" s="75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</row>
    <row r="225" ht="15.75" customHeight="1">
      <c r="A225" s="72"/>
      <c r="B225" s="72"/>
      <c r="C225" s="72"/>
      <c r="D225" s="75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</row>
    <row r="226" ht="15.75" customHeight="1">
      <c r="A226" s="72"/>
      <c r="B226" s="72"/>
      <c r="C226" s="72"/>
      <c r="D226" s="75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</row>
    <row r="227" ht="15.75" customHeight="1">
      <c r="A227" s="72"/>
      <c r="B227" s="72"/>
      <c r="C227" s="72"/>
      <c r="D227" s="75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</row>
    <row r="228" ht="15.75" customHeight="1">
      <c r="A228" s="72"/>
      <c r="B228" s="72"/>
      <c r="C228" s="72"/>
      <c r="D228" s="75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</row>
    <row r="229" ht="15.75" customHeight="1">
      <c r="A229" s="72"/>
      <c r="B229" s="72"/>
      <c r="C229" s="72"/>
      <c r="D229" s="75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</row>
    <row r="230" ht="15.75" customHeight="1">
      <c r="A230" s="72"/>
      <c r="B230" s="72"/>
      <c r="C230" s="72"/>
      <c r="D230" s="75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</row>
    <row r="231" ht="15.75" customHeight="1">
      <c r="A231" s="72"/>
      <c r="B231" s="72"/>
      <c r="C231" s="72"/>
      <c r="D231" s="75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</row>
    <row r="232" ht="15.75" customHeight="1">
      <c r="A232" s="72"/>
      <c r="B232" s="72"/>
      <c r="C232" s="72"/>
      <c r="D232" s="75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</row>
    <row r="233" ht="15.75" customHeight="1">
      <c r="A233" s="72"/>
      <c r="B233" s="72"/>
      <c r="C233" s="72"/>
      <c r="D233" s="75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</row>
    <row r="234" ht="15.75" customHeight="1">
      <c r="A234" s="72"/>
      <c r="B234" s="72"/>
      <c r="C234" s="72"/>
      <c r="D234" s="75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</row>
    <row r="235" ht="15.75" customHeight="1">
      <c r="A235" s="72"/>
      <c r="B235" s="72"/>
      <c r="C235" s="72"/>
      <c r="D235" s="75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</row>
    <row r="236" ht="15.75" customHeight="1">
      <c r="A236" s="72"/>
      <c r="B236" s="72"/>
      <c r="C236" s="72"/>
      <c r="D236" s="75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88"/>
    <col customWidth="1" min="2" max="2" width="5.13"/>
    <col customWidth="1" min="3" max="3" width="21.63"/>
    <col customWidth="1" min="4" max="4" width="13.63"/>
    <col customWidth="1" min="5" max="5" width="10.63"/>
    <col customWidth="1" min="6" max="6" width="18.38"/>
    <col customWidth="1" min="7" max="7" width="14.0"/>
    <col customWidth="1" min="8" max="8" width="15.63"/>
    <col customWidth="1" min="9" max="9" width="13.13"/>
    <col customWidth="1" min="10" max="10" width="15.38"/>
    <col customWidth="1" min="11" max="11" width="38.25"/>
    <col customWidth="1" min="12" max="12" width="12.13"/>
    <col customWidth="1" min="13" max="24" width="12.63"/>
  </cols>
  <sheetData>
    <row r="1">
      <c r="A1" s="102" t="s">
        <v>83</v>
      </c>
      <c r="B1" s="102"/>
      <c r="C1" s="103"/>
      <c r="D1" s="104"/>
      <c r="E1" s="102"/>
      <c r="F1" s="105"/>
      <c r="G1" s="106"/>
      <c r="H1" s="107"/>
      <c r="I1" s="107"/>
      <c r="J1" s="108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>
      <c r="A2" s="102"/>
      <c r="B2" s="109" t="s">
        <v>84</v>
      </c>
      <c r="C2" s="110"/>
      <c r="D2" s="110"/>
      <c r="E2" s="110"/>
      <c r="F2" s="110"/>
      <c r="G2" s="110"/>
      <c r="H2" s="110"/>
      <c r="I2" s="110"/>
      <c r="J2" s="110"/>
      <c r="K2" s="111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>
      <c r="A3" s="112"/>
      <c r="B3" s="113" t="s">
        <v>85</v>
      </c>
      <c r="C3" s="110"/>
      <c r="D3" s="110"/>
      <c r="E3" s="110"/>
      <c r="F3" s="110"/>
      <c r="G3" s="110"/>
      <c r="H3" s="110"/>
      <c r="I3" s="110"/>
      <c r="J3" s="110"/>
      <c r="K3" s="111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>
      <c r="A4" s="102"/>
      <c r="B4" s="109" t="s">
        <v>86</v>
      </c>
      <c r="C4" s="110"/>
      <c r="D4" s="110"/>
      <c r="E4" s="110"/>
      <c r="F4" s="110"/>
      <c r="G4" s="110"/>
      <c r="H4" s="110"/>
      <c r="I4" s="110"/>
      <c r="J4" s="110"/>
      <c r="K4" s="111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>
      <c r="A5" s="112"/>
      <c r="B5" s="114" t="s">
        <v>87</v>
      </c>
      <c r="C5" s="115" t="s">
        <v>88</v>
      </c>
      <c r="D5" s="116" t="s">
        <v>89</v>
      </c>
      <c r="E5" s="116" t="s">
        <v>90</v>
      </c>
      <c r="F5" s="116" t="s">
        <v>91</v>
      </c>
      <c r="G5" s="116" t="s">
        <v>92</v>
      </c>
      <c r="H5" s="116" t="s">
        <v>93</v>
      </c>
      <c r="I5" s="116" t="s">
        <v>94</v>
      </c>
      <c r="J5" s="116" t="s">
        <v>95</v>
      </c>
      <c r="K5" s="116" t="s">
        <v>96</v>
      </c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>
      <c r="A6" s="102"/>
      <c r="B6" s="117">
        <v>1.0</v>
      </c>
      <c r="C6" s="118" t="s">
        <v>29</v>
      </c>
      <c r="D6" s="119">
        <v>1057208.389999993</v>
      </c>
      <c r="E6" s="120">
        <v>1.0</v>
      </c>
      <c r="F6" s="121">
        <f t="shared" ref="F6:F27" si="1">D6*E6</f>
        <v>1057208.39</v>
      </c>
      <c r="G6" s="32">
        <v>0.0</v>
      </c>
      <c r="H6" s="32">
        <v>0.0</v>
      </c>
      <c r="I6" s="122">
        <f t="shared" ref="I6:I27" si="2">G6-H6</f>
        <v>0</v>
      </c>
      <c r="J6" s="121">
        <f t="shared" ref="J6:J27" si="3">F6+I6</f>
        <v>1057208.39</v>
      </c>
      <c r="K6" s="123" t="s">
        <v>97</v>
      </c>
      <c r="L6" s="124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>
      <c r="A7" s="102"/>
      <c r="B7" s="117">
        <v>2.0</v>
      </c>
      <c r="C7" s="122" t="s">
        <v>31</v>
      </c>
      <c r="D7" s="121">
        <v>73124.13</v>
      </c>
      <c r="E7" s="120">
        <v>1.0</v>
      </c>
      <c r="F7" s="121">
        <f t="shared" si="1"/>
        <v>73124.13</v>
      </c>
      <c r="G7" s="32">
        <v>0.0</v>
      </c>
      <c r="H7" s="32">
        <v>0.0</v>
      </c>
      <c r="I7" s="122">
        <f t="shared" si="2"/>
        <v>0</v>
      </c>
      <c r="J7" s="121">
        <f t="shared" si="3"/>
        <v>73124.13</v>
      </c>
      <c r="K7" s="123" t="s">
        <v>97</v>
      </c>
      <c r="L7" s="124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>
      <c r="A8" s="124"/>
      <c r="B8" s="117">
        <v>3.0</v>
      </c>
      <c r="C8" s="125" t="s">
        <v>33</v>
      </c>
      <c r="D8" s="121">
        <v>1239057.9299999997</v>
      </c>
      <c r="E8" s="120">
        <v>1.0</v>
      </c>
      <c r="F8" s="121">
        <f t="shared" si="1"/>
        <v>1239057.93</v>
      </c>
      <c r="G8" s="32">
        <v>0.0</v>
      </c>
      <c r="H8" s="32">
        <v>0.0</v>
      </c>
      <c r="I8" s="122">
        <f t="shared" si="2"/>
        <v>0</v>
      </c>
      <c r="J8" s="121">
        <f t="shared" si="3"/>
        <v>1239057.93</v>
      </c>
      <c r="K8" s="126" t="s">
        <v>97</v>
      </c>
      <c r="L8" s="124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>
      <c r="A9" s="102"/>
      <c r="B9" s="117">
        <v>4.0</v>
      </c>
      <c r="C9" s="122" t="s">
        <v>34</v>
      </c>
      <c r="D9" s="121">
        <v>31493.46</v>
      </c>
      <c r="E9" s="120">
        <v>1.0</v>
      </c>
      <c r="F9" s="121">
        <f t="shared" si="1"/>
        <v>31493.46</v>
      </c>
      <c r="G9" s="32">
        <v>0.0</v>
      </c>
      <c r="H9" s="32">
        <v>0.0</v>
      </c>
      <c r="I9" s="122">
        <f t="shared" si="2"/>
        <v>0</v>
      </c>
      <c r="J9" s="121">
        <f t="shared" si="3"/>
        <v>31493.46</v>
      </c>
      <c r="K9" s="123" t="s">
        <v>97</v>
      </c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>
      <c r="A10" s="124"/>
      <c r="B10" s="117">
        <v>5.0</v>
      </c>
      <c r="C10" s="122" t="s">
        <v>35</v>
      </c>
      <c r="D10" s="121">
        <v>208999.86</v>
      </c>
      <c r="E10" s="120">
        <v>1.0</v>
      </c>
      <c r="F10" s="121">
        <f t="shared" si="1"/>
        <v>208999.86</v>
      </c>
      <c r="G10" s="32">
        <v>0.0</v>
      </c>
      <c r="H10" s="32">
        <v>0.0</v>
      </c>
      <c r="I10" s="122">
        <f t="shared" si="2"/>
        <v>0</v>
      </c>
      <c r="J10" s="121">
        <f t="shared" si="3"/>
        <v>208999.86</v>
      </c>
      <c r="K10" s="123" t="s">
        <v>97</v>
      </c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>
      <c r="A11" s="102"/>
      <c r="B11" s="117">
        <v>6.0</v>
      </c>
      <c r="C11" s="118" t="s">
        <v>37</v>
      </c>
      <c r="D11" s="119">
        <v>2415181.73</v>
      </c>
      <c r="E11" s="120">
        <v>1.0</v>
      </c>
      <c r="F11" s="121">
        <f t="shared" si="1"/>
        <v>2415181.73</v>
      </c>
      <c r="G11" s="32">
        <v>0.0</v>
      </c>
      <c r="H11" s="32">
        <v>251471.01</v>
      </c>
      <c r="I11" s="122">
        <f t="shared" si="2"/>
        <v>-251471.01</v>
      </c>
      <c r="J11" s="121">
        <f t="shared" si="3"/>
        <v>2163710.72</v>
      </c>
      <c r="K11" s="126" t="s">
        <v>98</v>
      </c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>
      <c r="A12" s="112"/>
      <c r="B12" s="117">
        <v>7.0</v>
      </c>
      <c r="C12" s="118" t="s">
        <v>80</v>
      </c>
      <c r="D12" s="127">
        <v>3404394.98</v>
      </c>
      <c r="E12" s="120">
        <v>1.0</v>
      </c>
      <c r="F12" s="121">
        <f t="shared" si="1"/>
        <v>3404394.98</v>
      </c>
      <c r="G12" s="128">
        <v>10000.7</v>
      </c>
      <c r="H12" s="32">
        <v>0.0</v>
      </c>
      <c r="I12" s="122">
        <f t="shared" si="2"/>
        <v>10000.7</v>
      </c>
      <c r="J12" s="121">
        <f t="shared" si="3"/>
        <v>3414395.68</v>
      </c>
      <c r="K12" s="126" t="s">
        <v>98</v>
      </c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>
      <c r="A13" s="102"/>
      <c r="B13" s="117">
        <v>8.0</v>
      </c>
      <c r="C13" s="118" t="s">
        <v>40</v>
      </c>
      <c r="D13" s="127">
        <v>370445.21</v>
      </c>
      <c r="E13" s="120">
        <v>1.0</v>
      </c>
      <c r="F13" s="121">
        <f t="shared" si="1"/>
        <v>370445.21</v>
      </c>
      <c r="G13" s="32">
        <v>0.0</v>
      </c>
      <c r="H13" s="54">
        <v>126.0</v>
      </c>
      <c r="I13" s="122">
        <f t="shared" si="2"/>
        <v>-126</v>
      </c>
      <c r="J13" s="121">
        <f t="shared" si="3"/>
        <v>370319.21</v>
      </c>
      <c r="K13" s="126" t="s">
        <v>99</v>
      </c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>
      <c r="A14" s="102"/>
      <c r="B14" s="117">
        <v>9.0</v>
      </c>
      <c r="C14" s="122" t="s">
        <v>41</v>
      </c>
      <c r="D14" s="121">
        <v>564653.8400000004</v>
      </c>
      <c r="E14" s="120">
        <v>1.0</v>
      </c>
      <c r="F14" s="121">
        <f t="shared" si="1"/>
        <v>564653.84</v>
      </c>
      <c r="G14" s="32">
        <v>0.0</v>
      </c>
      <c r="H14" s="32">
        <v>0.0</v>
      </c>
      <c r="I14" s="122">
        <f t="shared" si="2"/>
        <v>0</v>
      </c>
      <c r="J14" s="121">
        <f t="shared" si="3"/>
        <v>564653.84</v>
      </c>
      <c r="K14" s="123" t="s">
        <v>97</v>
      </c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>
      <c r="A15" s="102"/>
      <c r="B15" s="117">
        <v>10.0</v>
      </c>
      <c r="C15" s="118" t="s">
        <v>42</v>
      </c>
      <c r="D15" s="121">
        <v>745578.1000000015</v>
      </c>
      <c r="E15" s="120">
        <v>1.0</v>
      </c>
      <c r="F15" s="121">
        <f t="shared" si="1"/>
        <v>745578.1</v>
      </c>
      <c r="G15" s="32">
        <v>0.0</v>
      </c>
      <c r="H15" s="32">
        <v>0.0</v>
      </c>
      <c r="I15" s="122">
        <f t="shared" si="2"/>
        <v>0</v>
      </c>
      <c r="J15" s="121">
        <f t="shared" si="3"/>
        <v>745578.1</v>
      </c>
      <c r="K15" s="123" t="s">
        <v>97</v>
      </c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>
      <c r="A16" s="102"/>
      <c r="B16" s="117">
        <v>11.0</v>
      </c>
      <c r="C16" s="122" t="s">
        <v>44</v>
      </c>
      <c r="D16" s="121">
        <v>11745.64</v>
      </c>
      <c r="E16" s="120">
        <v>1.0</v>
      </c>
      <c r="F16" s="121">
        <f t="shared" si="1"/>
        <v>11745.64</v>
      </c>
      <c r="G16" s="32">
        <v>0.0</v>
      </c>
      <c r="H16" s="32">
        <v>0.0</v>
      </c>
      <c r="I16" s="122">
        <f t="shared" si="2"/>
        <v>0</v>
      </c>
      <c r="J16" s="121">
        <f t="shared" si="3"/>
        <v>11745.64</v>
      </c>
      <c r="K16" s="123" t="s">
        <v>97</v>
      </c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>
      <c r="A17" s="102"/>
      <c r="B17" s="117">
        <v>12.0</v>
      </c>
      <c r="C17" s="125" t="s">
        <v>46</v>
      </c>
      <c r="D17" s="129">
        <v>158755.70999999996</v>
      </c>
      <c r="E17" s="120">
        <v>1.0</v>
      </c>
      <c r="F17" s="121">
        <f t="shared" si="1"/>
        <v>158755.71</v>
      </c>
      <c r="G17" s="32">
        <v>0.0</v>
      </c>
      <c r="H17" s="32">
        <v>0.0</v>
      </c>
      <c r="I17" s="122">
        <f t="shared" si="2"/>
        <v>0</v>
      </c>
      <c r="J17" s="121">
        <f t="shared" si="3"/>
        <v>158755.71</v>
      </c>
      <c r="K17" s="126" t="s">
        <v>100</v>
      </c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>
      <c r="A18" s="102"/>
      <c r="B18" s="117">
        <v>13.0</v>
      </c>
      <c r="C18" s="125" t="s">
        <v>47</v>
      </c>
      <c r="D18" s="129">
        <v>5123360.82</v>
      </c>
      <c r="E18" s="120">
        <v>1.0</v>
      </c>
      <c r="F18" s="121">
        <f t="shared" si="1"/>
        <v>5123360.82</v>
      </c>
      <c r="G18" s="32">
        <v>0.0</v>
      </c>
      <c r="H18" s="32">
        <v>0.0</v>
      </c>
      <c r="I18" s="122">
        <f t="shared" si="2"/>
        <v>0</v>
      </c>
      <c r="J18" s="121">
        <f t="shared" si="3"/>
        <v>5123360.82</v>
      </c>
      <c r="K18" s="126" t="s">
        <v>98</v>
      </c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>
      <c r="A19" s="102"/>
      <c r="B19" s="117">
        <v>14.0</v>
      </c>
      <c r="C19" s="122" t="s">
        <v>48</v>
      </c>
      <c r="D19" s="121">
        <v>5687.28</v>
      </c>
      <c r="E19" s="120">
        <v>1.0</v>
      </c>
      <c r="F19" s="121">
        <f t="shared" si="1"/>
        <v>5687.28</v>
      </c>
      <c r="G19" s="32">
        <v>0.0</v>
      </c>
      <c r="H19" s="32">
        <v>0.0</v>
      </c>
      <c r="I19" s="122">
        <f t="shared" si="2"/>
        <v>0</v>
      </c>
      <c r="J19" s="121">
        <f t="shared" si="3"/>
        <v>5687.28</v>
      </c>
      <c r="K19" s="123" t="s">
        <v>97</v>
      </c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30.75" customHeight="1">
      <c r="A20" s="102"/>
      <c r="B20" s="117">
        <v>15.0</v>
      </c>
      <c r="C20" s="125" t="s">
        <v>49</v>
      </c>
      <c r="D20" s="130">
        <v>1.7661727440000005E7</v>
      </c>
      <c r="E20" s="120">
        <v>1.0</v>
      </c>
      <c r="F20" s="121">
        <f t="shared" si="1"/>
        <v>17661727.44</v>
      </c>
      <c r="G20" s="131">
        <v>3.8648E7</v>
      </c>
      <c r="H20" s="132">
        <v>2.073186448E7</v>
      </c>
      <c r="I20" s="122">
        <f t="shared" si="2"/>
        <v>17916135.52</v>
      </c>
      <c r="J20" s="121">
        <f t="shared" si="3"/>
        <v>35577862.96</v>
      </c>
      <c r="K20" s="126" t="s">
        <v>101</v>
      </c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21.75" customHeight="1">
      <c r="A21" s="112"/>
      <c r="B21" s="117">
        <v>16.0</v>
      </c>
      <c r="C21" s="125" t="s">
        <v>50</v>
      </c>
      <c r="D21" s="130">
        <v>1644368.7800000007</v>
      </c>
      <c r="E21" s="120">
        <v>1.0</v>
      </c>
      <c r="F21" s="121">
        <f t="shared" si="1"/>
        <v>1644368.78</v>
      </c>
      <c r="G21" s="54">
        <v>5000000.0</v>
      </c>
      <c r="H21" s="133">
        <v>164300.0</v>
      </c>
      <c r="I21" s="122">
        <f t="shared" si="2"/>
        <v>4835700</v>
      </c>
      <c r="J21" s="121">
        <f t="shared" si="3"/>
        <v>6480068.78</v>
      </c>
      <c r="K21" s="134" t="s">
        <v>102</v>
      </c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34.5" customHeight="1">
      <c r="A22" s="124" t="s">
        <v>103</v>
      </c>
      <c r="B22" s="117">
        <v>17.0</v>
      </c>
      <c r="C22" s="118" t="s">
        <v>51</v>
      </c>
      <c r="D22" s="130">
        <v>1.683748313E8</v>
      </c>
      <c r="E22" s="120">
        <v>1.0</v>
      </c>
      <c r="F22" s="121">
        <f t="shared" si="1"/>
        <v>168374831.3</v>
      </c>
      <c r="G22" s="135">
        <v>27100.0</v>
      </c>
      <c r="H22" s="136">
        <v>6.49855784E7</v>
      </c>
      <c r="I22" s="122">
        <f t="shared" si="2"/>
        <v>-64958478.4</v>
      </c>
      <c r="J22" s="121">
        <f t="shared" si="3"/>
        <v>103416352.9</v>
      </c>
      <c r="K22" s="126" t="s">
        <v>104</v>
      </c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21.0" customHeight="1">
      <c r="A23" s="124"/>
      <c r="B23" s="117">
        <v>18.0</v>
      </c>
      <c r="C23" s="118" t="s">
        <v>52</v>
      </c>
      <c r="D23" s="137">
        <v>411736.66</v>
      </c>
      <c r="E23" s="120">
        <v>1.0</v>
      </c>
      <c r="F23" s="121">
        <f t="shared" si="1"/>
        <v>411736.66</v>
      </c>
      <c r="G23" s="138">
        <v>275000.0</v>
      </c>
      <c r="H23" s="135">
        <v>51.6</v>
      </c>
      <c r="I23" s="122">
        <f t="shared" si="2"/>
        <v>274948.4</v>
      </c>
      <c r="J23" s="121">
        <f t="shared" si="3"/>
        <v>686685.06</v>
      </c>
      <c r="K23" s="134" t="s">
        <v>105</v>
      </c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25.5" customHeight="1">
      <c r="A24" s="102"/>
      <c r="B24" s="117">
        <v>19.0</v>
      </c>
      <c r="C24" s="122" t="s">
        <v>106</v>
      </c>
      <c r="D24" s="121">
        <v>101797.4</v>
      </c>
      <c r="E24" s="120">
        <v>1.0</v>
      </c>
      <c r="F24" s="121">
        <f t="shared" si="1"/>
        <v>101797.4</v>
      </c>
      <c r="G24" s="32">
        <v>0.0</v>
      </c>
      <c r="H24" s="32">
        <v>0.0</v>
      </c>
      <c r="I24" s="122">
        <f t="shared" si="2"/>
        <v>0</v>
      </c>
      <c r="J24" s="121">
        <f t="shared" si="3"/>
        <v>101797.4</v>
      </c>
      <c r="K24" s="123" t="s">
        <v>97</v>
      </c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22.5" customHeight="1">
      <c r="A25" s="124"/>
      <c r="B25" s="117">
        <v>20.0</v>
      </c>
      <c r="C25" s="118" t="s">
        <v>107</v>
      </c>
      <c r="D25" s="139">
        <v>16481.850000000093</v>
      </c>
      <c r="E25" s="120">
        <v>1.0</v>
      </c>
      <c r="F25" s="121">
        <f t="shared" si="1"/>
        <v>16481.85</v>
      </c>
      <c r="G25" s="54">
        <v>2000000.0</v>
      </c>
      <c r="H25" s="54">
        <v>1758800.0</v>
      </c>
      <c r="I25" s="122">
        <f t="shared" si="2"/>
        <v>241200</v>
      </c>
      <c r="J25" s="121">
        <f t="shared" si="3"/>
        <v>257681.85</v>
      </c>
      <c r="K25" s="126" t="s">
        <v>100</v>
      </c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22.5" customHeight="1">
      <c r="A26" s="102"/>
      <c r="B26" s="117">
        <v>21.0</v>
      </c>
      <c r="C26" s="122" t="s">
        <v>54</v>
      </c>
      <c r="D26" s="121">
        <v>990050.45</v>
      </c>
      <c r="E26" s="120">
        <v>1.0</v>
      </c>
      <c r="F26" s="121">
        <f t="shared" si="1"/>
        <v>990050.45</v>
      </c>
      <c r="G26" s="32">
        <v>0.0</v>
      </c>
      <c r="H26" s="32">
        <v>0.0</v>
      </c>
      <c r="I26" s="122">
        <f t="shared" si="2"/>
        <v>0</v>
      </c>
      <c r="J26" s="121">
        <f t="shared" si="3"/>
        <v>990050.45</v>
      </c>
      <c r="K26" s="123" t="s">
        <v>97</v>
      </c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25.5" customHeight="1">
      <c r="A27" s="102"/>
      <c r="B27" s="117">
        <v>22.0</v>
      </c>
      <c r="C27" s="140" t="s">
        <v>108</v>
      </c>
      <c r="D27" s="121">
        <v>0.0</v>
      </c>
      <c r="E27" s="120">
        <v>1.0</v>
      </c>
      <c r="F27" s="121">
        <f t="shared" si="1"/>
        <v>0</v>
      </c>
      <c r="G27" s="32">
        <v>0.0</v>
      </c>
      <c r="H27" s="32">
        <v>0.0</v>
      </c>
      <c r="I27" s="122">
        <f t="shared" si="2"/>
        <v>0</v>
      </c>
      <c r="J27" s="121">
        <f t="shared" si="3"/>
        <v>0</v>
      </c>
      <c r="K27" s="123" t="s">
        <v>97</v>
      </c>
      <c r="L27" s="102"/>
      <c r="M27" s="11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21.0" customHeight="1">
      <c r="A28" s="124"/>
      <c r="B28" s="141"/>
      <c r="C28" s="142" t="s">
        <v>109</v>
      </c>
      <c r="D28" s="143">
        <f>SUM(D6:D27)</f>
        <v>204610681</v>
      </c>
      <c r="E28" s="144"/>
      <c r="F28" s="145">
        <f t="shared" ref="F28:J28" si="4">SUM(F6:F27)</f>
        <v>204610681</v>
      </c>
      <c r="G28" s="145">
        <f t="shared" si="4"/>
        <v>45960100.7</v>
      </c>
      <c r="H28" s="145">
        <f t="shared" si="4"/>
        <v>87892191.49</v>
      </c>
      <c r="I28" s="145">
        <f t="shared" si="4"/>
        <v>-41932090.79</v>
      </c>
      <c r="J28" s="145">
        <f t="shared" si="4"/>
        <v>162678590.2</v>
      </c>
      <c r="K28" s="123" t="s">
        <v>97</v>
      </c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5.75" customHeight="1">
      <c r="A29" s="102"/>
      <c r="B29" s="146"/>
      <c r="C29" s="147"/>
      <c r="D29" s="148"/>
      <c r="E29" s="120"/>
      <c r="F29" s="149"/>
      <c r="G29" s="150"/>
      <c r="H29" s="150"/>
      <c r="I29" s="150"/>
      <c r="J29" s="151"/>
      <c r="K29" s="123"/>
      <c r="L29" s="102"/>
      <c r="M29" s="15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21.0" customHeight="1">
      <c r="A30" s="102"/>
      <c r="B30" s="117">
        <v>23.0</v>
      </c>
      <c r="C30" s="122" t="s">
        <v>58</v>
      </c>
      <c r="D30" s="153">
        <v>2525.0</v>
      </c>
      <c r="E30" s="154">
        <v>1847.07</v>
      </c>
      <c r="F30" s="150">
        <f t="shared" ref="F30:F38" si="5">D30*E30</f>
        <v>4663851.75</v>
      </c>
      <c r="G30" s="150">
        <v>0.0</v>
      </c>
      <c r="H30" s="150">
        <v>0.0</v>
      </c>
      <c r="I30" s="150">
        <f t="shared" ref="I30:I38" si="6">G30-H30</f>
        <v>0</v>
      </c>
      <c r="J30" s="121">
        <f t="shared" ref="J30:J38" si="7">F30+I30</f>
        <v>4663851.75</v>
      </c>
      <c r="K30" s="126" t="s">
        <v>97</v>
      </c>
      <c r="L30" s="112"/>
      <c r="M30" s="124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21.0" customHeight="1">
      <c r="A31" s="102"/>
      <c r="B31" s="117">
        <v>24.0</v>
      </c>
      <c r="C31" s="155" t="s">
        <v>110</v>
      </c>
      <c r="D31" s="156">
        <v>6417.960000000001</v>
      </c>
      <c r="E31" s="154">
        <v>1384.23</v>
      </c>
      <c r="F31" s="150">
        <f t="shared" si="5"/>
        <v>8883932.771</v>
      </c>
      <c r="G31" s="150">
        <v>0.0</v>
      </c>
      <c r="H31" s="150">
        <v>0.0</v>
      </c>
      <c r="I31" s="150">
        <f t="shared" si="6"/>
        <v>0</v>
      </c>
      <c r="J31" s="121">
        <f t="shared" si="7"/>
        <v>8883932.771</v>
      </c>
      <c r="K31" s="126" t="s">
        <v>111</v>
      </c>
      <c r="L31" s="112"/>
      <c r="M31" s="124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21.0" customHeight="1">
      <c r="A32" s="102"/>
      <c r="B32" s="117">
        <v>25.0</v>
      </c>
      <c r="C32" s="157" t="s">
        <v>57</v>
      </c>
      <c r="D32" s="158">
        <v>20194.999999999996</v>
      </c>
      <c r="E32" s="154">
        <f t="shared" ref="E32:E39" si="8">$E$31</f>
        <v>1384.23</v>
      </c>
      <c r="F32" s="150">
        <f t="shared" si="5"/>
        <v>27954524.85</v>
      </c>
      <c r="G32" s="150">
        <v>0.0</v>
      </c>
      <c r="H32" s="150">
        <f>9950*E32</f>
        <v>13773088.5</v>
      </c>
      <c r="I32" s="150">
        <f t="shared" si="6"/>
        <v>-13773088.5</v>
      </c>
      <c r="J32" s="121">
        <f t="shared" si="7"/>
        <v>14181436.35</v>
      </c>
      <c r="K32" s="126" t="s">
        <v>112</v>
      </c>
      <c r="L32" s="11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23.25" customHeight="1">
      <c r="A33" s="102"/>
      <c r="B33" s="117">
        <v>26.0</v>
      </c>
      <c r="C33" s="122" t="s">
        <v>59</v>
      </c>
      <c r="D33" s="159">
        <v>0.0</v>
      </c>
      <c r="E33" s="154">
        <f t="shared" si="8"/>
        <v>1384.23</v>
      </c>
      <c r="F33" s="150">
        <f t="shared" si="5"/>
        <v>0</v>
      </c>
      <c r="G33" s="150">
        <v>0.0</v>
      </c>
      <c r="H33" s="150">
        <v>0.0</v>
      </c>
      <c r="I33" s="150">
        <f t="shared" si="6"/>
        <v>0</v>
      </c>
      <c r="J33" s="121">
        <f t="shared" si="7"/>
        <v>0</v>
      </c>
      <c r="K33" s="123" t="s">
        <v>113</v>
      </c>
      <c r="L33" s="11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24.0" customHeight="1">
      <c r="A34" s="102"/>
      <c r="B34" s="117">
        <v>27.0</v>
      </c>
      <c r="C34" s="125" t="s">
        <v>114</v>
      </c>
      <c r="D34" s="160">
        <v>139272.16</v>
      </c>
      <c r="E34" s="154">
        <f t="shared" si="8"/>
        <v>1384.23</v>
      </c>
      <c r="F34" s="150">
        <f t="shared" si="5"/>
        <v>192784702</v>
      </c>
      <c r="G34" s="150">
        <f>12900*E34
</f>
        <v>17856567</v>
      </c>
      <c r="H34" s="150">
        <f>10000*E34</f>
        <v>13842300</v>
      </c>
      <c r="I34" s="150">
        <f t="shared" si="6"/>
        <v>4014267</v>
      </c>
      <c r="J34" s="121">
        <f t="shared" si="7"/>
        <v>196798969</v>
      </c>
      <c r="K34" s="126" t="s">
        <v>115</v>
      </c>
      <c r="L34" s="11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21.0" customHeight="1">
      <c r="A35" s="102"/>
      <c r="B35" s="117">
        <v>28.0</v>
      </c>
      <c r="C35" s="125" t="s">
        <v>116</v>
      </c>
      <c r="D35" s="161">
        <v>9711.850000000004</v>
      </c>
      <c r="E35" s="154">
        <f t="shared" si="8"/>
        <v>1384.23</v>
      </c>
      <c r="F35" s="150">
        <f t="shared" si="5"/>
        <v>13443434.13</v>
      </c>
      <c r="G35" s="150">
        <f>10264*E35
</f>
        <v>14207736.72</v>
      </c>
      <c r="H35" s="150">
        <f>14471.5*E35
</f>
        <v>20031884.45</v>
      </c>
      <c r="I35" s="150">
        <f t="shared" si="6"/>
        <v>-5824147.725</v>
      </c>
      <c r="J35" s="121">
        <f t="shared" si="7"/>
        <v>7619286.401</v>
      </c>
      <c r="K35" s="126" t="s">
        <v>117</v>
      </c>
      <c r="L35" s="11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21.75" customHeight="1">
      <c r="A36" s="102"/>
      <c r="B36" s="117">
        <v>29.0</v>
      </c>
      <c r="C36" s="118" t="s">
        <v>37</v>
      </c>
      <c r="D36" s="161">
        <v>131827.91</v>
      </c>
      <c r="E36" s="154">
        <f t="shared" si="8"/>
        <v>1384.23</v>
      </c>
      <c r="F36" s="150">
        <f t="shared" si="5"/>
        <v>182480147.9</v>
      </c>
      <c r="G36" s="150">
        <f>499965*E36       
</f>
        <v>692066552</v>
      </c>
      <c r="H36" s="150">
        <f>0.2*E36       
</f>
        <v>276.846</v>
      </c>
      <c r="I36" s="150">
        <f t="shared" si="6"/>
        <v>692066275.1</v>
      </c>
      <c r="J36" s="121">
        <f t="shared" si="7"/>
        <v>874546423</v>
      </c>
      <c r="K36" s="126" t="s">
        <v>118</v>
      </c>
      <c r="L36" s="11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21.0" customHeight="1">
      <c r="A37" s="102"/>
      <c r="B37" s="117">
        <v>30.0</v>
      </c>
      <c r="C37" s="118" t="s">
        <v>62</v>
      </c>
      <c r="D37" s="162">
        <v>13405.910000000002</v>
      </c>
      <c r="E37" s="154">
        <f t="shared" si="8"/>
        <v>1384.23</v>
      </c>
      <c r="F37" s="150">
        <f t="shared" si="5"/>
        <v>18556862.8</v>
      </c>
      <c r="G37" s="150">
        <f>0.94*E37
</f>
        <v>1301.1762</v>
      </c>
      <c r="H37" s="150">
        <v>0.0</v>
      </c>
      <c r="I37" s="150">
        <f t="shared" si="6"/>
        <v>1301.1762</v>
      </c>
      <c r="J37" s="121">
        <f t="shared" si="7"/>
        <v>18558163.98</v>
      </c>
      <c r="K37" s="126" t="s">
        <v>113</v>
      </c>
      <c r="L37" s="11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22.5" customHeight="1">
      <c r="A38" s="102"/>
      <c r="B38" s="117">
        <v>31.0</v>
      </c>
      <c r="C38" s="163" t="s">
        <v>63</v>
      </c>
      <c r="D38" s="161">
        <v>56054.20000000001</v>
      </c>
      <c r="E38" s="154">
        <f t="shared" si="8"/>
        <v>1384.23</v>
      </c>
      <c r="F38" s="150">
        <f t="shared" si="5"/>
        <v>77591905.27</v>
      </c>
      <c r="G38" s="150">
        <f>6000*E38</f>
        <v>8305380</v>
      </c>
      <c r="H38" s="150">
        <v>0.0</v>
      </c>
      <c r="I38" s="150">
        <f t="shared" si="6"/>
        <v>8305380</v>
      </c>
      <c r="J38" s="121">
        <f t="shared" si="7"/>
        <v>85897285.27</v>
      </c>
      <c r="K38" s="126" t="s">
        <v>119</v>
      </c>
      <c r="L38" s="11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5.75" customHeight="1">
      <c r="A39" s="102"/>
      <c r="B39" s="164" t="s">
        <v>120</v>
      </c>
      <c r="C39" s="111"/>
      <c r="D39" s="165">
        <f>SUM(D31:D38)</f>
        <v>376884.99</v>
      </c>
      <c r="E39" s="154">
        <f t="shared" si="8"/>
        <v>1384.23</v>
      </c>
      <c r="F39" s="145">
        <f t="shared" ref="F39:J39" si="9">SUM(F31:F38)</f>
        <v>521695509.7</v>
      </c>
      <c r="G39" s="166">
        <f t="shared" si="9"/>
        <v>732437536.8</v>
      </c>
      <c r="H39" s="166">
        <f t="shared" si="9"/>
        <v>47647549.79</v>
      </c>
      <c r="I39" s="145">
        <f t="shared" si="9"/>
        <v>684789987.1</v>
      </c>
      <c r="J39" s="167">
        <f t="shared" si="9"/>
        <v>1206485497</v>
      </c>
      <c r="K39" s="168"/>
      <c r="L39" s="11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5.75" customHeight="1">
      <c r="A40" s="102"/>
      <c r="B40" s="169"/>
      <c r="C40" s="169"/>
      <c r="D40" s="107"/>
      <c r="E40" s="170"/>
      <c r="F40" s="170"/>
      <c r="G40" s="171"/>
      <c r="H40" s="171"/>
      <c r="I40" s="171"/>
      <c r="J40" s="107"/>
      <c r="K40" s="172"/>
      <c r="L40" s="11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5.75" customHeight="1">
      <c r="A41" s="102"/>
      <c r="B41" s="169"/>
      <c r="C41" s="169"/>
      <c r="D41" s="173"/>
      <c r="E41" s="112"/>
      <c r="F41" s="174"/>
      <c r="G41" s="169"/>
      <c r="H41" s="169"/>
      <c r="I41" s="169"/>
      <c r="J41" s="170"/>
      <c r="K41" s="172"/>
      <c r="L41" s="11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5.75" customHeight="1">
      <c r="A42" s="102"/>
      <c r="B42" s="169"/>
      <c r="C42" s="169"/>
      <c r="D42" s="102"/>
      <c r="E42" s="169"/>
      <c r="F42" s="169"/>
      <c r="G42" s="169"/>
      <c r="H42" s="102"/>
      <c r="I42" s="102"/>
      <c r="J42" s="102"/>
      <c r="K42" s="17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5.75" customHeight="1">
      <c r="A43" s="102"/>
      <c r="B43" s="175" t="s">
        <v>121</v>
      </c>
      <c r="C43" s="110"/>
      <c r="D43" s="110"/>
      <c r="E43" s="110"/>
      <c r="F43" s="110"/>
      <c r="G43" s="110"/>
      <c r="H43" s="110"/>
      <c r="I43" s="110"/>
      <c r="J43" s="111"/>
      <c r="K43" s="176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21.0" customHeight="1">
      <c r="A44" s="102"/>
      <c r="B44" s="177"/>
      <c r="C44" s="178" t="s">
        <v>122</v>
      </c>
      <c r="D44" s="179" t="s">
        <v>123</v>
      </c>
      <c r="E44" s="179" t="s">
        <v>90</v>
      </c>
      <c r="F44" s="179" t="s">
        <v>91</v>
      </c>
      <c r="G44" s="179" t="s">
        <v>92</v>
      </c>
      <c r="H44" s="179" t="s">
        <v>93</v>
      </c>
      <c r="I44" s="179" t="s">
        <v>94</v>
      </c>
      <c r="J44" s="179" t="s">
        <v>95</v>
      </c>
      <c r="K44" s="180" t="s">
        <v>124</v>
      </c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5.75" customHeight="1">
      <c r="A45" s="102"/>
      <c r="B45" s="181">
        <v>32.0</v>
      </c>
      <c r="C45" s="182" t="s">
        <v>125</v>
      </c>
      <c r="D45" s="183">
        <v>9255303.43</v>
      </c>
      <c r="E45" s="184">
        <v>1.0</v>
      </c>
      <c r="F45" s="185">
        <f t="shared" ref="F45:F48" si="10">D45*E45</f>
        <v>9255303.43</v>
      </c>
      <c r="G45" s="185">
        <v>0.0</v>
      </c>
      <c r="H45" s="186">
        <v>0.0</v>
      </c>
      <c r="I45" s="185">
        <f t="shared" ref="I45:I48" si="11">G45-H45</f>
        <v>0</v>
      </c>
      <c r="J45" s="185">
        <f t="shared" ref="J45:J48" si="12">F45+G45-H45</f>
        <v>9255303.43</v>
      </c>
      <c r="K45" s="187"/>
      <c r="L45" s="188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5.75" customHeight="1">
      <c r="A46" s="102"/>
      <c r="B46" s="181">
        <v>33.0</v>
      </c>
      <c r="C46" s="182" t="s">
        <v>126</v>
      </c>
      <c r="D46" s="189">
        <v>7786750.58</v>
      </c>
      <c r="E46" s="184">
        <v>1.0</v>
      </c>
      <c r="F46" s="185">
        <f t="shared" si="10"/>
        <v>7786750.58</v>
      </c>
      <c r="G46" s="185">
        <v>0.0</v>
      </c>
      <c r="H46" s="186">
        <v>0.0</v>
      </c>
      <c r="I46" s="185">
        <f t="shared" si="11"/>
        <v>0</v>
      </c>
      <c r="J46" s="185">
        <f t="shared" si="12"/>
        <v>7786750.58</v>
      </c>
      <c r="K46" s="187"/>
      <c r="L46" s="188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5.75" customHeight="1">
      <c r="A47" s="102"/>
      <c r="B47" s="181">
        <v>34.0</v>
      </c>
      <c r="C47" s="182" t="s">
        <v>125</v>
      </c>
      <c r="D47" s="190">
        <v>1115165.23</v>
      </c>
      <c r="E47" s="184">
        <v>1.0</v>
      </c>
      <c r="F47" s="185">
        <f t="shared" si="10"/>
        <v>1115165.23</v>
      </c>
      <c r="G47" s="185">
        <v>0.0</v>
      </c>
      <c r="H47" s="186">
        <v>0.0</v>
      </c>
      <c r="I47" s="185">
        <f t="shared" si="11"/>
        <v>0</v>
      </c>
      <c r="J47" s="185">
        <f t="shared" si="12"/>
        <v>1115165.23</v>
      </c>
      <c r="K47" s="191" t="s">
        <v>127</v>
      </c>
      <c r="L47" s="188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5.75" customHeight="1">
      <c r="A48" s="102"/>
      <c r="B48" s="181">
        <v>35.0</v>
      </c>
      <c r="C48" s="182" t="s">
        <v>128</v>
      </c>
      <c r="D48" s="183">
        <v>17791.369999997318</v>
      </c>
      <c r="E48" s="184">
        <v>1.0</v>
      </c>
      <c r="F48" s="185">
        <f t="shared" si="10"/>
        <v>17791.37</v>
      </c>
      <c r="G48" s="185">
        <v>0.0</v>
      </c>
      <c r="H48" s="186">
        <v>0.0</v>
      </c>
      <c r="I48" s="185">
        <f t="shared" si="11"/>
        <v>0</v>
      </c>
      <c r="J48" s="185">
        <f t="shared" si="12"/>
        <v>17791.37</v>
      </c>
      <c r="K48" s="191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5.75" customHeight="1">
      <c r="A49" s="102"/>
      <c r="B49" s="192" t="s">
        <v>129</v>
      </c>
      <c r="C49" s="193"/>
      <c r="D49" s="193"/>
      <c r="E49" s="194"/>
      <c r="F49" s="195">
        <f t="shared" ref="F49:J49" si="13">SUM(F45:F48)</f>
        <v>18175010.61</v>
      </c>
      <c r="G49" s="195">
        <f t="shared" si="13"/>
        <v>0</v>
      </c>
      <c r="H49" s="195">
        <f t="shared" si="13"/>
        <v>0</v>
      </c>
      <c r="I49" s="195">
        <f t="shared" si="13"/>
        <v>0</v>
      </c>
      <c r="J49" s="195">
        <f t="shared" si="13"/>
        <v>18175010.61</v>
      </c>
      <c r="K49" s="187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5.75" customHeight="1">
      <c r="A50" s="102"/>
      <c r="B50" s="102"/>
      <c r="C50" s="102"/>
      <c r="D50" s="102"/>
      <c r="E50" s="112"/>
      <c r="F50" s="102"/>
      <c r="G50" s="102"/>
      <c r="H50" s="102"/>
      <c r="I50" s="102"/>
      <c r="J50" s="112"/>
      <c r="K50" s="11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5.75" customHeight="1">
      <c r="A51" s="102"/>
      <c r="B51" s="102"/>
      <c r="C51" s="102"/>
      <c r="D51" s="102"/>
      <c r="E51" s="196"/>
      <c r="F51" s="102"/>
      <c r="G51" s="102"/>
      <c r="H51" s="102"/>
      <c r="I51" s="112"/>
      <c r="J51" s="102"/>
      <c r="K51" s="17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5.75" customHeight="1">
      <c r="A52" s="102"/>
      <c r="B52" s="109" t="s">
        <v>130</v>
      </c>
      <c r="C52" s="110"/>
      <c r="D52" s="110"/>
      <c r="E52" s="110"/>
      <c r="F52" s="110"/>
      <c r="G52" s="110"/>
      <c r="H52" s="110"/>
      <c r="I52" s="110"/>
      <c r="J52" s="111"/>
      <c r="K52" s="176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22.5" customHeight="1">
      <c r="A53" s="102"/>
      <c r="B53" s="197"/>
      <c r="C53" s="198" t="s">
        <v>122</v>
      </c>
      <c r="D53" s="116" t="s">
        <v>131</v>
      </c>
      <c r="E53" s="199" t="s">
        <v>132</v>
      </c>
      <c r="F53" s="199" t="s">
        <v>93</v>
      </c>
      <c r="G53" s="199" t="s">
        <v>94</v>
      </c>
      <c r="H53" s="199" t="s">
        <v>95</v>
      </c>
      <c r="I53" s="200" t="s">
        <v>124</v>
      </c>
      <c r="J53" s="199" t="s">
        <v>133</v>
      </c>
      <c r="K53" s="199" t="s">
        <v>134</v>
      </c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5.75" customHeight="1">
      <c r="A54" s="102"/>
      <c r="B54" s="201"/>
      <c r="C54" s="182" t="s">
        <v>135</v>
      </c>
      <c r="D54" s="202">
        <v>689.68</v>
      </c>
      <c r="E54" s="202">
        <v>0.0</v>
      </c>
      <c r="F54" s="203">
        <v>0.0</v>
      </c>
      <c r="G54" s="203">
        <f t="shared" ref="G54:G58" si="14">E54-F54</f>
        <v>0</v>
      </c>
      <c r="H54" s="203">
        <f t="shared" ref="H54:H58" si="15">D54+G54</f>
        <v>689.68</v>
      </c>
      <c r="I54" s="204"/>
      <c r="J54" s="205" t="s">
        <v>136</v>
      </c>
      <c r="K54" s="206" t="s">
        <v>136</v>
      </c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5.75" customHeight="1">
      <c r="A55" s="102"/>
      <c r="B55" s="201"/>
      <c r="C55" s="182" t="s">
        <v>137</v>
      </c>
      <c r="D55" s="202">
        <v>700753.41</v>
      </c>
      <c r="E55" s="202">
        <v>0.0</v>
      </c>
      <c r="F55" s="203">
        <v>0.0</v>
      </c>
      <c r="G55" s="203">
        <f t="shared" si="14"/>
        <v>0</v>
      </c>
      <c r="H55" s="203">
        <f t="shared" si="15"/>
        <v>700753.41</v>
      </c>
      <c r="I55" s="204"/>
      <c r="J55" s="205" t="s">
        <v>136</v>
      </c>
      <c r="K55" s="206" t="s">
        <v>136</v>
      </c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5.75" customHeight="1">
      <c r="A56" s="102"/>
      <c r="B56" s="207"/>
      <c r="C56" s="208" t="s">
        <v>138</v>
      </c>
      <c r="D56" s="202">
        <v>40812.36</v>
      </c>
      <c r="E56" s="202">
        <v>0.0</v>
      </c>
      <c r="F56" s="203">
        <v>0.0</v>
      </c>
      <c r="G56" s="203">
        <f t="shared" si="14"/>
        <v>0</v>
      </c>
      <c r="H56" s="203">
        <f t="shared" si="15"/>
        <v>40812.36</v>
      </c>
      <c r="I56" s="204"/>
      <c r="J56" s="205" t="s">
        <v>136</v>
      </c>
      <c r="K56" s="206" t="s">
        <v>136</v>
      </c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5.75" customHeight="1">
      <c r="A57" s="102"/>
      <c r="B57" s="192"/>
      <c r="C57" s="208" t="s">
        <v>138</v>
      </c>
      <c r="D57" s="202">
        <v>113064.99</v>
      </c>
      <c r="E57" s="202">
        <v>0.0</v>
      </c>
      <c r="F57" s="203">
        <v>0.0</v>
      </c>
      <c r="G57" s="203">
        <f t="shared" si="14"/>
        <v>0</v>
      </c>
      <c r="H57" s="203">
        <f t="shared" si="15"/>
        <v>113064.99</v>
      </c>
      <c r="I57" s="204"/>
      <c r="J57" s="205" t="s">
        <v>136</v>
      </c>
      <c r="K57" s="206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5.75" customHeight="1">
      <c r="A58" s="102"/>
      <c r="B58" s="192"/>
      <c r="C58" s="209" t="s">
        <v>139</v>
      </c>
      <c r="D58" s="202">
        <v>529846.75</v>
      </c>
      <c r="E58" s="202">
        <v>0.0</v>
      </c>
      <c r="F58" s="203">
        <v>499965.0</v>
      </c>
      <c r="G58" s="203">
        <f t="shared" si="14"/>
        <v>-499965</v>
      </c>
      <c r="H58" s="203">
        <f t="shared" si="15"/>
        <v>29881.75</v>
      </c>
      <c r="I58" s="204"/>
      <c r="J58" s="205" t="s">
        <v>136</v>
      </c>
      <c r="K58" s="210">
        <v>46063.0</v>
      </c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5.75" customHeight="1">
      <c r="A59" s="102"/>
      <c r="B59" s="192" t="s">
        <v>140</v>
      </c>
      <c r="C59" s="193"/>
      <c r="D59" s="211">
        <f t="shared" ref="D59:H59" si="16">SUM(D54:D58)</f>
        <v>1385167.19</v>
      </c>
      <c r="E59" s="211">
        <f t="shared" si="16"/>
        <v>0</v>
      </c>
      <c r="F59" s="211">
        <f t="shared" si="16"/>
        <v>499965</v>
      </c>
      <c r="G59" s="211">
        <f t="shared" si="16"/>
        <v>-499965</v>
      </c>
      <c r="H59" s="211">
        <f t="shared" si="16"/>
        <v>885202.19</v>
      </c>
      <c r="I59" s="212"/>
      <c r="J59" s="213">
        <f>SUM(J54:J58)</f>
        <v>0</v>
      </c>
      <c r="K59" s="207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5.75" customHeight="1">
      <c r="A60" s="102"/>
      <c r="B60" s="102"/>
      <c r="C60" s="102"/>
      <c r="D60" s="102"/>
      <c r="E60" s="102"/>
      <c r="F60" s="102"/>
      <c r="G60" s="214"/>
      <c r="H60" s="102"/>
      <c r="I60" s="102"/>
      <c r="J60" s="102"/>
      <c r="K60" s="17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9.0" customHeight="1">
      <c r="A61" s="102"/>
      <c r="B61" s="102"/>
      <c r="C61" s="215"/>
      <c r="D61" s="215"/>
      <c r="E61" s="215"/>
      <c r="F61" s="215"/>
      <c r="G61" s="102"/>
      <c r="H61" s="112"/>
      <c r="I61" s="214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20.25" customHeight="1">
      <c r="A62" s="102"/>
      <c r="B62" s="102"/>
      <c r="C62" s="116" t="s">
        <v>141</v>
      </c>
      <c r="D62" s="216" t="s">
        <v>142</v>
      </c>
      <c r="E62" s="216" t="s">
        <v>143</v>
      </c>
      <c r="F62" s="116" t="s">
        <v>144</v>
      </c>
      <c r="G62" s="217"/>
      <c r="H62" s="218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5.75" customHeight="1">
      <c r="A63" s="102"/>
      <c r="B63" s="102"/>
      <c r="C63" s="219" t="s">
        <v>145</v>
      </c>
      <c r="D63" s="220">
        <f>J28</f>
        <v>162678590.2</v>
      </c>
      <c r="E63" s="221">
        <v>1.0</v>
      </c>
      <c r="F63" s="222">
        <f t="shared" ref="F63:F65" si="17">D63*E63</f>
        <v>162678590.2</v>
      </c>
      <c r="G63" s="188"/>
      <c r="H63" s="218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5.75" customHeight="1">
      <c r="A64" s="102"/>
      <c r="B64" s="102"/>
      <c r="C64" s="219" t="s">
        <v>146</v>
      </c>
      <c r="D64" s="223">
        <f>J39/E39</f>
        <v>871593.23</v>
      </c>
      <c r="E64" s="224">
        <f>$E$31</f>
        <v>1384.23</v>
      </c>
      <c r="F64" s="222">
        <f t="shared" si="17"/>
        <v>1206485497</v>
      </c>
      <c r="G64" s="188"/>
      <c r="H64" s="218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5.75" customHeight="1">
      <c r="A65" s="102"/>
      <c r="B65" s="102"/>
      <c r="C65" s="219" t="s">
        <v>147</v>
      </c>
      <c r="D65" s="225">
        <f>J30/E30</f>
        <v>2525</v>
      </c>
      <c r="E65" s="226">
        <f>E30</f>
        <v>1847.07</v>
      </c>
      <c r="F65" s="222">
        <f t="shared" si="17"/>
        <v>4663851.75</v>
      </c>
      <c r="G65" s="227"/>
      <c r="H65" s="218"/>
      <c r="I65" s="112"/>
      <c r="J65" s="11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5.75" customHeight="1">
      <c r="A66" s="102"/>
      <c r="B66" s="102"/>
      <c r="C66" s="228" t="s">
        <v>148</v>
      </c>
      <c r="D66" s="193"/>
      <c r="E66" s="193"/>
      <c r="F66" s="229">
        <f>SUM(F63:F65)</f>
        <v>1373827939</v>
      </c>
      <c r="G66" s="227"/>
      <c r="H66" s="218"/>
      <c r="I66" s="112"/>
      <c r="J66" s="11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5.75" customHeight="1">
      <c r="A67" s="102"/>
      <c r="B67" s="102"/>
      <c r="C67" s="102"/>
      <c r="D67" s="102"/>
      <c r="E67" s="102"/>
      <c r="F67" s="218"/>
      <c r="G67" s="227"/>
      <c r="H67" s="214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5.75" customHeight="1">
      <c r="A68" s="102"/>
      <c r="B68" s="102"/>
      <c r="C68" s="102"/>
      <c r="D68" s="102"/>
      <c r="E68" s="102"/>
      <c r="F68" s="102"/>
      <c r="G68" s="112"/>
      <c r="H68" s="214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5.75" customHeight="1">
      <c r="A69" s="102"/>
      <c r="B69" s="102"/>
      <c r="C69" s="102"/>
      <c r="D69" s="102"/>
      <c r="E69" s="102"/>
      <c r="F69" s="102"/>
      <c r="G69" s="11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5.75" customHeight="1">
      <c r="A70" s="102"/>
      <c r="B70" s="102"/>
      <c r="C70" s="102"/>
      <c r="D70" s="102"/>
      <c r="E70" s="102"/>
      <c r="F70" s="102"/>
      <c r="G70" s="112"/>
      <c r="H70" s="171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5.7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5.7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5.7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5.75" customHeight="1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5.7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5.7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5.7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5.7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5.7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5.7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5.7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5.7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5.7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5.7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5.7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5.7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5.7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5.7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5.7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5.7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5.7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5.7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5.7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5.7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5.7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5.7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5.7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5.7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5.7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5.7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5.7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5.7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5.7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5.7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5.7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5.7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5.7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5.7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5.7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5.7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5.7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5.7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5.7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5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5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5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5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5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5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5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5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5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5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5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5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5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5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5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5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5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5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5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5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5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5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5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5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5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5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5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5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5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5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5.7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5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5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5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5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5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5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5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5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5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5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5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5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5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5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5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5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5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5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5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5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5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5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5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5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5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5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5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5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5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5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5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5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5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5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5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5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5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5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5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5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5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5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5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5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5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5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5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5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5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5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5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5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5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5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5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5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5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5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5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5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5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5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5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5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5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5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5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5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5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5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5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5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5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5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5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5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5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5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5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5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5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5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5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5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5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5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5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5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5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5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5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5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5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5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5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5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5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5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5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5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5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5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5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5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5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5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5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5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5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5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5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5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5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5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5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5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5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5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5.75" customHeight="1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5.75" customHeight="1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5.75" customHeight="1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5.75" customHeight="1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5.75" customHeight="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5.75" customHeight="1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ht="15.75" customHeight="1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ht="15.75" customHeight="1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ht="15.75" customHeight="1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ht="15.75" customHeight="1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ht="15.75" customHeight="1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ht="15.75" customHeight="1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ht="15.75" customHeight="1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ht="15.75" customHeight="1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ht="15.75" customHeight="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ht="15.75" customHeight="1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ht="15.75" customHeight="1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ht="15.75" customHeight="1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ht="15.75" customHeight="1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ht="15.75" customHeight="1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ht="15.75" customHeight="1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ht="15.75" customHeight="1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ht="15.75" customHeight="1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ht="15.75" customHeight="1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ht="15.75" customHeight="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ht="15.75" customHeight="1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ht="15.75" customHeight="1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ht="15.75" customHeight="1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ht="15.75" customHeight="1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ht="15.75" customHeight="1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ht="15.75" customHeight="1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ht="15.75" customHeight="1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ht="15.75" customHeight="1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ht="15.75" customHeight="1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ht="15.75" customHeight="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ht="15.75" customHeight="1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ht="15.75" customHeight="1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ht="15.75" customHeight="1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ht="15.75" customHeight="1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ht="15.75" customHeight="1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ht="15.75" customHeight="1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ht="15.75" customHeight="1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ht="15.75" customHeight="1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ht="15.75" customHeight="1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ht="15.75" customHeight="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ht="15.75" customHeight="1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ht="15.75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ht="15.75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ht="15.75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ht="15.75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ht="15.75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ht="15.75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ht="15.75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ht="15.75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ht="15.75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ht="15.75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ht="15.75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ht="15.75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ht="15.75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ht="15.75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ht="15.75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ht="15.75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ht="15.75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ht="15.75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ht="15.75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ht="15.75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ht="15.75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ht="15.75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ht="15.75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ht="15.75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 ht="15.75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 ht="15.75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 ht="15.75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 ht="15.75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 ht="15.75" customHeight="1">
      <c r="A341" s="218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 ht="15.75" customHeight="1">
      <c r="A342" s="218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 ht="15.75" customHeight="1">
      <c r="A343" s="218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 ht="15.75" customHeight="1">
      <c r="A344" s="218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 ht="15.75" customHeight="1">
      <c r="A345" s="218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 ht="15.75" customHeight="1">
      <c r="A346" s="218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 ht="15.75" customHeight="1">
      <c r="A347" s="218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 ht="15.75" customHeight="1">
      <c r="A348" s="218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 ht="15.75" customHeight="1">
      <c r="A349" s="218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 ht="15.75" customHeight="1">
      <c r="A350" s="218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 ht="15.75" customHeight="1">
      <c r="A351" s="218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 ht="15.75" customHeight="1">
      <c r="A352" s="218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 ht="15.75" customHeight="1">
      <c r="A353" s="218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 ht="15.75" customHeight="1">
      <c r="A354" s="218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 ht="15.75" customHeight="1">
      <c r="A355" s="218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 ht="15.75" customHeight="1">
      <c r="A356" s="218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 ht="15.75" customHeight="1">
      <c r="A357" s="218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 ht="15.75" customHeight="1">
      <c r="A358" s="218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 ht="15.75" customHeight="1">
      <c r="A359" s="218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 ht="15.75" customHeight="1">
      <c r="A360" s="218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 ht="15.75" customHeight="1">
      <c r="A361" s="218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 ht="15.75" customHeight="1">
      <c r="A362" s="218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 ht="15.75" customHeight="1">
      <c r="A363" s="218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 ht="15.75" customHeight="1">
      <c r="A364" s="218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 ht="15.75" customHeight="1">
      <c r="A365" s="218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 ht="15.75" customHeight="1">
      <c r="A366" s="218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 ht="15.75" customHeight="1">
      <c r="A367" s="218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 ht="15.75" customHeight="1">
      <c r="A368" s="218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 ht="15.75" customHeight="1">
      <c r="A369" s="218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 ht="15.75" customHeight="1">
      <c r="A370" s="218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 ht="15.75" customHeight="1">
      <c r="A371" s="218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 ht="15.75" customHeight="1">
      <c r="A372" s="218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 ht="15.75" customHeight="1">
      <c r="A373" s="218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 ht="15.75" customHeight="1">
      <c r="A374" s="218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 ht="15.75" customHeight="1">
      <c r="A375" s="218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 ht="15.75" customHeight="1">
      <c r="A376" s="218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 ht="15.75" customHeight="1">
      <c r="A377" s="218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 ht="15.75" customHeight="1">
      <c r="A378" s="218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 ht="15.75" customHeight="1">
      <c r="A379" s="218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 ht="15.75" customHeight="1">
      <c r="A380" s="218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 ht="15.75" customHeight="1">
      <c r="A381" s="218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 ht="15.75" customHeight="1">
      <c r="A382" s="218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 ht="15.75" customHeight="1">
      <c r="A383" s="218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 ht="15.75" customHeight="1">
      <c r="A384" s="218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 ht="15.75" customHeight="1">
      <c r="A385" s="218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 ht="15.75" customHeight="1">
      <c r="A386" s="218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 ht="15.75" customHeight="1">
      <c r="A387" s="218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 ht="15.75" customHeight="1">
      <c r="A388" s="218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 ht="15.75" customHeight="1">
      <c r="A389" s="218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 ht="15.75" customHeight="1">
      <c r="A390" s="218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 ht="15.75" customHeight="1">
      <c r="A391" s="218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 ht="15.75" customHeight="1">
      <c r="A392" s="218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 ht="15.75" customHeight="1">
      <c r="A393" s="218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 ht="15.75" customHeight="1">
      <c r="A394" s="218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 ht="15.75" customHeight="1">
      <c r="A395" s="218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 ht="15.75" customHeight="1">
      <c r="A396" s="218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 ht="15.75" customHeight="1">
      <c r="A397" s="218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 ht="15.75" customHeight="1">
      <c r="A398" s="218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 ht="15.75" customHeight="1">
      <c r="A399" s="218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 ht="15.75" customHeight="1">
      <c r="A400" s="218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 ht="15.75" customHeight="1">
      <c r="A401" s="218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 ht="15.75" customHeight="1">
      <c r="A402" s="218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 ht="15.75" customHeight="1">
      <c r="A403" s="218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 ht="15.75" customHeight="1">
      <c r="A404" s="218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 ht="15.75" customHeight="1">
      <c r="A405" s="218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 ht="15.75" customHeight="1">
      <c r="A406" s="218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 ht="15.75" customHeight="1">
      <c r="A407" s="218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 ht="15.75" customHeight="1">
      <c r="A408" s="218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 ht="15.75" customHeight="1">
      <c r="A409" s="218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 ht="15.75" customHeight="1">
      <c r="A410" s="218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 ht="15.75" customHeight="1">
      <c r="A411" s="218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 ht="15.75" customHeight="1">
      <c r="A412" s="218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 ht="15.75" customHeight="1">
      <c r="A413" s="218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 ht="15.75" customHeight="1">
      <c r="A414" s="218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 ht="15.75" customHeight="1">
      <c r="A415" s="218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 ht="15.75" customHeight="1">
      <c r="A416" s="218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 ht="15.75" customHeight="1">
      <c r="A417" s="218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 ht="15.75" customHeight="1">
      <c r="A418" s="218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 ht="15.75" customHeight="1">
      <c r="A419" s="218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 ht="15.75" customHeight="1">
      <c r="A420" s="218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 ht="15.75" customHeight="1">
      <c r="A421" s="218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 ht="15.75" customHeight="1">
      <c r="A422" s="218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 ht="15.75" customHeight="1">
      <c r="A423" s="218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 ht="15.75" customHeight="1">
      <c r="A424" s="218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 ht="15.75" customHeight="1">
      <c r="A425" s="218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 ht="15.75" customHeight="1">
      <c r="A426" s="218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 ht="15.75" customHeight="1">
      <c r="A427" s="218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 ht="15.75" customHeight="1">
      <c r="A428" s="218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 ht="15.75" customHeight="1">
      <c r="A429" s="218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 ht="15.75" customHeight="1">
      <c r="A430" s="218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 ht="15.75" customHeight="1">
      <c r="A431" s="218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 ht="15.75" customHeight="1">
      <c r="A432" s="218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 ht="15.75" customHeight="1">
      <c r="A433" s="218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 ht="15.75" customHeight="1">
      <c r="A434" s="218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 ht="15.75" customHeight="1">
      <c r="A435" s="218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 ht="15.75" customHeight="1">
      <c r="A436" s="218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 ht="15.75" customHeight="1">
      <c r="A437" s="218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 ht="15.75" customHeight="1">
      <c r="A438" s="218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 ht="15.75" customHeight="1">
      <c r="A439" s="218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 ht="15.75" customHeight="1">
      <c r="A440" s="218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 ht="15.75" customHeight="1">
      <c r="A441" s="218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 ht="15.75" customHeight="1">
      <c r="A442" s="218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 ht="15.75" customHeight="1">
      <c r="A443" s="218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 ht="15.75" customHeight="1">
      <c r="A444" s="218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 ht="15.75" customHeight="1">
      <c r="A445" s="218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 ht="15.75" customHeight="1">
      <c r="A446" s="218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 ht="15.75" customHeight="1">
      <c r="A447" s="218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 ht="15.75" customHeight="1">
      <c r="A448" s="218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 ht="15.75" customHeight="1">
      <c r="A449" s="218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 ht="15.75" customHeight="1">
      <c r="A450" s="218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 ht="15.75" customHeight="1">
      <c r="A451" s="218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 ht="15.75" customHeight="1">
      <c r="A452" s="218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 ht="15.75" customHeight="1">
      <c r="A453" s="218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 ht="15.75" customHeight="1">
      <c r="A454" s="218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 ht="15.75" customHeight="1">
      <c r="A455" s="218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 ht="15.75" customHeight="1">
      <c r="A456" s="218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 ht="15.75" customHeight="1">
      <c r="A457" s="218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 ht="15.75" customHeight="1">
      <c r="A458" s="218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 ht="15.75" customHeight="1">
      <c r="A459" s="218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 ht="15.75" customHeight="1">
      <c r="A460" s="218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 ht="15.75" customHeight="1">
      <c r="A461" s="218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 ht="15.75" customHeight="1">
      <c r="A462" s="218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 ht="15.75" customHeight="1">
      <c r="A463" s="218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 ht="15.75" customHeight="1">
      <c r="A464" s="218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 ht="15.75" customHeight="1">
      <c r="A465" s="218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 ht="15.75" customHeight="1">
      <c r="A466" s="218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 ht="15.75" customHeight="1">
      <c r="A467" s="218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 ht="15.75" customHeight="1">
      <c r="A468" s="218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 ht="15.75" customHeight="1">
      <c r="A469" s="218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 ht="15.75" customHeight="1">
      <c r="A470" s="218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 ht="15.75" customHeight="1">
      <c r="A471" s="218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 ht="15.75" customHeight="1">
      <c r="A472" s="218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 ht="15.75" customHeight="1">
      <c r="A473" s="218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 ht="15.75" customHeight="1">
      <c r="A474" s="218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 ht="15.75" customHeight="1">
      <c r="A475" s="218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 ht="15.75" customHeight="1">
      <c r="A476" s="218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 ht="15.75" customHeight="1">
      <c r="A477" s="218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 ht="15.75" customHeight="1">
      <c r="A478" s="218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 ht="15.75" customHeight="1">
      <c r="A479" s="218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 ht="15.75" customHeight="1">
      <c r="A480" s="218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 ht="15.75" customHeight="1">
      <c r="A481" s="218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 ht="15.75" customHeight="1">
      <c r="A482" s="218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 ht="15.75" customHeight="1">
      <c r="A483" s="218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 ht="15.75" customHeight="1">
      <c r="A484" s="218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 ht="15.75" customHeight="1">
      <c r="A485" s="218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 ht="15.75" customHeight="1">
      <c r="A486" s="218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 ht="15.75" customHeight="1">
      <c r="A487" s="218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 ht="15.75" customHeight="1">
      <c r="A488" s="218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 ht="15.75" customHeight="1">
      <c r="A489" s="218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 ht="15.75" customHeight="1">
      <c r="A490" s="218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 ht="15.75" customHeight="1">
      <c r="A491" s="218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 ht="15.75" customHeight="1">
      <c r="A492" s="218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 ht="15.75" customHeight="1">
      <c r="A493" s="218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 ht="15.75" customHeight="1">
      <c r="A494" s="218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 ht="15.75" customHeight="1">
      <c r="A495" s="218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 ht="15.75" customHeight="1">
      <c r="A496" s="218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 ht="15.75" customHeight="1">
      <c r="A497" s="218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 ht="15.75" customHeight="1">
      <c r="A498" s="218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 ht="15.75" customHeight="1">
      <c r="A499" s="218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 ht="15.75" customHeight="1">
      <c r="A500" s="218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 ht="15.75" customHeight="1">
      <c r="A501" s="218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 ht="15.75" customHeight="1">
      <c r="A502" s="218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 ht="15.75" customHeight="1">
      <c r="A503" s="218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 ht="15.75" customHeight="1">
      <c r="A504" s="218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 ht="15.75" customHeight="1">
      <c r="A505" s="218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 ht="15.75" customHeight="1">
      <c r="A506" s="218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 ht="15.75" customHeight="1">
      <c r="A507" s="218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 ht="15.75" customHeight="1">
      <c r="A508" s="218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 ht="15.75" customHeight="1">
      <c r="A509" s="218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 ht="15.75" customHeight="1">
      <c r="A510" s="218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 ht="15.75" customHeight="1">
      <c r="A511" s="218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 ht="15.75" customHeight="1">
      <c r="A512" s="218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 ht="15.75" customHeight="1">
      <c r="A513" s="218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 ht="15.75" customHeight="1">
      <c r="A514" s="218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 ht="15.75" customHeight="1">
      <c r="A515" s="218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 ht="15.75" customHeight="1">
      <c r="A516" s="218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 ht="15.75" customHeight="1">
      <c r="A517" s="218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 ht="15.75" customHeight="1">
      <c r="A518" s="218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 ht="15.75" customHeight="1">
      <c r="A519" s="218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 ht="15.75" customHeight="1">
      <c r="A520" s="218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 ht="15.75" customHeight="1">
      <c r="A521" s="218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 ht="15.75" customHeight="1">
      <c r="A522" s="218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 ht="15.75" customHeight="1">
      <c r="A523" s="218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 ht="15.75" customHeight="1">
      <c r="A524" s="218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 ht="15.75" customHeight="1">
      <c r="A525" s="218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 ht="15.75" customHeight="1">
      <c r="A526" s="218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 ht="15.75" customHeight="1">
      <c r="A527" s="218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 ht="15.75" customHeight="1">
      <c r="A528" s="218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 ht="15.75" customHeight="1">
      <c r="A529" s="218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 ht="15.75" customHeight="1">
      <c r="A530" s="218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 ht="15.75" customHeight="1">
      <c r="A531" s="218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 ht="15.75" customHeight="1">
      <c r="A532" s="218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 ht="15.75" customHeight="1">
      <c r="A533" s="218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 ht="15.75" customHeight="1">
      <c r="A534" s="218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 ht="15.75" customHeight="1">
      <c r="A535" s="218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 ht="15.75" customHeight="1">
      <c r="A536" s="218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 ht="15.75" customHeight="1">
      <c r="A537" s="218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 ht="15.75" customHeight="1">
      <c r="A538" s="218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 ht="15.75" customHeight="1">
      <c r="A539" s="218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 ht="15.75" customHeight="1">
      <c r="A540" s="218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 ht="15.75" customHeight="1">
      <c r="A541" s="218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 ht="15.75" customHeight="1">
      <c r="A542" s="218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 ht="15.75" customHeight="1">
      <c r="A543" s="218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 ht="15.75" customHeight="1">
      <c r="A544" s="218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 ht="15.75" customHeight="1">
      <c r="A545" s="218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 ht="15.75" customHeight="1">
      <c r="A546" s="218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 ht="15.75" customHeight="1">
      <c r="A547" s="218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 ht="15.75" customHeight="1">
      <c r="A548" s="218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 ht="15.75" customHeight="1">
      <c r="A549" s="218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 ht="15.75" customHeight="1">
      <c r="A550" s="218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 ht="15.75" customHeight="1">
      <c r="A551" s="218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 ht="15.75" customHeight="1">
      <c r="A552" s="218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 ht="15.75" customHeight="1">
      <c r="A553" s="218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 ht="15.75" customHeight="1">
      <c r="A554" s="218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 ht="15.75" customHeight="1">
      <c r="A555" s="218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 ht="15.75" customHeight="1">
      <c r="A556" s="218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 ht="15.75" customHeight="1">
      <c r="A557" s="218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 ht="15.75" customHeight="1">
      <c r="A558" s="218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 ht="15.75" customHeight="1">
      <c r="A559" s="218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 ht="15.75" customHeight="1">
      <c r="A560" s="218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 ht="15.75" customHeight="1">
      <c r="A561" s="218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 ht="15.75" customHeight="1">
      <c r="A562" s="218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 ht="15.75" customHeight="1">
      <c r="A563" s="218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 ht="15.75" customHeight="1">
      <c r="A564" s="218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 ht="15.75" customHeight="1">
      <c r="A565" s="218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 ht="15.75" customHeight="1">
      <c r="A566" s="218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 ht="15.75" customHeight="1">
      <c r="A567" s="218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 ht="15.75" customHeight="1">
      <c r="A568" s="218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 ht="15.75" customHeight="1">
      <c r="A569" s="218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 ht="15.75" customHeight="1">
      <c r="A570" s="218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 ht="15.75" customHeight="1">
      <c r="A571" s="218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 ht="15.75" customHeight="1">
      <c r="A572" s="218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 ht="15.75" customHeight="1">
      <c r="A573" s="218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 ht="15.75" customHeight="1">
      <c r="A574" s="218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 ht="15.75" customHeight="1">
      <c r="A575" s="218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 ht="15.75" customHeight="1">
      <c r="A576" s="218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 ht="15.75" customHeight="1">
      <c r="A577" s="218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 ht="15.75" customHeight="1">
      <c r="A578" s="218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 ht="15.75" customHeight="1">
      <c r="A579" s="218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 ht="15.75" customHeight="1">
      <c r="A580" s="218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 ht="15.75" customHeight="1">
      <c r="A581" s="218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 ht="15.75" customHeight="1">
      <c r="A582" s="218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 ht="15.75" customHeight="1">
      <c r="A583" s="218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 ht="15.75" customHeight="1">
      <c r="A584" s="218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 ht="15.75" customHeight="1">
      <c r="A585" s="218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 ht="15.75" customHeight="1">
      <c r="A586" s="218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 ht="15.75" customHeight="1">
      <c r="A587" s="218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 ht="15.75" customHeight="1">
      <c r="A588" s="218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 ht="15.75" customHeight="1">
      <c r="A589" s="218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 ht="15.75" customHeight="1">
      <c r="A590" s="218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 ht="15.75" customHeight="1">
      <c r="A591" s="218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 ht="15.75" customHeight="1">
      <c r="A592" s="218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 ht="15.75" customHeight="1">
      <c r="A593" s="218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 ht="15.75" customHeight="1">
      <c r="A594" s="218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 ht="15.75" customHeight="1">
      <c r="A595" s="218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 ht="15.75" customHeight="1">
      <c r="A596" s="218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 ht="15.75" customHeight="1">
      <c r="A597" s="218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 ht="15.75" customHeight="1">
      <c r="A598" s="218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 ht="15.75" customHeight="1">
      <c r="A599" s="218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 ht="15.75" customHeight="1">
      <c r="A600" s="218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 ht="15.75" customHeight="1">
      <c r="A601" s="218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 ht="15.75" customHeight="1">
      <c r="A602" s="218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 ht="15.75" customHeight="1">
      <c r="A603" s="218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 ht="15.75" customHeight="1">
      <c r="A604" s="218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 ht="15.75" customHeight="1">
      <c r="A605" s="218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 ht="15.75" customHeight="1">
      <c r="A606" s="218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 ht="15.75" customHeight="1">
      <c r="A607" s="218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 ht="15.75" customHeight="1">
      <c r="A608" s="218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 ht="15.75" customHeight="1">
      <c r="A609" s="218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 ht="15.75" customHeight="1">
      <c r="A610" s="218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 ht="15.75" customHeight="1">
      <c r="A611" s="218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 ht="15.75" customHeight="1">
      <c r="A612" s="218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 ht="15.75" customHeight="1">
      <c r="A613" s="218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 ht="15.75" customHeight="1">
      <c r="A614" s="218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 ht="15.75" customHeight="1">
      <c r="A615" s="218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 ht="15.75" customHeight="1">
      <c r="A616" s="218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 ht="15.75" customHeight="1">
      <c r="A617" s="218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 ht="15.75" customHeight="1">
      <c r="A618" s="218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 ht="15.75" customHeight="1">
      <c r="A619" s="218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 ht="15.75" customHeight="1">
      <c r="A620" s="218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 ht="15.75" customHeight="1">
      <c r="A621" s="218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 ht="15.75" customHeight="1">
      <c r="A622" s="218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 ht="15.75" customHeight="1">
      <c r="A623" s="218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 ht="15.75" customHeight="1">
      <c r="A624" s="218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 ht="15.75" customHeight="1">
      <c r="A625" s="218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 ht="15.75" customHeight="1">
      <c r="A626" s="218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 ht="15.75" customHeight="1">
      <c r="A627" s="218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 ht="15.75" customHeight="1">
      <c r="A628" s="218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 ht="15.75" customHeight="1">
      <c r="A629" s="218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 ht="15.75" customHeight="1">
      <c r="A630" s="218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 ht="15.75" customHeight="1">
      <c r="A631" s="218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 ht="15.75" customHeight="1">
      <c r="A632" s="218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 ht="15.75" customHeight="1">
      <c r="A633" s="218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 ht="15.75" customHeight="1">
      <c r="A634" s="218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 ht="15.75" customHeight="1">
      <c r="A635" s="218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 ht="15.75" customHeight="1">
      <c r="A636" s="218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 ht="15.75" customHeight="1">
      <c r="A637" s="218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 ht="15.75" customHeight="1">
      <c r="A638" s="218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 ht="15.75" customHeight="1">
      <c r="A639" s="218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 ht="15.75" customHeight="1">
      <c r="A640" s="218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 ht="15.75" customHeight="1">
      <c r="A641" s="218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 ht="15.75" customHeight="1">
      <c r="A642" s="218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 ht="15.75" customHeight="1">
      <c r="A643" s="218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 ht="15.75" customHeight="1">
      <c r="A644" s="218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 ht="15.75" customHeight="1">
      <c r="A645" s="218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 ht="15.75" customHeight="1">
      <c r="A646" s="218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 ht="15.75" customHeight="1">
      <c r="A647" s="218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 ht="15.75" customHeight="1">
      <c r="A648" s="218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 ht="15.75" customHeight="1">
      <c r="A649" s="218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 ht="15.75" customHeight="1">
      <c r="A650" s="218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 ht="15.75" customHeight="1">
      <c r="A651" s="218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 ht="15.75" customHeight="1">
      <c r="A652" s="218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 ht="15.75" customHeight="1">
      <c r="A653" s="218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 ht="15.75" customHeight="1">
      <c r="A654" s="218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 ht="15.75" customHeight="1">
      <c r="A655" s="218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 ht="15.75" customHeight="1">
      <c r="A656" s="218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 ht="15.75" customHeight="1">
      <c r="A657" s="218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 ht="15.75" customHeight="1">
      <c r="A658" s="218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 ht="15.75" customHeight="1">
      <c r="A659" s="218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 ht="15.75" customHeight="1">
      <c r="A660" s="218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 ht="15.75" customHeight="1">
      <c r="A661" s="218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 ht="15.75" customHeight="1">
      <c r="A662" s="218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 ht="15.75" customHeight="1">
      <c r="A663" s="218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 ht="15.75" customHeight="1">
      <c r="A664" s="218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 ht="15.75" customHeight="1">
      <c r="A665" s="218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 ht="15.75" customHeight="1">
      <c r="A666" s="218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 ht="15.75" customHeight="1">
      <c r="A667" s="218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 ht="15.75" customHeight="1">
      <c r="A668" s="218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 ht="15.75" customHeight="1">
      <c r="A669" s="218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 ht="15.75" customHeight="1">
      <c r="A670" s="218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 ht="15.75" customHeight="1">
      <c r="A671" s="218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 ht="15.75" customHeight="1">
      <c r="A672" s="218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 ht="15.75" customHeight="1">
      <c r="A673" s="218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 ht="15.75" customHeight="1">
      <c r="A674" s="218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 ht="15.75" customHeight="1">
      <c r="A675" s="218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 ht="15.75" customHeight="1">
      <c r="A676" s="218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 ht="15.75" customHeight="1">
      <c r="A677" s="218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 ht="15.75" customHeight="1">
      <c r="A678" s="218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 ht="15.75" customHeight="1">
      <c r="A679" s="218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 ht="15.75" customHeight="1">
      <c r="A680" s="218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 ht="15.75" customHeight="1">
      <c r="A681" s="218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 ht="15.75" customHeight="1">
      <c r="A682" s="218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 ht="15.75" customHeight="1">
      <c r="A683" s="218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 ht="15.75" customHeight="1">
      <c r="A684" s="218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 ht="15.75" customHeight="1">
      <c r="A685" s="218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 ht="15.75" customHeight="1">
      <c r="A686" s="218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 ht="15.75" customHeight="1">
      <c r="A687" s="218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 ht="15.75" customHeight="1">
      <c r="A688" s="218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 ht="15.75" customHeight="1">
      <c r="A689" s="218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 ht="15.75" customHeight="1">
      <c r="A690" s="218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 ht="15.75" customHeight="1">
      <c r="A691" s="218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 ht="15.75" customHeight="1">
      <c r="A692" s="218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 ht="15.75" customHeight="1">
      <c r="A693" s="218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 ht="15.75" customHeight="1">
      <c r="A694" s="218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 ht="15.75" customHeight="1">
      <c r="A695" s="218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 ht="15.75" customHeight="1">
      <c r="A696" s="218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 ht="15.75" customHeight="1">
      <c r="A697" s="218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 ht="15.75" customHeight="1">
      <c r="A698" s="218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 ht="15.75" customHeight="1">
      <c r="A699" s="218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 ht="15.75" customHeight="1">
      <c r="A700" s="218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 ht="15.75" customHeight="1">
      <c r="A701" s="218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 ht="15.75" customHeight="1">
      <c r="A702" s="218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 ht="15.75" customHeight="1">
      <c r="A703" s="218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 ht="15.75" customHeight="1">
      <c r="A704" s="218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 ht="15.75" customHeight="1">
      <c r="A705" s="218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 ht="15.75" customHeight="1">
      <c r="A706" s="218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 ht="15.75" customHeight="1">
      <c r="A707" s="218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 ht="15.75" customHeight="1">
      <c r="A708" s="218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 ht="15.75" customHeight="1">
      <c r="A709" s="218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 ht="15.75" customHeight="1">
      <c r="A710" s="218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 ht="15.75" customHeight="1">
      <c r="A711" s="218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 ht="15.75" customHeight="1">
      <c r="A712" s="218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 ht="15.75" customHeight="1">
      <c r="A713" s="218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 ht="15.75" customHeight="1">
      <c r="A714" s="218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 ht="15.75" customHeight="1">
      <c r="A715" s="218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 ht="15.75" customHeight="1">
      <c r="A716" s="218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 ht="15.75" customHeight="1">
      <c r="A717" s="218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 ht="15.75" customHeight="1">
      <c r="A718" s="218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 ht="15.75" customHeight="1">
      <c r="A719" s="218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 ht="15.75" customHeight="1">
      <c r="A720" s="218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 ht="15.75" customHeight="1">
      <c r="A721" s="218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 ht="15.75" customHeight="1">
      <c r="A722" s="218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 ht="15.75" customHeight="1">
      <c r="A723" s="218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 ht="15.75" customHeight="1">
      <c r="A724" s="218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 ht="15.75" customHeight="1">
      <c r="A725" s="218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 ht="15.75" customHeight="1">
      <c r="A726" s="218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 ht="15.75" customHeight="1">
      <c r="A727" s="218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 ht="15.75" customHeight="1">
      <c r="A728" s="218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 ht="15.75" customHeight="1">
      <c r="A729" s="218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 ht="15.75" customHeight="1">
      <c r="A730" s="218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 ht="15.75" customHeight="1">
      <c r="A731" s="218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 ht="15.75" customHeight="1">
      <c r="A732" s="218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 ht="15.75" customHeight="1">
      <c r="A733" s="218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 ht="15.75" customHeight="1">
      <c r="A734" s="218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 ht="15.75" customHeight="1">
      <c r="A735" s="218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 ht="15.75" customHeight="1">
      <c r="A736" s="218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 ht="15.75" customHeight="1">
      <c r="A737" s="218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 ht="15.75" customHeight="1">
      <c r="A738" s="218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 ht="15.75" customHeight="1">
      <c r="A739" s="218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 ht="15.75" customHeight="1">
      <c r="A740" s="218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 ht="15.75" customHeight="1">
      <c r="A741" s="218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 ht="15.75" customHeight="1">
      <c r="A742" s="218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 ht="15.75" customHeight="1">
      <c r="A743" s="218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 ht="15.75" customHeight="1">
      <c r="A744" s="218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 ht="15.75" customHeight="1">
      <c r="A745" s="218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 ht="15.75" customHeight="1">
      <c r="A746" s="218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 ht="15.75" customHeight="1">
      <c r="A747" s="218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 ht="15.75" customHeight="1">
      <c r="A748" s="218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 ht="15.75" customHeight="1">
      <c r="A749" s="218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 ht="15.75" customHeight="1">
      <c r="A750" s="218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 ht="15.75" customHeight="1">
      <c r="A751" s="218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 ht="15.75" customHeight="1">
      <c r="A752" s="218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 ht="15.75" customHeight="1">
      <c r="A753" s="218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 ht="15.75" customHeight="1">
      <c r="A754" s="218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 ht="15.75" customHeight="1">
      <c r="A755" s="218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 ht="15.75" customHeight="1">
      <c r="A756" s="218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 ht="15.75" customHeight="1">
      <c r="A757" s="218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 ht="15.75" customHeight="1">
      <c r="A758" s="218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 ht="15.75" customHeight="1">
      <c r="A759" s="218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 ht="15.75" customHeight="1">
      <c r="A760" s="218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 ht="15.75" customHeight="1">
      <c r="A761" s="218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 ht="15.75" customHeight="1">
      <c r="A762" s="218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 ht="15.75" customHeight="1">
      <c r="A763" s="218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 ht="15.75" customHeight="1">
      <c r="A764" s="218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 ht="15.75" customHeight="1">
      <c r="A765" s="218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 ht="15.75" customHeight="1">
      <c r="A766" s="218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 ht="15.75" customHeight="1">
      <c r="A767" s="218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 ht="15.75" customHeight="1">
      <c r="A768" s="218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 ht="15.75" customHeight="1">
      <c r="A769" s="218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 ht="15.75" customHeight="1">
      <c r="A770" s="218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 ht="15.75" customHeight="1">
      <c r="A771" s="218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 ht="15.75" customHeight="1">
      <c r="A772" s="218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 ht="15.75" customHeight="1">
      <c r="A773" s="218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 ht="15.75" customHeight="1">
      <c r="A774" s="218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 ht="15.75" customHeight="1">
      <c r="A775" s="218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 ht="15.75" customHeight="1">
      <c r="A776" s="218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 ht="15.75" customHeight="1">
      <c r="A777" s="218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 ht="15.75" customHeight="1">
      <c r="A778" s="218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 ht="15.75" customHeight="1">
      <c r="A779" s="218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 ht="15.75" customHeight="1">
      <c r="A780" s="218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 ht="15.75" customHeight="1">
      <c r="A781" s="218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 ht="15.75" customHeight="1">
      <c r="A782" s="218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 ht="15.75" customHeight="1">
      <c r="A783" s="218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 ht="15.75" customHeight="1">
      <c r="A784" s="218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 ht="15.75" customHeight="1">
      <c r="A785" s="218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 ht="15.75" customHeight="1">
      <c r="A786" s="218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 ht="15.75" customHeight="1">
      <c r="A787" s="218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 ht="15.75" customHeight="1">
      <c r="A788" s="218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 ht="15.75" customHeight="1">
      <c r="A789" s="218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 ht="15.75" customHeight="1">
      <c r="A790" s="218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 ht="15.75" customHeight="1">
      <c r="A791" s="218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 ht="15.75" customHeight="1">
      <c r="A792" s="218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 ht="15.75" customHeight="1">
      <c r="A793" s="218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 ht="15.75" customHeight="1">
      <c r="A794" s="218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 ht="15.75" customHeight="1">
      <c r="A795" s="218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 ht="15.75" customHeight="1">
      <c r="A796" s="218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 ht="15.75" customHeight="1">
      <c r="A797" s="218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 ht="15.75" customHeight="1">
      <c r="A798" s="218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 ht="15.75" customHeight="1">
      <c r="A799" s="218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 ht="15.75" customHeight="1">
      <c r="A800" s="218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 ht="15.75" customHeight="1">
      <c r="A801" s="218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 ht="15.75" customHeight="1">
      <c r="A802" s="218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 ht="15.75" customHeight="1">
      <c r="A803" s="218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 ht="15.75" customHeight="1">
      <c r="A804" s="218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 ht="15.75" customHeight="1">
      <c r="A805" s="218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 ht="15.75" customHeight="1">
      <c r="A806" s="218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 ht="15.75" customHeight="1">
      <c r="A807" s="218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 ht="15.75" customHeight="1">
      <c r="A808" s="218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 ht="15.75" customHeight="1">
      <c r="A809" s="218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 ht="15.75" customHeight="1">
      <c r="A810" s="218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 ht="15.75" customHeight="1">
      <c r="A811" s="218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 ht="15.75" customHeight="1">
      <c r="A812" s="218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 ht="15.75" customHeight="1">
      <c r="A813" s="218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 ht="15.75" customHeight="1">
      <c r="A814" s="218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 ht="15.75" customHeight="1">
      <c r="A815" s="218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 ht="15.75" customHeight="1">
      <c r="A816" s="218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 ht="15.75" customHeight="1">
      <c r="A817" s="218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 ht="15.75" customHeight="1">
      <c r="A818" s="218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 ht="15.75" customHeight="1">
      <c r="A819" s="218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 ht="15.75" customHeight="1">
      <c r="A820" s="218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 ht="15.75" customHeight="1">
      <c r="A821" s="218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 ht="15.75" customHeight="1">
      <c r="A822" s="218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 ht="15.75" customHeight="1">
      <c r="A823" s="218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 ht="15.75" customHeight="1">
      <c r="A824" s="218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 ht="15.75" customHeight="1">
      <c r="A825" s="218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 ht="15.75" customHeight="1">
      <c r="A826" s="218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 ht="15.75" customHeight="1">
      <c r="A827" s="218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 ht="15.75" customHeight="1">
      <c r="A828" s="218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 ht="15.75" customHeight="1">
      <c r="A829" s="218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 ht="15.75" customHeight="1">
      <c r="A830" s="218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 ht="15.75" customHeight="1">
      <c r="A831" s="218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 ht="15.75" customHeight="1">
      <c r="A832" s="218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 ht="15.75" customHeight="1">
      <c r="A833" s="218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 ht="15.75" customHeight="1">
      <c r="A834" s="218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 ht="15.75" customHeight="1">
      <c r="A835" s="218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 ht="15.75" customHeight="1">
      <c r="A836" s="218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 ht="15.75" customHeight="1">
      <c r="A837" s="218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 ht="15.75" customHeight="1">
      <c r="A838" s="218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 ht="15.75" customHeight="1">
      <c r="A839" s="218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 ht="15.75" customHeight="1">
      <c r="A840" s="218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 ht="15.75" customHeight="1">
      <c r="A841" s="218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 ht="15.75" customHeight="1">
      <c r="A842" s="218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 ht="15.75" customHeight="1">
      <c r="A843" s="218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 ht="15.75" customHeight="1">
      <c r="A844" s="218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 ht="15.75" customHeight="1">
      <c r="A845" s="218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 ht="15.75" customHeight="1">
      <c r="A846" s="218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 ht="15.75" customHeight="1">
      <c r="A847" s="218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 ht="15.75" customHeight="1">
      <c r="A848" s="218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 ht="15.75" customHeight="1">
      <c r="A849" s="218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 ht="15.75" customHeight="1">
      <c r="A850" s="218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 ht="15.75" customHeight="1">
      <c r="A851" s="218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 ht="15.75" customHeight="1">
      <c r="A852" s="218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 ht="15.75" customHeight="1">
      <c r="A853" s="218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 ht="15.75" customHeight="1">
      <c r="A854" s="218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 ht="15.75" customHeight="1">
      <c r="A855" s="218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 ht="15.75" customHeight="1">
      <c r="A856" s="218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 ht="15.75" customHeight="1">
      <c r="A857" s="218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 ht="15.75" customHeight="1">
      <c r="A858" s="218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 ht="15.75" customHeight="1">
      <c r="A859" s="218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 ht="15.75" customHeight="1">
      <c r="A860" s="218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 ht="15.75" customHeight="1">
      <c r="A861" s="218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 ht="15.75" customHeight="1">
      <c r="A862" s="218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 ht="15.75" customHeight="1">
      <c r="A863" s="218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 ht="15.75" customHeight="1">
      <c r="A864" s="218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 ht="15.75" customHeight="1">
      <c r="A865" s="218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 ht="15.75" customHeight="1">
      <c r="A866" s="218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 ht="15.75" customHeight="1">
      <c r="A867" s="218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 ht="15.75" customHeight="1">
      <c r="A868" s="218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 ht="15.75" customHeight="1">
      <c r="A869" s="218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 ht="15.75" customHeight="1">
      <c r="A870" s="218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 ht="15.75" customHeight="1">
      <c r="A871" s="218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 ht="15.75" customHeight="1">
      <c r="A872" s="218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 ht="15.75" customHeight="1">
      <c r="A873" s="218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 ht="15.75" customHeight="1">
      <c r="A874" s="218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 ht="15.75" customHeight="1">
      <c r="A875" s="218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 ht="15.75" customHeight="1">
      <c r="A876" s="218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 ht="15.75" customHeight="1">
      <c r="A877" s="218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 ht="15.75" customHeight="1">
      <c r="A878" s="218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 ht="15.75" customHeight="1">
      <c r="A879" s="218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 ht="15.75" customHeight="1">
      <c r="A880" s="218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 ht="15.75" customHeight="1">
      <c r="A881" s="218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 ht="15.75" customHeight="1">
      <c r="A882" s="218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 ht="15.75" customHeight="1">
      <c r="A883" s="218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 ht="15.75" customHeight="1">
      <c r="A884" s="218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 ht="15.75" customHeight="1">
      <c r="A885" s="218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 ht="15.75" customHeight="1">
      <c r="A886" s="218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 ht="15.75" customHeight="1">
      <c r="A887" s="218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 ht="15.75" customHeight="1">
      <c r="A888" s="218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 ht="15.75" customHeight="1">
      <c r="A889" s="218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 ht="15.75" customHeight="1">
      <c r="A890" s="218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 ht="15.75" customHeight="1">
      <c r="A891" s="218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 ht="15.75" customHeight="1">
      <c r="A892" s="218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 ht="15.75" customHeight="1">
      <c r="A893" s="218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 ht="15.75" customHeight="1">
      <c r="A894" s="218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 ht="15.75" customHeight="1">
      <c r="A895" s="218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 ht="15.75" customHeight="1">
      <c r="A896" s="218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 ht="15.75" customHeight="1">
      <c r="A897" s="218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 ht="15.75" customHeight="1">
      <c r="A898" s="218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 ht="15.75" customHeight="1">
      <c r="A899" s="218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 ht="15.75" customHeight="1">
      <c r="A900" s="218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 ht="15.75" customHeight="1">
      <c r="A901" s="218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 ht="15.75" customHeight="1">
      <c r="A902" s="218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 ht="15.75" customHeight="1">
      <c r="A903" s="218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 ht="15.75" customHeight="1">
      <c r="A904" s="218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 ht="15.75" customHeight="1">
      <c r="A905" s="218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 ht="15.75" customHeight="1">
      <c r="A906" s="218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 ht="15.75" customHeight="1">
      <c r="A907" s="218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 ht="15.75" customHeight="1">
      <c r="A908" s="218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 ht="15.75" customHeight="1">
      <c r="A909" s="218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 ht="15.75" customHeight="1">
      <c r="A910" s="218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 ht="15.75" customHeight="1">
      <c r="A911" s="218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 ht="15.75" customHeight="1">
      <c r="A912" s="218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 ht="15.75" customHeight="1">
      <c r="A913" s="218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 ht="15.75" customHeight="1">
      <c r="A914" s="218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 ht="15.75" customHeight="1">
      <c r="A915" s="218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 ht="15.75" customHeight="1">
      <c r="A916" s="218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 ht="15.75" customHeight="1">
      <c r="A917" s="218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 ht="15.75" customHeight="1">
      <c r="A918" s="218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 ht="15.75" customHeight="1">
      <c r="A919" s="218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 ht="15.75" customHeight="1">
      <c r="A920" s="218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 ht="15.75" customHeight="1">
      <c r="A921" s="218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 ht="15.75" customHeight="1">
      <c r="A922" s="218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 ht="15.75" customHeight="1">
      <c r="A923" s="218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 ht="15.75" customHeight="1">
      <c r="A924" s="218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 ht="15.75" customHeight="1">
      <c r="A925" s="218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 ht="15.75" customHeight="1">
      <c r="A926" s="218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 ht="15.75" customHeight="1">
      <c r="A927" s="218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 ht="15.75" customHeight="1">
      <c r="A928" s="218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 ht="15.75" customHeight="1">
      <c r="A929" s="218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 ht="15.75" customHeight="1">
      <c r="A930" s="218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 ht="15.75" customHeight="1">
      <c r="A931" s="218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 ht="15.75" customHeight="1">
      <c r="A932" s="218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 ht="15.75" customHeight="1">
      <c r="A933" s="218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 ht="15.75" customHeight="1">
      <c r="A934" s="218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 ht="15.75" customHeight="1">
      <c r="A935" s="218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 ht="15.75" customHeight="1">
      <c r="A936" s="218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 ht="15.75" customHeight="1">
      <c r="A937" s="218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 ht="15.75" customHeight="1">
      <c r="A938" s="218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 ht="15.75" customHeight="1">
      <c r="A939" s="218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 ht="15.75" customHeight="1">
      <c r="A940" s="218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 ht="15.75" customHeight="1">
      <c r="A941" s="218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 ht="15.75" customHeight="1">
      <c r="A942" s="218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 ht="15.75" customHeight="1">
      <c r="A943" s="218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 ht="15.75" customHeight="1">
      <c r="A944" s="218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 ht="15.75" customHeight="1">
      <c r="A945" s="218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 ht="15.75" customHeight="1">
      <c r="A946" s="218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 ht="15.75" customHeight="1">
      <c r="A947" s="218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 ht="15.75" customHeight="1">
      <c r="A948" s="218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 ht="15.75" customHeight="1">
      <c r="A949" s="218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 ht="15.75" customHeight="1">
      <c r="A950" s="218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 ht="15.75" customHeight="1">
      <c r="A951" s="218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 ht="15.75" customHeight="1">
      <c r="A952" s="218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 ht="15.75" customHeight="1">
      <c r="A953" s="218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 ht="15.75" customHeight="1">
      <c r="A954" s="218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 ht="15.75" customHeight="1">
      <c r="A955" s="218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 ht="15.75" customHeight="1">
      <c r="A956" s="218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 ht="15.75" customHeight="1">
      <c r="A957" s="218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 ht="15.75" customHeight="1">
      <c r="A958" s="218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 ht="15.75" customHeight="1">
      <c r="A959" s="218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 ht="15.75" customHeight="1">
      <c r="A960" s="218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 ht="15.75" customHeight="1">
      <c r="A961" s="218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 ht="15.75" customHeight="1">
      <c r="A962" s="218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 ht="15.75" customHeight="1">
      <c r="A963" s="218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 ht="15.75" customHeight="1">
      <c r="A964" s="218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 ht="15.75" customHeight="1">
      <c r="A965" s="218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 ht="15.75" customHeight="1">
      <c r="A966" s="218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 ht="15.75" customHeight="1">
      <c r="A967" s="218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 ht="15.75" customHeight="1">
      <c r="A968" s="218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 ht="15.75" customHeight="1">
      <c r="A969" s="218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 ht="15.75" customHeight="1">
      <c r="A970" s="218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 ht="15.75" customHeight="1">
      <c r="A971" s="218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 ht="15.75" customHeight="1">
      <c r="A972" s="218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 ht="15.75" customHeight="1">
      <c r="A973" s="218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 ht="15.75" customHeight="1">
      <c r="A974" s="218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 ht="15.75" customHeight="1">
      <c r="A975" s="218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 ht="15.75" customHeight="1">
      <c r="A976" s="218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 ht="15.75" customHeight="1">
      <c r="A977" s="218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 ht="15.75" customHeight="1">
      <c r="A978" s="218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 ht="15.75" customHeight="1">
      <c r="A979" s="218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 ht="15.75" customHeight="1">
      <c r="A980" s="218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 ht="15.75" customHeight="1">
      <c r="A981" s="218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 ht="15.75" customHeight="1">
      <c r="A982" s="218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 ht="15.75" customHeight="1">
      <c r="A983" s="218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 ht="15.75" customHeight="1">
      <c r="A984" s="218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 ht="15.75" customHeight="1">
      <c r="A985" s="218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 ht="15.75" customHeight="1">
      <c r="A986" s="218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 ht="15.75" customHeight="1">
      <c r="A987" s="218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 ht="15.75" customHeight="1">
      <c r="A988" s="218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 ht="15.75" customHeight="1">
      <c r="A989" s="218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 ht="15.75" customHeight="1">
      <c r="A990" s="218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 ht="15.75" customHeight="1">
      <c r="A991" s="218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 ht="15.75" customHeight="1">
      <c r="A992" s="218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 ht="15.75" customHeight="1">
      <c r="A993" s="218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 ht="15.75" customHeight="1">
      <c r="A994" s="218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 ht="15.75" customHeight="1">
      <c r="A995" s="218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 ht="15.75" customHeight="1">
      <c r="A996" s="218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 ht="15.75" customHeight="1">
      <c r="A997" s="218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 ht="15.75" customHeight="1">
      <c r="A998" s="218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 ht="15.75" customHeight="1">
      <c r="A999" s="218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</sheetData>
  <mergeCells count="9">
    <mergeCell ref="B59:C59"/>
    <mergeCell ref="C66:E66"/>
    <mergeCell ref="B2:K2"/>
    <mergeCell ref="B3:K3"/>
    <mergeCell ref="B4:K4"/>
    <mergeCell ref="B39:C39"/>
    <mergeCell ref="B43:J43"/>
    <mergeCell ref="B49:E49"/>
    <mergeCell ref="B52:J5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33.63"/>
    <col customWidth="1" min="3" max="3" width="16.5"/>
    <col customWidth="1" min="4" max="4" width="11.88"/>
    <col customWidth="1" min="5" max="5" width="2.75"/>
    <col customWidth="1" min="6" max="6" width="6.88"/>
    <col customWidth="1" min="7" max="7" width="37.38"/>
    <col customWidth="1" min="8" max="8" width="15.63"/>
    <col customWidth="1" min="9" max="9" width="23.38"/>
    <col customWidth="1" min="10" max="10" width="14.0"/>
    <col customWidth="1" min="11" max="11" width="14.13"/>
    <col customWidth="1" min="13" max="13" width="13.5"/>
  </cols>
  <sheetData>
    <row r="1" ht="15.75" customHeight="1">
      <c r="A1" s="230"/>
      <c r="B1" s="231"/>
      <c r="C1" s="231"/>
      <c r="D1" s="231"/>
      <c r="E1" s="230"/>
      <c r="F1" s="230"/>
      <c r="G1" s="232"/>
      <c r="H1" s="232"/>
      <c r="I1" s="232"/>
      <c r="J1" s="232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</row>
    <row r="2" ht="15.75" customHeight="1">
      <c r="A2" s="230"/>
      <c r="B2" s="233"/>
      <c r="C2" s="233"/>
      <c r="D2" s="233"/>
      <c r="E2" s="230"/>
      <c r="F2" s="230"/>
      <c r="G2" s="234" t="s">
        <v>149</v>
      </c>
      <c r="H2" s="110"/>
      <c r="I2" s="110"/>
      <c r="J2" s="111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</row>
    <row r="3" ht="15.75" customHeight="1">
      <c r="A3" s="230"/>
      <c r="B3" s="235" t="s">
        <v>150</v>
      </c>
      <c r="C3" s="236" t="s">
        <v>151</v>
      </c>
      <c r="D3" s="237" t="s">
        <v>152</v>
      </c>
      <c r="E3" s="230"/>
      <c r="F3" s="230"/>
      <c r="G3" s="238" t="s">
        <v>153</v>
      </c>
      <c r="H3" s="237" t="s">
        <v>151</v>
      </c>
      <c r="I3" s="238" t="s">
        <v>154</v>
      </c>
      <c r="J3" s="238" t="s">
        <v>155</v>
      </c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</row>
    <row r="4" ht="15.75" customHeight="1">
      <c r="A4" s="239"/>
      <c r="B4" s="240" t="s">
        <v>77</v>
      </c>
      <c r="C4" s="241">
        <v>6.4809947E7</v>
      </c>
      <c r="D4" s="242">
        <f t="shared" ref="D4:D9" si="1">C4/$C$10</f>
        <v>0.08555143603</v>
      </c>
      <c r="E4" s="243"/>
      <c r="F4" s="230"/>
      <c r="G4" s="244" t="s">
        <v>156</v>
      </c>
      <c r="H4" s="245">
        <f>'Cash Report'!F28</f>
        <v>204610681</v>
      </c>
      <c r="I4" s="246">
        <v>1.0</v>
      </c>
      <c r="J4" s="247">
        <f t="shared" ref="J4:J6" si="2">H4*I4</f>
        <v>204610681</v>
      </c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</row>
    <row r="5" ht="15.75" customHeight="1">
      <c r="A5" s="239"/>
      <c r="B5" s="240" t="s">
        <v>64</v>
      </c>
      <c r="C5" s="241">
        <v>392536.72000000003</v>
      </c>
      <c r="D5" s="242">
        <f t="shared" si="1"/>
        <v>0.0005181624372</v>
      </c>
      <c r="E5" s="243"/>
      <c r="F5" s="230"/>
      <c r="G5" s="244" t="s">
        <v>157</v>
      </c>
      <c r="H5" s="248">
        <f>'Cash Report'!D39</f>
        <v>376884.99</v>
      </c>
      <c r="I5" s="249">
        <f>'Cash Report'!$E$31</f>
        <v>1384.23</v>
      </c>
      <c r="J5" s="247">
        <f t="shared" si="2"/>
        <v>521695509.7</v>
      </c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</row>
    <row r="6" ht="15.75" customHeight="1">
      <c r="A6" s="239"/>
      <c r="B6" s="250" t="s">
        <v>78</v>
      </c>
      <c r="C6" s="241">
        <v>10000.7</v>
      </c>
      <c r="D6" s="242">
        <f t="shared" si="1"/>
        <v>0.00001320127983</v>
      </c>
      <c r="E6" s="243"/>
      <c r="F6" s="230"/>
      <c r="G6" s="244" t="s">
        <v>158</v>
      </c>
      <c r="H6" s="251">
        <v>2525.0</v>
      </c>
      <c r="I6" s="252">
        <f>'Cash Report'!E30</f>
        <v>1847.07</v>
      </c>
      <c r="J6" s="247">
        <f t="shared" si="2"/>
        <v>4663851.75</v>
      </c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</row>
    <row r="7" ht="15.75" customHeight="1">
      <c r="A7" s="239"/>
      <c r="B7" s="250" t="s">
        <v>69</v>
      </c>
      <c r="C7" s="241">
        <v>1301.1761999999999</v>
      </c>
      <c r="D7" s="242">
        <f t="shared" si="1"/>
        <v>0.000001717598881</v>
      </c>
      <c r="E7" s="243"/>
      <c r="F7" s="230"/>
      <c r="G7" s="253"/>
      <c r="H7" s="247"/>
      <c r="I7" s="232"/>
      <c r="J7" s="254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</row>
    <row r="8" ht="15.75" customHeight="1">
      <c r="A8" s="239"/>
      <c r="B8" s="250" t="s">
        <v>79</v>
      </c>
      <c r="C8" s="241">
        <v>275000.0</v>
      </c>
      <c r="D8" s="242">
        <f t="shared" si="1"/>
        <v>0.0003630097847</v>
      </c>
      <c r="E8" s="243"/>
      <c r="F8" s="230"/>
      <c r="G8" s="253" t="s">
        <v>159</v>
      </c>
      <c r="H8" s="247"/>
      <c r="I8" s="232"/>
      <c r="J8" s="254">
        <f>J4+J5+J6</f>
        <v>730970042.4</v>
      </c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30"/>
      <c r="Z8" s="230"/>
      <c r="AA8" s="230"/>
    </row>
    <row r="9" ht="15.75" customHeight="1">
      <c r="A9" s="239"/>
      <c r="B9" s="255" t="s">
        <v>81</v>
      </c>
      <c r="C9" s="256">
        <v>6.9206655195E8</v>
      </c>
      <c r="D9" s="242">
        <f t="shared" si="1"/>
        <v>0.9135524729</v>
      </c>
      <c r="E9" s="243"/>
      <c r="F9" s="230"/>
      <c r="G9" s="257"/>
      <c r="H9" s="258"/>
      <c r="I9" s="257"/>
      <c r="J9" s="257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</row>
    <row r="10" ht="15.75" customHeight="1">
      <c r="A10" s="239"/>
      <c r="B10" s="259" t="s">
        <v>160</v>
      </c>
      <c r="C10" s="254">
        <f>sum(C4:C9)</f>
        <v>757555337.5</v>
      </c>
      <c r="D10" s="254">
        <f>C10/$C$10*100</f>
        <v>100</v>
      </c>
      <c r="E10" s="243"/>
      <c r="F10" s="230"/>
      <c r="G10" s="260" t="s">
        <v>161</v>
      </c>
      <c r="H10" s="237" t="s">
        <v>151</v>
      </c>
      <c r="I10" s="237" t="s">
        <v>152</v>
      </c>
      <c r="K10" s="243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</row>
    <row r="11" ht="15.75" customHeight="1">
      <c r="A11" s="239"/>
      <c r="B11" s="257"/>
      <c r="C11" s="261"/>
      <c r="D11" s="247"/>
      <c r="E11" s="243"/>
      <c r="F11" s="239"/>
      <c r="G11" s="262" t="s">
        <v>77</v>
      </c>
      <c r="H11" s="241">
        <v>6.4809947E7</v>
      </c>
      <c r="I11" s="263">
        <f t="shared" ref="I11:I16" si="3">(H11/$H$17)</f>
        <v>0.08555143603</v>
      </c>
      <c r="J11" s="232"/>
      <c r="K11" s="243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</row>
    <row r="12" ht="15.75" customHeight="1">
      <c r="A12" s="239"/>
      <c r="B12" s="259" t="s">
        <v>28</v>
      </c>
      <c r="C12" s="238" t="s">
        <v>151</v>
      </c>
      <c r="D12" s="237" t="s">
        <v>152</v>
      </c>
      <c r="E12" s="243"/>
      <c r="F12" s="239"/>
      <c r="G12" s="262" t="s">
        <v>64</v>
      </c>
      <c r="H12" s="264">
        <v>392536.72000000003</v>
      </c>
      <c r="I12" s="263">
        <f t="shared" si="3"/>
        <v>0.0005181624372</v>
      </c>
      <c r="J12" s="232"/>
      <c r="K12" s="243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</row>
    <row r="13" ht="15.75" customHeight="1">
      <c r="A13" s="239"/>
      <c r="B13" s="265" t="s">
        <v>32</v>
      </c>
      <c r="C13" s="266">
        <v>3.928254349E7</v>
      </c>
      <c r="D13" s="247">
        <f t="shared" ref="D13:D22" si="4">C13/C$23*100</f>
        <v>34.2488403</v>
      </c>
      <c r="E13" s="243"/>
      <c r="F13" s="239"/>
      <c r="G13" s="267" t="s">
        <v>78</v>
      </c>
      <c r="H13" s="268">
        <v>10000.7</v>
      </c>
      <c r="I13" s="263">
        <f t="shared" si="3"/>
        <v>0.00001320127983</v>
      </c>
      <c r="J13" s="232"/>
      <c r="K13" s="243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</row>
    <row r="14" ht="15.75" customHeight="1">
      <c r="A14" s="239"/>
      <c r="B14" s="265" t="s">
        <v>16</v>
      </c>
      <c r="C14" s="241">
        <v>6702926.140500001</v>
      </c>
      <c r="D14" s="247">
        <f t="shared" si="4"/>
        <v>5.844006689</v>
      </c>
      <c r="E14" s="243"/>
      <c r="F14" s="239"/>
      <c r="G14" s="267" t="s">
        <v>69</v>
      </c>
      <c r="H14" s="268">
        <v>1301.1761999999999</v>
      </c>
      <c r="I14" s="263">
        <f t="shared" si="3"/>
        <v>0.000001717598881</v>
      </c>
      <c r="J14" s="269"/>
      <c r="K14" s="243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</row>
    <row r="15" ht="15.75" customHeight="1">
      <c r="A15" s="239"/>
      <c r="B15" s="265" t="s">
        <v>11</v>
      </c>
      <c r="C15" s="266">
        <v>9712593.9593</v>
      </c>
      <c r="D15" s="247">
        <f t="shared" si="4"/>
        <v>8.468012757</v>
      </c>
      <c r="E15" s="243"/>
      <c r="F15" s="239"/>
      <c r="G15" s="267" t="s">
        <v>79</v>
      </c>
      <c r="H15" s="268">
        <v>275000.0</v>
      </c>
      <c r="I15" s="263">
        <f t="shared" si="3"/>
        <v>0.0003630097847</v>
      </c>
      <c r="J15" s="269"/>
      <c r="K15" s="243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</row>
    <row r="16" ht="15.75" customHeight="1">
      <c r="A16" s="239"/>
      <c r="B16" s="250" t="s">
        <v>36</v>
      </c>
      <c r="C16" s="241">
        <v>1.564320748E7</v>
      </c>
      <c r="D16" s="247">
        <f t="shared" si="4"/>
        <v>13.63867171</v>
      </c>
      <c r="E16" s="243"/>
      <c r="F16" s="239"/>
      <c r="G16" s="255" t="s">
        <v>81</v>
      </c>
      <c r="H16" s="256">
        <v>6.9206655195E8</v>
      </c>
      <c r="I16" s="263">
        <f t="shared" si="3"/>
        <v>0.9135524729</v>
      </c>
      <c r="J16" s="269"/>
      <c r="K16" s="243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  <c r="AA16" s="230"/>
    </row>
    <row r="17" ht="15.75" customHeight="1">
      <c r="A17" s="239"/>
      <c r="B17" s="250" t="s">
        <v>10</v>
      </c>
      <c r="C17" s="241">
        <v>3780664.3452</v>
      </c>
      <c r="D17" s="247">
        <f t="shared" si="4"/>
        <v>3.296206352</v>
      </c>
      <c r="E17" s="243"/>
      <c r="F17" s="230"/>
      <c r="G17" s="270"/>
      <c r="H17" s="271">
        <f>SUM(H11:H16)</f>
        <v>757555337.5</v>
      </c>
      <c r="I17" s="272">
        <f>sum(I11:I16)</f>
        <v>1</v>
      </c>
      <c r="J17" s="273">
        <f>H17</f>
        <v>757555337.5</v>
      </c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0"/>
      <c r="AA17" s="230"/>
    </row>
    <row r="18" ht="15.75" customHeight="1">
      <c r="A18" s="239"/>
      <c r="B18" s="250" t="s">
        <v>39</v>
      </c>
      <c r="C18" s="241">
        <v>2.367075509E7</v>
      </c>
      <c r="D18" s="247">
        <f t="shared" si="4"/>
        <v>20.63756159</v>
      </c>
      <c r="E18" s="243"/>
      <c r="F18" s="230"/>
      <c r="G18" s="274" t="s">
        <v>162</v>
      </c>
      <c r="H18" s="247"/>
      <c r="I18" s="232"/>
      <c r="J18" s="275">
        <f>SUM(J8:J17)</f>
        <v>1488525380</v>
      </c>
      <c r="K18" s="243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0"/>
      <c r="AA18" s="230"/>
    </row>
    <row r="19" ht="15.75" customHeight="1">
      <c r="A19" s="239"/>
      <c r="B19" s="250" t="s">
        <v>20</v>
      </c>
      <c r="C19" s="241">
        <v>2007133.5</v>
      </c>
      <c r="D19" s="247">
        <f t="shared" si="4"/>
        <v>1.749937468</v>
      </c>
      <c r="E19" s="243"/>
      <c r="F19" s="230"/>
      <c r="G19" s="253"/>
      <c r="H19" s="247"/>
      <c r="I19" s="232"/>
      <c r="J19" s="275"/>
      <c r="K19" s="243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</row>
    <row r="20" ht="15.75" customHeight="1">
      <c r="A20" s="239"/>
      <c r="B20" s="250" t="s">
        <v>14</v>
      </c>
      <c r="C20" s="241">
        <v>1.1765955E7</v>
      </c>
      <c r="D20" s="247">
        <f t="shared" si="4"/>
        <v>10.25825412</v>
      </c>
      <c r="E20" s="243"/>
      <c r="F20" s="230"/>
      <c r="G20" s="253" t="s">
        <v>28</v>
      </c>
      <c r="H20" s="276"/>
      <c r="I20" s="237" t="s">
        <v>152</v>
      </c>
      <c r="J20" s="232"/>
      <c r="K20" s="243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0"/>
    </row>
    <row r="21" ht="15.75" customHeight="1">
      <c r="A21" s="239"/>
      <c r="B21" s="250" t="s">
        <v>43</v>
      </c>
      <c r="C21" s="266">
        <v>372862.276</v>
      </c>
      <c r="D21" s="247">
        <f t="shared" si="4"/>
        <v>0.3250833426</v>
      </c>
      <c r="E21" s="243"/>
      <c r="F21" s="239"/>
      <c r="G21" s="265" t="s">
        <v>32</v>
      </c>
      <c r="H21" s="266">
        <v>3.928254349E7</v>
      </c>
      <c r="I21" s="247">
        <f t="shared" ref="I21:I30" si="5">H21/$H$31*100</f>
        <v>34.2488403</v>
      </c>
      <c r="J21" s="232"/>
      <c r="K21" s="230"/>
      <c r="L21" s="230"/>
      <c r="M21" s="230"/>
      <c r="N21" s="230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  <c r="Z21" s="230"/>
      <c r="AA21" s="230"/>
    </row>
    <row r="22" ht="15.75" customHeight="1">
      <c r="A22" s="230"/>
      <c r="B22" s="250" t="s">
        <v>45</v>
      </c>
      <c r="C22" s="241">
        <v>1758800.0</v>
      </c>
      <c r="D22" s="247">
        <f t="shared" si="4"/>
        <v>1.533425664</v>
      </c>
      <c r="E22" s="230"/>
      <c r="F22" s="239"/>
      <c r="G22" s="265" t="s">
        <v>16</v>
      </c>
      <c r="H22" s="241">
        <v>6702926.140500001</v>
      </c>
      <c r="I22" s="247">
        <f t="shared" si="5"/>
        <v>5.844006689</v>
      </c>
      <c r="J22" s="232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30"/>
      <c r="Z22" s="230"/>
      <c r="AA22" s="230"/>
    </row>
    <row r="23" ht="13.5" customHeight="1">
      <c r="A23" s="230"/>
      <c r="B23" s="232" t="s">
        <v>163</v>
      </c>
      <c r="C23" s="277">
        <f t="shared" ref="C23:D23" si="6">SUM(C13:C22)</f>
        <v>114697441.3</v>
      </c>
      <c r="D23" s="254">
        <f t="shared" si="6"/>
        <v>100</v>
      </c>
      <c r="E23" s="230"/>
      <c r="F23" s="239"/>
      <c r="G23" s="265" t="s">
        <v>11</v>
      </c>
      <c r="H23" s="266">
        <v>9712593.9593</v>
      </c>
      <c r="I23" s="247">
        <f t="shared" si="5"/>
        <v>8.468012757</v>
      </c>
      <c r="J23" s="232"/>
      <c r="K23" s="243"/>
      <c r="L23" s="230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30"/>
      <c r="Z23" s="230"/>
      <c r="AA23" s="230"/>
    </row>
    <row r="24" ht="13.5" customHeight="1">
      <c r="A24" s="230"/>
      <c r="B24" s="278" t="s">
        <v>164</v>
      </c>
      <c r="C24" s="279">
        <f>C10-C23</f>
        <v>642857896.3</v>
      </c>
      <c r="D24" s="232"/>
      <c r="E24" s="230"/>
      <c r="F24" s="239"/>
      <c r="G24" s="250" t="s">
        <v>36</v>
      </c>
      <c r="H24" s="241">
        <v>1.564320748E7</v>
      </c>
      <c r="I24" s="247">
        <f t="shared" si="5"/>
        <v>13.63867171</v>
      </c>
      <c r="J24" s="232"/>
      <c r="K24" s="243"/>
      <c r="L24" s="230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0"/>
      <c r="Z24" s="230"/>
      <c r="AA24" s="230"/>
    </row>
    <row r="25" ht="13.5" customHeight="1">
      <c r="A25" s="230"/>
      <c r="B25" s="233"/>
      <c r="C25" s="233"/>
      <c r="D25" s="280"/>
      <c r="E25" s="230"/>
      <c r="F25" s="239"/>
      <c r="G25" s="250" t="s">
        <v>10</v>
      </c>
      <c r="H25" s="241">
        <v>3780664.3452</v>
      </c>
      <c r="I25" s="247">
        <f t="shared" si="5"/>
        <v>3.296206352</v>
      </c>
      <c r="J25" s="275"/>
      <c r="K25" s="243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230"/>
      <c r="Z25" s="230"/>
      <c r="AA25" s="230"/>
    </row>
    <row r="26" ht="13.5" customHeight="1">
      <c r="A26" s="230"/>
      <c r="B26" s="233"/>
      <c r="C26" s="233"/>
      <c r="D26" s="280"/>
      <c r="E26" s="230"/>
      <c r="F26" s="239"/>
      <c r="G26" s="250" t="s">
        <v>39</v>
      </c>
      <c r="H26" s="241">
        <v>2.367075509E7</v>
      </c>
      <c r="I26" s="247">
        <f t="shared" si="5"/>
        <v>20.63756159</v>
      </c>
      <c r="J26" s="275"/>
      <c r="K26" s="243"/>
      <c r="L26" s="230"/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30"/>
      <c r="Z26" s="230"/>
      <c r="AA26" s="230"/>
    </row>
    <row r="27" ht="13.5" customHeight="1">
      <c r="A27" s="230"/>
      <c r="B27" s="233"/>
      <c r="C27" s="233"/>
      <c r="D27" s="280"/>
      <c r="E27" s="230"/>
      <c r="F27" s="239"/>
      <c r="G27" s="250" t="s">
        <v>20</v>
      </c>
      <c r="H27" s="241">
        <v>2007133.5</v>
      </c>
      <c r="I27" s="247">
        <f t="shared" si="5"/>
        <v>1.749937468</v>
      </c>
      <c r="J27" s="275"/>
      <c r="K27" s="243"/>
      <c r="L27" s="230"/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  <c r="Z27" s="230"/>
      <c r="AA27" s="230"/>
    </row>
    <row r="28" ht="13.5" customHeight="1">
      <c r="A28" s="230"/>
      <c r="B28" s="233"/>
      <c r="C28" s="233"/>
      <c r="D28" s="280"/>
      <c r="E28" s="230"/>
      <c r="F28" s="239"/>
      <c r="G28" s="250" t="s">
        <v>14</v>
      </c>
      <c r="H28" s="241">
        <v>1.1765955E7</v>
      </c>
      <c r="I28" s="247">
        <f t="shared" si="5"/>
        <v>10.25825412</v>
      </c>
      <c r="J28" s="275"/>
      <c r="K28" s="243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0"/>
    </row>
    <row r="29" ht="13.5" customHeight="1">
      <c r="A29" s="230"/>
      <c r="B29" s="233"/>
      <c r="C29" s="233"/>
      <c r="D29" s="280"/>
      <c r="E29" s="230"/>
      <c r="F29" s="239"/>
      <c r="G29" s="250" t="s">
        <v>43</v>
      </c>
      <c r="H29" s="266">
        <v>372862.276</v>
      </c>
      <c r="I29" s="247">
        <f t="shared" si="5"/>
        <v>0.3250833426</v>
      </c>
      <c r="J29" s="275"/>
      <c r="K29" s="243"/>
      <c r="L29" s="230"/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  <c r="Z29" s="230"/>
      <c r="AA29" s="230"/>
    </row>
    <row r="30" ht="13.5" customHeight="1">
      <c r="A30" s="230"/>
      <c r="B30" s="233"/>
      <c r="C30" s="233"/>
      <c r="D30" s="280"/>
      <c r="E30" s="230"/>
      <c r="F30" s="239"/>
      <c r="G30" s="250" t="s">
        <v>45</v>
      </c>
      <c r="H30" s="241">
        <v>1758800.0</v>
      </c>
      <c r="I30" s="247">
        <f t="shared" si="5"/>
        <v>1.533425664</v>
      </c>
      <c r="J30" s="275"/>
      <c r="K30" s="243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</row>
    <row r="31" ht="15.75" customHeight="1">
      <c r="A31" s="230"/>
      <c r="B31" s="233"/>
      <c r="C31" s="233"/>
      <c r="D31" s="230"/>
      <c r="E31" s="230"/>
      <c r="F31" s="239"/>
      <c r="G31" s="232"/>
      <c r="H31" s="254">
        <f>SUM(H21:H30)</f>
        <v>114697441.3</v>
      </c>
      <c r="I31" s="275">
        <f>sum(I21:I30)</f>
        <v>100</v>
      </c>
      <c r="J31" s="275">
        <f>H31</f>
        <v>114697441.3</v>
      </c>
      <c r="K31" s="243"/>
      <c r="L31" s="230"/>
      <c r="M31" s="230"/>
      <c r="N31" s="230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0"/>
    </row>
    <row r="32" ht="15.75" customHeight="1">
      <c r="A32" s="230"/>
      <c r="B32" s="233"/>
      <c r="C32" s="233"/>
      <c r="D32" s="230"/>
      <c r="E32" s="230"/>
      <c r="F32" s="239"/>
      <c r="G32" s="281" t="s">
        <v>165</v>
      </c>
      <c r="H32" s="254"/>
      <c r="I32" s="232"/>
      <c r="J32" s="275">
        <f>J18-J31</f>
        <v>1373827939</v>
      </c>
      <c r="K32" s="243"/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0"/>
      <c r="AA32" s="230"/>
    </row>
    <row r="33" ht="15.75" customHeight="1">
      <c r="A33" s="230"/>
      <c r="B33" s="230"/>
      <c r="C33" s="230"/>
      <c r="D33" s="230"/>
      <c r="E33" s="230"/>
      <c r="F33" s="239"/>
      <c r="G33" s="232"/>
      <c r="H33" s="254"/>
      <c r="I33" s="232"/>
      <c r="J33" s="275"/>
      <c r="K33" s="243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0"/>
    </row>
    <row r="34" ht="15.75" customHeight="1">
      <c r="A34" s="230"/>
      <c r="B34" s="230"/>
      <c r="C34" s="230"/>
      <c r="D34" s="230"/>
      <c r="E34" s="230"/>
      <c r="F34" s="239"/>
      <c r="G34" s="282" t="s">
        <v>166</v>
      </c>
      <c r="H34" s="283"/>
      <c r="I34" s="284"/>
      <c r="J34" s="275"/>
      <c r="K34" s="243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</row>
    <row r="35" ht="15.75" customHeight="1">
      <c r="A35" s="230"/>
      <c r="B35" s="230"/>
      <c r="C35" s="230"/>
      <c r="D35" s="230"/>
      <c r="E35" s="230"/>
      <c r="F35" s="239"/>
      <c r="G35" s="285" t="s">
        <v>167</v>
      </c>
      <c r="H35" s="286">
        <v>768.9400000000005</v>
      </c>
      <c r="I35" s="287">
        <f>'Cash Report'!$E$31</f>
        <v>1384.23</v>
      </c>
      <c r="J35" s="288">
        <f>H35*I35</f>
        <v>1064389.816</v>
      </c>
      <c r="K35" s="243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</row>
    <row r="36" ht="15.75" customHeight="1">
      <c r="A36" s="230"/>
      <c r="B36" s="230"/>
      <c r="C36" s="230"/>
      <c r="D36" s="230"/>
      <c r="E36" s="230"/>
      <c r="F36" s="239"/>
      <c r="G36" s="289"/>
      <c r="H36" s="290"/>
      <c r="I36" s="291"/>
      <c r="J36" s="292"/>
      <c r="K36" s="243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</row>
    <row r="37" ht="15.75" customHeight="1">
      <c r="A37" s="230"/>
      <c r="B37" s="230"/>
      <c r="C37" s="230"/>
      <c r="D37" s="230"/>
      <c r="E37" s="230"/>
      <c r="F37" s="239"/>
      <c r="G37" s="293" t="s">
        <v>168</v>
      </c>
      <c r="H37" s="286">
        <f>SUM(H35)</f>
        <v>768.94</v>
      </c>
      <c r="I37" s="287">
        <f>'Cash Report'!$E$31</f>
        <v>1384.23</v>
      </c>
      <c r="J37" s="275">
        <f>H37*I37</f>
        <v>1064389.816</v>
      </c>
      <c r="K37" s="243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</row>
    <row r="38" ht="15.75" customHeight="1">
      <c r="A38" s="230"/>
      <c r="B38" s="230"/>
      <c r="C38" s="230"/>
      <c r="D38" s="230"/>
      <c r="E38" s="230"/>
      <c r="F38" s="239"/>
      <c r="G38" s="231"/>
      <c r="H38" s="231"/>
      <c r="I38" s="231"/>
      <c r="J38" s="231"/>
      <c r="K38" s="243"/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</row>
    <row r="39" ht="15.75" customHeight="1">
      <c r="A39" s="230"/>
      <c r="B39" s="230"/>
      <c r="C39" s="230"/>
      <c r="D39" s="230"/>
      <c r="E39" s="230"/>
      <c r="F39" s="239"/>
      <c r="G39" s="231"/>
      <c r="H39" s="231"/>
      <c r="I39" s="231"/>
      <c r="J39" s="231"/>
      <c r="K39" s="243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</row>
    <row r="40" ht="15.75" customHeight="1">
      <c r="A40" s="230"/>
      <c r="B40" s="230"/>
      <c r="C40" s="230"/>
      <c r="D40" s="230"/>
      <c r="E40" s="230"/>
      <c r="F40" s="239"/>
      <c r="G40" s="294" t="s">
        <v>169</v>
      </c>
      <c r="H40" s="110"/>
      <c r="I40" s="110"/>
      <c r="J40" s="295"/>
      <c r="K40" s="243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230"/>
    </row>
    <row r="41" ht="15.75" customHeight="1">
      <c r="A41" s="230"/>
      <c r="B41" s="230"/>
      <c r="C41" s="230"/>
      <c r="D41" s="230"/>
      <c r="E41" s="230"/>
      <c r="F41" s="239"/>
      <c r="G41" s="296" t="s">
        <v>170</v>
      </c>
      <c r="H41" s="296" t="s">
        <v>171</v>
      </c>
      <c r="I41" s="294" t="s">
        <v>172</v>
      </c>
      <c r="J41" s="295"/>
      <c r="K41" s="243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</row>
    <row r="42" ht="15.75" customHeight="1">
      <c r="A42" s="230"/>
      <c r="B42" s="230"/>
      <c r="C42" s="230"/>
      <c r="D42" s="230"/>
      <c r="E42" s="230"/>
      <c r="F42" s="239"/>
      <c r="G42" s="297" t="s">
        <v>173</v>
      </c>
      <c r="H42" s="298">
        <v>68400.0</v>
      </c>
      <c r="I42" s="299" t="s">
        <v>174</v>
      </c>
      <c r="J42" s="300"/>
      <c r="K42" s="243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  <c r="AA42" s="230"/>
    </row>
    <row r="43" ht="15.75" customHeight="1">
      <c r="A43" s="230"/>
      <c r="B43" s="230"/>
      <c r="C43" s="230"/>
      <c r="D43" s="230"/>
      <c r="E43" s="230"/>
      <c r="F43" s="239"/>
      <c r="G43" s="299" t="s">
        <v>175</v>
      </c>
      <c r="H43" s="298">
        <v>172050.0</v>
      </c>
      <c r="I43" s="301" t="s">
        <v>176</v>
      </c>
      <c r="J43" s="300"/>
      <c r="K43" s="243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</row>
    <row r="44" ht="15.75" customHeight="1">
      <c r="A44" s="230"/>
      <c r="B44" s="230"/>
      <c r="C44" s="230"/>
      <c r="D44" s="230"/>
      <c r="E44" s="230"/>
      <c r="F44" s="239"/>
      <c r="G44" s="297" t="s">
        <v>177</v>
      </c>
      <c r="H44" s="298">
        <v>130000.0</v>
      </c>
      <c r="I44" s="302" t="s">
        <v>178</v>
      </c>
      <c r="J44" s="300"/>
      <c r="K44" s="243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0"/>
      <c r="AA44" s="230"/>
    </row>
    <row r="45" ht="15.75" customHeight="1">
      <c r="A45" s="230"/>
      <c r="B45" s="230"/>
      <c r="C45" s="230"/>
      <c r="D45" s="230"/>
      <c r="E45" s="230"/>
      <c r="F45" s="239"/>
      <c r="G45" s="303" t="s">
        <v>179</v>
      </c>
      <c r="H45" s="298">
        <v>200000.0</v>
      </c>
      <c r="I45" s="303" t="s">
        <v>180</v>
      </c>
      <c r="J45" s="304"/>
      <c r="K45" s="243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</row>
    <row r="46" ht="15.75" customHeight="1">
      <c r="A46" s="230"/>
      <c r="B46" s="230"/>
      <c r="C46" s="230"/>
      <c r="D46" s="230"/>
      <c r="E46" s="230"/>
      <c r="F46" s="239"/>
      <c r="G46" s="303" t="s">
        <v>181</v>
      </c>
      <c r="H46" s="298">
        <v>210000.0</v>
      </c>
      <c r="I46" s="303" t="s">
        <v>182</v>
      </c>
      <c r="J46" s="304"/>
      <c r="K46" s="243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</row>
    <row r="47" ht="15.75" customHeight="1">
      <c r="A47" s="230"/>
      <c r="B47" s="230"/>
      <c r="C47" s="230"/>
      <c r="D47" s="230"/>
      <c r="E47" s="230"/>
      <c r="F47" s="239"/>
      <c r="G47" s="303" t="s">
        <v>179</v>
      </c>
      <c r="H47" s="298">
        <v>2326500.0</v>
      </c>
      <c r="I47" s="303" t="s">
        <v>183</v>
      </c>
      <c r="J47" s="304"/>
      <c r="K47" s="243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  <c r="Z47" s="230"/>
      <c r="AA47" s="230"/>
    </row>
    <row r="48" ht="15.75" customHeight="1">
      <c r="A48" s="230"/>
      <c r="B48" s="230"/>
      <c r="C48" s="230"/>
      <c r="D48" s="230"/>
      <c r="E48" s="230"/>
      <c r="F48" s="239"/>
      <c r="G48" s="303" t="s">
        <v>184</v>
      </c>
      <c r="H48" s="298">
        <v>2355468.75</v>
      </c>
      <c r="I48" s="305" t="s">
        <v>185</v>
      </c>
      <c r="J48" s="304"/>
      <c r="K48" s="243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  <c r="Z48" s="230"/>
      <c r="AA48" s="230"/>
    </row>
    <row r="49" ht="15.75" customHeight="1">
      <c r="A49" s="230"/>
      <c r="B49" s="230"/>
      <c r="C49" s="230"/>
      <c r="D49" s="230"/>
      <c r="E49" s="230"/>
      <c r="F49" s="239"/>
      <c r="G49" s="303" t="s">
        <v>186</v>
      </c>
      <c r="H49" s="298">
        <v>180000.0</v>
      </c>
      <c r="I49" s="306" t="s">
        <v>187</v>
      </c>
      <c r="J49" s="304"/>
      <c r="K49" s="243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</row>
    <row r="50" ht="15.75" customHeight="1">
      <c r="A50" s="230"/>
      <c r="B50" s="230"/>
      <c r="C50" s="230"/>
      <c r="D50" s="230"/>
      <c r="E50" s="230"/>
      <c r="F50" s="239"/>
      <c r="G50" s="305" t="s">
        <v>188</v>
      </c>
      <c r="H50" s="298">
        <v>117893.0</v>
      </c>
      <c r="I50" s="305" t="s">
        <v>189</v>
      </c>
      <c r="J50" s="304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</row>
    <row r="51" ht="15.75" customHeight="1">
      <c r="A51" s="230"/>
      <c r="B51" s="230"/>
      <c r="C51" s="230"/>
      <c r="D51" s="230"/>
      <c r="E51" s="230"/>
      <c r="F51" s="239"/>
      <c r="G51" s="305" t="s">
        <v>190</v>
      </c>
      <c r="H51" s="298">
        <v>15000.0</v>
      </c>
      <c r="I51" s="307" t="s">
        <v>191</v>
      </c>
      <c r="J51" s="308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</row>
    <row r="52" ht="15.75" customHeight="1">
      <c r="A52" s="230"/>
      <c r="B52" s="231"/>
      <c r="C52" s="231"/>
      <c r="D52" s="231"/>
      <c r="E52" s="230"/>
      <c r="F52" s="239"/>
      <c r="G52" s="309" t="s">
        <v>192</v>
      </c>
      <c r="H52" s="298">
        <v>83300.0</v>
      </c>
      <c r="I52" s="307" t="s">
        <v>193</v>
      </c>
      <c r="J52" s="233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  <c r="Z52" s="230"/>
      <c r="AA52" s="230"/>
    </row>
    <row r="53" ht="15.75" customHeight="1">
      <c r="A53" s="231"/>
      <c r="B53" s="231"/>
      <c r="C53" s="231"/>
      <c r="D53" s="231"/>
      <c r="E53" s="231"/>
      <c r="F53" s="231"/>
      <c r="G53" s="307" t="s">
        <v>194</v>
      </c>
      <c r="H53" s="298">
        <v>117600.0</v>
      </c>
      <c r="I53" s="307" t="s">
        <v>195</v>
      </c>
      <c r="J53" s="233"/>
      <c r="K53" s="231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  <c r="AA53" s="231"/>
    </row>
    <row r="54" ht="15.75" customHeight="1">
      <c r="A54" s="231"/>
      <c r="B54" s="231"/>
      <c r="C54" s="231"/>
      <c r="D54" s="231"/>
      <c r="E54" s="231"/>
      <c r="F54" s="231"/>
      <c r="G54" s="310" t="s">
        <v>196</v>
      </c>
      <c r="H54" s="298">
        <v>64000.0</v>
      </c>
      <c r="I54" s="310" t="s">
        <v>197</v>
      </c>
      <c r="J54" s="231"/>
      <c r="K54" s="231"/>
      <c r="L54" s="231"/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  <c r="AA54" s="231"/>
    </row>
    <row r="55" ht="15.75" customHeight="1">
      <c r="A55" s="231"/>
      <c r="B55" s="231"/>
      <c r="C55" s="231"/>
      <c r="D55" s="231"/>
      <c r="E55" s="231"/>
      <c r="F55" s="231"/>
      <c r="G55" s="310" t="s">
        <v>198</v>
      </c>
      <c r="H55" s="298">
        <v>1.3167455E7</v>
      </c>
      <c r="I55" s="310" t="s">
        <v>199</v>
      </c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1"/>
    </row>
    <row r="56" ht="15.75" customHeight="1">
      <c r="A56" s="231"/>
      <c r="B56" s="231"/>
      <c r="C56" s="231"/>
      <c r="D56" s="231"/>
      <c r="E56" s="231"/>
      <c r="F56" s="231"/>
      <c r="G56" s="309" t="s">
        <v>200</v>
      </c>
      <c r="H56" s="298">
        <v>24000.0</v>
      </c>
      <c r="I56" s="307" t="s">
        <v>201</v>
      </c>
      <c r="J56" s="233"/>
      <c r="K56" s="231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1"/>
    </row>
    <row r="57" ht="15.75" customHeight="1">
      <c r="A57" s="231"/>
      <c r="B57" s="231"/>
      <c r="C57" s="231"/>
      <c r="D57" s="231"/>
      <c r="E57" s="231"/>
      <c r="F57" s="231"/>
      <c r="G57" s="307" t="s">
        <v>194</v>
      </c>
      <c r="H57" s="298">
        <v>14700.0</v>
      </c>
      <c r="I57" s="307" t="s">
        <v>202</v>
      </c>
      <c r="J57" s="233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231"/>
      <c r="X57" s="231"/>
      <c r="Y57" s="231"/>
      <c r="Z57" s="231"/>
      <c r="AA57" s="231"/>
    </row>
    <row r="58" ht="15.75" customHeight="1">
      <c r="A58" s="231"/>
      <c r="B58" s="231"/>
      <c r="C58" s="231"/>
      <c r="D58" s="231"/>
      <c r="E58" s="231"/>
      <c r="F58" s="231"/>
      <c r="G58" s="307" t="s">
        <v>194</v>
      </c>
      <c r="H58" s="298">
        <v>14700.0</v>
      </c>
      <c r="I58" s="307" t="s">
        <v>203</v>
      </c>
      <c r="J58" s="233"/>
      <c r="K58" s="231"/>
      <c r="L58" s="231"/>
      <c r="M58" s="231"/>
      <c r="N58" s="231"/>
      <c r="O58" s="231"/>
      <c r="P58" s="231"/>
      <c r="Q58" s="231"/>
      <c r="R58" s="231"/>
      <c r="S58" s="231"/>
      <c r="T58" s="231"/>
      <c r="U58" s="231"/>
      <c r="V58" s="231"/>
      <c r="W58" s="231"/>
      <c r="X58" s="231"/>
      <c r="Y58" s="231"/>
      <c r="Z58" s="231"/>
      <c r="AA58" s="231"/>
    </row>
    <row r="59" ht="15.75" customHeight="1">
      <c r="A59" s="231"/>
      <c r="B59" s="231"/>
      <c r="C59" s="231"/>
      <c r="D59" s="231"/>
      <c r="E59" s="231"/>
      <c r="F59" s="231"/>
      <c r="G59" s="309" t="s">
        <v>204</v>
      </c>
      <c r="H59" s="298">
        <v>54325.0</v>
      </c>
      <c r="I59" s="307" t="s">
        <v>205</v>
      </c>
      <c r="J59" s="233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31"/>
      <c r="Z59" s="231"/>
      <c r="AA59" s="231"/>
    </row>
    <row r="60" ht="15.75" customHeight="1">
      <c r="A60" s="231"/>
      <c r="B60" s="231"/>
      <c r="C60" s="231"/>
      <c r="D60" s="231"/>
      <c r="E60" s="231"/>
      <c r="F60" s="231"/>
      <c r="G60" s="309" t="s">
        <v>192</v>
      </c>
      <c r="H60" s="298">
        <v>11760.0</v>
      </c>
      <c r="I60" s="307" t="s">
        <v>206</v>
      </c>
      <c r="J60" s="233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231"/>
    </row>
    <row r="61" ht="15.75" customHeight="1">
      <c r="A61" s="231"/>
      <c r="B61" s="231"/>
      <c r="C61" s="231"/>
      <c r="D61" s="231"/>
      <c r="E61" s="231"/>
      <c r="F61" s="231"/>
      <c r="G61" s="307" t="s">
        <v>207</v>
      </c>
      <c r="H61" s="298">
        <v>298777.5</v>
      </c>
      <c r="I61" s="307" t="s">
        <v>208</v>
      </c>
      <c r="J61" s="233"/>
      <c r="K61" s="231"/>
      <c r="L61" s="231"/>
      <c r="M61" s="231"/>
      <c r="N61" s="231"/>
      <c r="O61" s="231"/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  <c r="AA61" s="231"/>
    </row>
    <row r="62" ht="15.75" customHeight="1">
      <c r="A62" s="231"/>
      <c r="B62" s="231"/>
      <c r="C62" s="231"/>
      <c r="D62" s="231"/>
      <c r="E62" s="231"/>
      <c r="F62" s="231"/>
      <c r="G62" s="309" t="s">
        <v>209</v>
      </c>
      <c r="H62" s="298">
        <v>902025.0</v>
      </c>
      <c r="I62" s="307" t="s">
        <v>210</v>
      </c>
      <c r="J62" s="233"/>
      <c r="K62" s="231"/>
      <c r="L62" s="231"/>
      <c r="M62" s="231"/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  <c r="AA62" s="231"/>
    </row>
    <row r="63" ht="15.75" customHeight="1">
      <c r="A63" s="231"/>
      <c r="B63" s="231"/>
      <c r="C63" s="231"/>
      <c r="D63" s="231"/>
      <c r="E63" s="231"/>
      <c r="F63" s="231"/>
      <c r="G63" s="307" t="s">
        <v>196</v>
      </c>
      <c r="H63" s="298">
        <v>217500.0</v>
      </c>
      <c r="I63" s="311" t="s">
        <v>211</v>
      </c>
      <c r="J63" s="233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Y63" s="231"/>
      <c r="Z63" s="231"/>
      <c r="AA63" s="231"/>
    </row>
    <row r="64" ht="15.75" customHeight="1">
      <c r="A64" s="231"/>
      <c r="B64" s="231"/>
      <c r="C64" s="231"/>
      <c r="D64" s="231"/>
      <c r="E64" s="231"/>
      <c r="F64" s="231"/>
      <c r="G64" s="311" t="s">
        <v>212</v>
      </c>
      <c r="H64" s="298">
        <v>2000000.0</v>
      </c>
      <c r="I64" s="311" t="s">
        <v>213</v>
      </c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</row>
    <row r="65" ht="15.75" customHeight="1">
      <c r="A65" s="231"/>
      <c r="B65" s="231"/>
      <c r="C65" s="231"/>
      <c r="D65" s="231"/>
      <c r="E65" s="231"/>
      <c r="F65" s="231"/>
      <c r="G65" s="311" t="s">
        <v>214</v>
      </c>
      <c r="H65" s="298">
        <v>4000000.0</v>
      </c>
      <c r="I65" s="311" t="s">
        <v>215</v>
      </c>
      <c r="J65" s="231"/>
      <c r="K65" s="231"/>
      <c r="L65" s="231"/>
      <c r="M65" s="231"/>
      <c r="N65" s="231"/>
      <c r="O65" s="231"/>
      <c r="P65" s="231"/>
      <c r="Q65" s="231"/>
      <c r="R65" s="231"/>
      <c r="S65" s="231"/>
      <c r="T65" s="231"/>
      <c r="U65" s="231"/>
      <c r="V65" s="231"/>
      <c r="W65" s="231"/>
      <c r="X65" s="231"/>
      <c r="Y65" s="231"/>
      <c r="Z65" s="231"/>
      <c r="AA65" s="231"/>
    </row>
    <row r="66" ht="15.75" customHeight="1">
      <c r="A66" s="231"/>
      <c r="B66" s="231"/>
      <c r="C66" s="231"/>
      <c r="D66" s="231"/>
      <c r="E66" s="231"/>
      <c r="F66" s="231"/>
      <c r="G66" s="311" t="s">
        <v>216</v>
      </c>
      <c r="H66" s="298">
        <v>38570.0</v>
      </c>
      <c r="I66" s="311" t="s">
        <v>217</v>
      </c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</row>
    <row r="67" ht="15.75" customHeight="1">
      <c r="A67" s="231"/>
      <c r="B67" s="231"/>
      <c r="C67" s="231"/>
      <c r="D67" s="231"/>
      <c r="E67" s="231"/>
      <c r="F67" s="231"/>
      <c r="G67" s="312" t="s">
        <v>218</v>
      </c>
      <c r="H67" s="313">
        <v>1127500.0</v>
      </c>
      <c r="I67" s="314" t="s">
        <v>219</v>
      </c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231"/>
      <c r="Y67" s="231"/>
      <c r="Z67" s="231"/>
      <c r="AA67" s="231"/>
    </row>
    <row r="68" ht="15.75" customHeight="1">
      <c r="A68" s="231"/>
      <c r="B68" s="231"/>
      <c r="C68" s="231"/>
      <c r="D68" s="231"/>
      <c r="E68" s="231"/>
      <c r="F68" s="231"/>
      <c r="G68" s="315" t="s">
        <v>220</v>
      </c>
      <c r="H68" s="313">
        <v>555975.61</v>
      </c>
      <c r="I68" s="301" t="s">
        <v>221</v>
      </c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</row>
    <row r="69" ht="15.75" customHeight="1">
      <c r="A69" s="231"/>
      <c r="B69" s="231"/>
      <c r="C69" s="231"/>
      <c r="D69" s="231"/>
      <c r="E69" s="231"/>
      <c r="F69" s="231"/>
      <c r="G69" s="312" t="s">
        <v>222</v>
      </c>
      <c r="H69" s="313">
        <v>871168.63</v>
      </c>
      <c r="I69" s="314" t="s">
        <v>223</v>
      </c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  <c r="Y69" s="231"/>
      <c r="Z69" s="231"/>
      <c r="AA69" s="231"/>
    </row>
    <row r="70" ht="15.75" customHeight="1">
      <c r="A70" s="231"/>
      <c r="B70" s="231"/>
      <c r="C70" s="231"/>
      <c r="D70" s="231"/>
      <c r="E70" s="231"/>
      <c r="F70" s="231"/>
      <c r="G70" s="312" t="s">
        <v>224</v>
      </c>
      <c r="H70" s="313">
        <v>150000.0</v>
      </c>
      <c r="I70" s="316" t="s">
        <v>225</v>
      </c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</row>
    <row r="71" ht="15.75" customHeight="1">
      <c r="A71" s="231"/>
      <c r="B71" s="231"/>
      <c r="C71" s="231"/>
      <c r="D71" s="231"/>
      <c r="E71" s="231"/>
      <c r="F71" s="231"/>
      <c r="G71" s="317" t="s">
        <v>226</v>
      </c>
      <c r="H71" s="318">
        <v>9793875.0</v>
      </c>
      <c r="I71" s="317" t="s">
        <v>227</v>
      </c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  <c r="Y71" s="231"/>
      <c r="Z71" s="231"/>
      <c r="AA71" s="231"/>
    </row>
    <row r="72" ht="15.75" customHeight="1">
      <c r="A72" s="231"/>
      <c r="B72" s="231"/>
      <c r="C72" s="231"/>
      <c r="D72" s="231"/>
      <c r="E72" s="231"/>
      <c r="F72" s="231"/>
      <c r="G72" s="257"/>
      <c r="H72" s="319">
        <f>sum(H42:H71)</f>
        <v>39282543.49</v>
      </c>
      <c r="I72" s="257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  <c r="Y72" s="231"/>
      <c r="Z72" s="231"/>
      <c r="AA72" s="231"/>
    </row>
    <row r="73" ht="15.75" customHeight="1">
      <c r="A73" s="231"/>
      <c r="B73" s="231"/>
      <c r="C73" s="231"/>
      <c r="D73" s="231"/>
      <c r="E73" s="231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  <c r="Y73" s="231"/>
      <c r="Z73" s="231"/>
      <c r="AA73" s="231"/>
    </row>
    <row r="74" ht="15.75" customHeight="1">
      <c r="A74" s="231"/>
      <c r="B74" s="231"/>
      <c r="C74" s="231"/>
      <c r="D74" s="231"/>
      <c r="E74" s="231"/>
      <c r="F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  <c r="Y74" s="231"/>
      <c r="Z74" s="231"/>
      <c r="AA74" s="231"/>
    </row>
    <row r="75" ht="15.75" customHeight="1">
      <c r="A75" s="231"/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</row>
    <row r="76" ht="15.75" customHeight="1">
      <c r="A76" s="231"/>
      <c r="B76" s="231"/>
      <c r="C76" s="231"/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  <c r="AA76" s="231"/>
    </row>
    <row r="77" ht="15.75" customHeight="1">
      <c r="A77" s="231"/>
      <c r="B77" s="231"/>
      <c r="C77" s="231"/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  <c r="Y77" s="231"/>
      <c r="Z77" s="231"/>
      <c r="AA77" s="231"/>
    </row>
    <row r="78" ht="15.75" customHeight="1">
      <c r="A78" s="231"/>
      <c r="B78" s="233"/>
      <c r="C78" s="233"/>
      <c r="D78" s="233"/>
      <c r="E78" s="231"/>
      <c r="F78" s="231"/>
      <c r="G78" s="231"/>
      <c r="H78" s="231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  <c r="Y78" s="231"/>
      <c r="Z78" s="231"/>
      <c r="AA78" s="231"/>
    </row>
    <row r="79" ht="15.75" customHeight="1">
      <c r="A79" s="233"/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</row>
    <row r="80" ht="15.75" customHeight="1">
      <c r="A80" s="233"/>
      <c r="B80" s="233"/>
      <c r="C80" s="233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/>
    </row>
    <row r="81" ht="15.75" customHeight="1">
      <c r="A81" s="233"/>
      <c r="B81" s="233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/>
    </row>
    <row r="82" ht="15.75" customHeight="1">
      <c r="A82" s="233"/>
      <c r="B82" s="233"/>
      <c r="C82" s="233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  <c r="AA82" s="233"/>
    </row>
    <row r="83" ht="15.75" customHeight="1">
      <c r="A83" s="233"/>
      <c r="B83" s="233"/>
      <c r="C83" s="233"/>
      <c r="D83" s="233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/>
    </row>
    <row r="84" ht="15.75" customHeight="1">
      <c r="A84" s="233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/>
    </row>
    <row r="85" ht="15.75" customHeight="1">
      <c r="A85" s="233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</row>
    <row r="86" ht="15.75" customHeight="1">
      <c r="A86" s="233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</row>
    <row r="87" ht="15.75" customHeight="1">
      <c r="A87" s="233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/>
    </row>
    <row r="88" ht="15.75" customHeight="1">
      <c r="A88" s="233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</row>
    <row r="89" ht="15.75" customHeight="1">
      <c r="A89" s="233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/>
    </row>
    <row r="90" ht="15.75" customHeight="1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/>
    </row>
    <row r="91" ht="15.75" customHeight="1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/>
    </row>
    <row r="92" ht="15.75" customHeight="1">
      <c r="A92" s="233"/>
      <c r="B92" s="233"/>
      <c r="C92" s="233"/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</row>
    <row r="93" ht="15.75" customHeight="1">
      <c r="A93" s="233"/>
      <c r="B93" s="233"/>
      <c r="C93" s="233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/>
    </row>
    <row r="94" ht="15.75" customHeight="1">
      <c r="A94" s="233"/>
      <c r="B94" s="233"/>
      <c r="C94" s="233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/>
    </row>
    <row r="95" ht="15.75" customHeight="1">
      <c r="A95" s="233"/>
      <c r="B95" s="233"/>
      <c r="C95" s="233"/>
      <c r="D95" s="233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/>
    </row>
    <row r="96" ht="15.75" customHeight="1">
      <c r="A96" s="233"/>
      <c r="B96" s="233"/>
      <c r="C96" s="233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</row>
    <row r="97" ht="15.75" customHeight="1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</row>
    <row r="98" ht="15.75" customHeight="1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</row>
    <row r="99" ht="15.75" customHeight="1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</row>
    <row r="100" ht="15.75" customHeight="1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</row>
    <row r="101" ht="15.75" customHeight="1">
      <c r="A101" s="233"/>
      <c r="B101" s="233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  <c r="AA101" s="233"/>
    </row>
    <row r="102" ht="15.75" customHeight="1">
      <c r="A102" s="233"/>
      <c r="B102" s="233"/>
      <c r="C102" s="233"/>
      <c r="D102" s="233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  <c r="AA102" s="233"/>
    </row>
    <row r="103" ht="15.75" customHeight="1">
      <c r="A103" s="233"/>
      <c r="B103" s="233"/>
      <c r="C103" s="233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</row>
    <row r="104" ht="15.75" customHeight="1">
      <c r="A104" s="233"/>
      <c r="B104" s="233"/>
      <c r="C104" s="233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</row>
    <row r="105" ht="15.75" customHeight="1">
      <c r="A105" s="233"/>
      <c r="B105" s="233"/>
      <c r="C105" s="233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</row>
    <row r="106" ht="15.75" customHeight="1">
      <c r="A106" s="233"/>
      <c r="B106" s="233"/>
      <c r="C106" s="233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</row>
    <row r="107" ht="15.75" customHeight="1">
      <c r="A107" s="233"/>
      <c r="B107" s="233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</row>
    <row r="108" ht="15.75" customHeight="1">
      <c r="A108" s="233"/>
      <c r="B108" s="233"/>
      <c r="C108" s="233"/>
      <c r="D108" s="233"/>
      <c r="E108" s="233"/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</row>
    <row r="109" ht="15.75" customHeight="1">
      <c r="A109" s="233"/>
      <c r="B109" s="233"/>
      <c r="C109" s="233"/>
      <c r="D109" s="233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  <c r="AA109" s="233"/>
    </row>
    <row r="110" ht="15.75" customHeight="1">
      <c r="A110" s="233"/>
      <c r="B110" s="233"/>
      <c r="C110" s="233"/>
      <c r="D110" s="233"/>
      <c r="E110" s="233"/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  <c r="AA110" s="233"/>
    </row>
    <row r="111" ht="15.75" customHeight="1">
      <c r="A111" s="233"/>
      <c r="B111" s="233"/>
      <c r="C111" s="233"/>
      <c r="D111" s="233"/>
      <c r="E111" s="233"/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  <c r="AA111" s="233"/>
    </row>
    <row r="112" ht="15.75" customHeight="1">
      <c r="A112" s="233"/>
      <c r="B112" s="233"/>
      <c r="C112" s="233"/>
      <c r="D112" s="233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  <c r="AA112" s="233"/>
    </row>
    <row r="113" ht="15.75" customHeight="1">
      <c r="A113" s="233"/>
      <c r="B113" s="233"/>
      <c r="C113" s="233"/>
      <c r="D113" s="233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  <c r="AA113" s="233"/>
    </row>
    <row r="114" ht="15.75" customHeight="1">
      <c r="A114" s="233"/>
      <c r="B114" s="233"/>
      <c r="C114" s="233"/>
      <c r="D114" s="233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  <c r="AA114" s="233"/>
    </row>
    <row r="115" ht="15.75" customHeight="1">
      <c r="A115" s="233"/>
      <c r="B115" s="233"/>
      <c r="C115" s="233"/>
      <c r="D115" s="233"/>
      <c r="E115" s="233"/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</row>
    <row r="116" ht="15.75" customHeight="1">
      <c r="A116" s="233"/>
      <c r="B116" s="233"/>
      <c r="C116" s="233"/>
      <c r="D116" s="233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  <c r="AA116" s="233"/>
    </row>
    <row r="117" ht="15.75" customHeight="1">
      <c r="A117" s="233"/>
      <c r="B117" s="233"/>
      <c r="C117" s="233"/>
      <c r="D117" s="233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  <c r="AA117" s="233"/>
    </row>
    <row r="118" ht="15.75" customHeight="1">
      <c r="A118" s="233"/>
      <c r="B118" s="233"/>
      <c r="C118" s="233"/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  <c r="AA118" s="233"/>
    </row>
    <row r="119" ht="15.75" customHeight="1">
      <c r="A119" s="233"/>
      <c r="B119" s="233"/>
      <c r="C119" s="233"/>
      <c r="D119" s="233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  <c r="AA119" s="233"/>
    </row>
    <row r="120" ht="15.75" customHeight="1">
      <c r="A120" s="233"/>
      <c r="B120" s="233"/>
      <c r="C120" s="233"/>
      <c r="D120" s="233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  <c r="AA120" s="233"/>
    </row>
    <row r="121" ht="15.75" customHeight="1">
      <c r="A121" s="233"/>
      <c r="B121" s="233"/>
      <c r="C121" s="233"/>
      <c r="D121" s="233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  <c r="AA121" s="233"/>
    </row>
    <row r="122" ht="15.75" customHeight="1">
      <c r="A122" s="233"/>
      <c r="B122" s="233"/>
      <c r="C122" s="233"/>
      <c r="D122" s="233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  <c r="AA122" s="233"/>
    </row>
    <row r="123" ht="15.75" customHeight="1">
      <c r="A123" s="233"/>
      <c r="B123" s="233"/>
      <c r="C123" s="233"/>
      <c r="D123" s="233"/>
      <c r="E123" s="233"/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  <c r="AA123" s="233"/>
    </row>
    <row r="124" ht="15.75" customHeight="1">
      <c r="A124" s="233"/>
      <c r="B124" s="233"/>
      <c r="C124" s="233"/>
      <c r="D124" s="233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</row>
    <row r="125" ht="15.75" customHeight="1">
      <c r="A125" s="233"/>
      <c r="B125" s="233"/>
      <c r="C125" s="233"/>
      <c r="D125" s="233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  <c r="AA125" s="233"/>
    </row>
    <row r="126" ht="15.75" customHeight="1">
      <c r="A126" s="233"/>
      <c r="B126" s="233"/>
      <c r="C126" s="233"/>
      <c r="D126" s="233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3"/>
    </row>
    <row r="127" ht="15.75" customHeight="1">
      <c r="A127" s="233"/>
      <c r="B127" s="233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3"/>
    </row>
    <row r="128" ht="15.75" customHeight="1">
      <c r="A128" s="233"/>
      <c r="B128" s="233"/>
      <c r="C128" s="233"/>
      <c r="D128" s="233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  <c r="AA128" s="233"/>
    </row>
    <row r="129" ht="15.75" customHeight="1">
      <c r="A129" s="233"/>
      <c r="B129" s="233"/>
      <c r="C129" s="233"/>
      <c r="D129" s="233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  <c r="AA129" s="233"/>
    </row>
    <row r="130" ht="15.75" customHeight="1">
      <c r="A130" s="233"/>
      <c r="B130" s="233"/>
      <c r="C130" s="233"/>
      <c r="D130" s="233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  <c r="AA130" s="233"/>
    </row>
    <row r="131" ht="15.75" customHeight="1">
      <c r="A131" s="233"/>
      <c r="B131" s="233"/>
      <c r="C131" s="233"/>
      <c r="D131" s="233"/>
      <c r="E131" s="233"/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  <c r="AA131" s="233"/>
    </row>
    <row r="132" ht="15.75" customHeight="1">
      <c r="A132" s="233"/>
      <c r="B132" s="233"/>
      <c r="C132" s="233"/>
      <c r="D132" s="233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  <c r="AA132" s="233"/>
    </row>
    <row r="133" ht="15.75" customHeight="1">
      <c r="A133" s="233"/>
      <c r="B133" s="233"/>
      <c r="C133" s="233"/>
      <c r="D133" s="233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</row>
    <row r="134" ht="15.75" customHeight="1">
      <c r="A134" s="233"/>
      <c r="B134" s="233"/>
      <c r="C134" s="233"/>
      <c r="D134" s="233"/>
      <c r="E134" s="233"/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</row>
    <row r="135" ht="15.75" customHeight="1">
      <c r="A135" s="233"/>
      <c r="B135" s="233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</row>
    <row r="136" ht="15.75" customHeight="1">
      <c r="A136" s="233"/>
      <c r="B136" s="233"/>
      <c r="C136" s="233"/>
      <c r="D136" s="233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</row>
    <row r="137" ht="15.75" customHeight="1">
      <c r="A137" s="233"/>
      <c r="B137" s="233"/>
      <c r="C137" s="233"/>
      <c r="D137" s="233"/>
      <c r="E137" s="233"/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  <c r="AA137" s="233"/>
    </row>
    <row r="138" ht="15.75" customHeight="1">
      <c r="A138" s="233"/>
      <c r="B138" s="233"/>
      <c r="C138" s="233"/>
      <c r="D138" s="233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  <c r="AA138" s="233"/>
    </row>
    <row r="139" ht="15.75" customHeight="1">
      <c r="A139" s="233"/>
      <c r="B139" s="233"/>
      <c r="C139" s="233"/>
      <c r="D139" s="233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  <c r="AA139" s="233"/>
    </row>
    <row r="140" ht="15.75" customHeight="1">
      <c r="A140" s="233"/>
      <c r="B140" s="233"/>
      <c r="C140" s="233"/>
      <c r="D140" s="233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  <c r="AA140" s="233"/>
    </row>
    <row r="141" ht="15.75" customHeight="1">
      <c r="A141" s="233"/>
      <c r="B141" s="233"/>
      <c r="C141" s="233"/>
      <c r="D141" s="233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  <c r="AA141" s="233"/>
    </row>
    <row r="142" ht="15.75" customHeight="1">
      <c r="A142" s="233"/>
      <c r="B142" s="233"/>
      <c r="C142" s="233"/>
      <c r="D142" s="233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  <c r="AA142" s="233"/>
    </row>
    <row r="143" ht="15.75" customHeight="1">
      <c r="A143" s="233"/>
      <c r="B143" s="233"/>
      <c r="C143" s="233"/>
      <c r="D143" s="233"/>
      <c r="E143" s="233"/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  <c r="AA143" s="233"/>
    </row>
    <row r="144" ht="15.75" customHeight="1">
      <c r="A144" s="233"/>
      <c r="B144" s="233"/>
      <c r="C144" s="233"/>
      <c r="D144" s="233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  <c r="AA144" s="233"/>
    </row>
    <row r="145" ht="15.75" customHeight="1">
      <c r="A145" s="233"/>
      <c r="B145" s="233"/>
      <c r="C145" s="233"/>
      <c r="D145" s="233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  <c r="AA145" s="233"/>
    </row>
    <row r="146" ht="15.75" customHeight="1">
      <c r="A146" s="233"/>
      <c r="B146" s="233"/>
      <c r="C146" s="233"/>
      <c r="D146" s="233"/>
      <c r="E146" s="233"/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  <c r="AA146" s="233"/>
    </row>
    <row r="147" ht="15.75" customHeight="1">
      <c r="A147" s="233"/>
      <c r="B147" s="233"/>
      <c r="C147" s="233"/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  <c r="AA147" s="233"/>
    </row>
    <row r="148" ht="15.75" customHeight="1">
      <c r="A148" s="233"/>
      <c r="B148" s="233"/>
      <c r="C148" s="233"/>
      <c r="D148" s="233"/>
      <c r="E148" s="233"/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  <c r="AA148" s="233"/>
    </row>
    <row r="149" ht="15.75" customHeight="1">
      <c r="A149" s="233"/>
      <c r="B149" s="233"/>
      <c r="C149" s="233"/>
      <c r="D149" s="233"/>
      <c r="E149" s="233"/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  <c r="AA149" s="233"/>
    </row>
    <row r="150" ht="15.75" customHeight="1">
      <c r="A150" s="233"/>
      <c r="B150" s="233"/>
      <c r="C150" s="233"/>
      <c r="D150" s="233"/>
      <c r="E150" s="233"/>
      <c r="F150" s="233"/>
      <c r="G150" s="233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  <c r="AA150" s="233"/>
    </row>
    <row r="151" ht="15.75" customHeight="1">
      <c r="A151" s="233"/>
      <c r="B151" s="233"/>
      <c r="C151" s="233"/>
      <c r="D151" s="233"/>
      <c r="E151" s="233"/>
      <c r="F151" s="233"/>
      <c r="G151" s="233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  <c r="AA151" s="233"/>
    </row>
    <row r="152" ht="15.75" customHeight="1">
      <c r="A152" s="233"/>
      <c r="B152" s="233"/>
      <c r="C152" s="233"/>
      <c r="D152" s="233"/>
      <c r="E152" s="233"/>
      <c r="F152" s="233"/>
      <c r="G152" s="233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  <c r="AA152" s="233"/>
    </row>
    <row r="153" ht="15.75" customHeight="1">
      <c r="A153" s="233"/>
      <c r="B153" s="233"/>
      <c r="C153" s="233"/>
      <c r="D153" s="233"/>
      <c r="E153" s="233"/>
      <c r="F153" s="233"/>
      <c r="G153" s="233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  <c r="AA153" s="233"/>
    </row>
    <row r="154" ht="15.75" customHeight="1">
      <c r="A154" s="233"/>
      <c r="B154" s="233"/>
      <c r="C154" s="233"/>
      <c r="D154" s="233"/>
      <c r="E154" s="233"/>
      <c r="F154" s="233"/>
      <c r="G154" s="233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  <c r="AA154" s="233"/>
    </row>
    <row r="155" ht="15.75" customHeight="1">
      <c r="A155" s="233"/>
      <c r="B155" s="233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  <c r="AA155" s="233"/>
    </row>
    <row r="156" ht="15.75" customHeight="1">
      <c r="A156" s="233"/>
      <c r="B156" s="233"/>
      <c r="C156" s="233"/>
      <c r="D156" s="233"/>
      <c r="E156" s="233"/>
      <c r="F156" s="233"/>
      <c r="G156" s="233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</row>
    <row r="157" ht="15.75" customHeight="1">
      <c r="A157" s="233"/>
      <c r="B157" s="233"/>
      <c r="C157" s="233"/>
      <c r="D157" s="233"/>
      <c r="E157" s="233"/>
      <c r="F157" s="233"/>
      <c r="G157" s="233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</row>
    <row r="158" ht="15.75" customHeight="1">
      <c r="A158" s="233"/>
      <c r="B158" s="233"/>
      <c r="C158" s="233"/>
      <c r="D158" s="233"/>
      <c r="E158" s="233"/>
      <c r="F158" s="233"/>
      <c r="G158" s="233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</row>
    <row r="159" ht="15.75" customHeight="1">
      <c r="A159" s="233"/>
      <c r="B159" s="233"/>
      <c r="C159" s="233"/>
      <c r="D159" s="233"/>
      <c r="E159" s="233"/>
      <c r="F159" s="233"/>
      <c r="G159" s="233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</row>
    <row r="160" ht="15.75" customHeight="1">
      <c r="A160" s="233"/>
      <c r="B160" s="233"/>
      <c r="C160" s="233"/>
      <c r="D160" s="233"/>
      <c r="E160" s="233"/>
      <c r="F160" s="233"/>
      <c r="G160" s="233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</row>
    <row r="161" ht="15.75" customHeight="1">
      <c r="A161" s="233"/>
      <c r="B161" s="233"/>
      <c r="C161" s="233"/>
      <c r="D161" s="233"/>
      <c r="E161" s="233"/>
      <c r="F161" s="233"/>
      <c r="G161" s="233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</row>
    <row r="162" ht="15.75" customHeight="1">
      <c r="A162" s="233"/>
      <c r="B162" s="233"/>
      <c r="C162" s="233"/>
      <c r="D162" s="233"/>
      <c r="E162" s="233"/>
      <c r="F162" s="233"/>
      <c r="G162" s="233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  <c r="AA162" s="233"/>
    </row>
    <row r="163" ht="15.75" customHeight="1">
      <c r="A163" s="233"/>
      <c r="B163" s="233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  <c r="AA163" s="233"/>
    </row>
    <row r="164" ht="15.75" customHeight="1">
      <c r="A164" s="233"/>
      <c r="B164" s="233"/>
      <c r="C164" s="233"/>
      <c r="D164" s="233"/>
      <c r="E164" s="233"/>
      <c r="F164" s="233"/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  <c r="AA164" s="233"/>
    </row>
    <row r="165" ht="15.75" customHeight="1">
      <c r="A165" s="233"/>
      <c r="B165" s="233"/>
      <c r="C165" s="233"/>
      <c r="D165" s="233"/>
      <c r="E165" s="233"/>
      <c r="F165" s="233"/>
      <c r="G165" s="233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  <c r="AA165" s="233"/>
    </row>
    <row r="166" ht="15.75" customHeight="1">
      <c r="A166" s="233"/>
      <c r="B166" s="233"/>
      <c r="C166" s="233"/>
      <c r="D166" s="233"/>
      <c r="E166" s="233"/>
      <c r="F166" s="233"/>
      <c r="G166" s="233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  <c r="AA166" s="233"/>
    </row>
    <row r="167" ht="15.75" customHeight="1">
      <c r="A167" s="233"/>
      <c r="B167" s="233"/>
      <c r="C167" s="233"/>
      <c r="D167" s="233"/>
      <c r="E167" s="233"/>
      <c r="F167" s="233"/>
      <c r="G167" s="233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  <c r="AA167" s="233"/>
    </row>
    <row r="168" ht="15.75" customHeight="1">
      <c r="A168" s="233"/>
      <c r="B168" s="233"/>
      <c r="C168" s="233"/>
      <c r="D168" s="233"/>
      <c r="E168" s="233"/>
      <c r="F168" s="233"/>
      <c r="G168" s="233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  <c r="AA168" s="233"/>
    </row>
    <row r="169" ht="15.75" customHeight="1">
      <c r="A169" s="233"/>
      <c r="B169" s="233"/>
      <c r="C169" s="233"/>
      <c r="D169" s="233"/>
      <c r="E169" s="233"/>
      <c r="F169" s="233"/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  <c r="AA169" s="233"/>
    </row>
    <row r="170" ht="15.75" customHeight="1">
      <c r="A170" s="233"/>
      <c r="B170" s="233"/>
      <c r="C170" s="233"/>
      <c r="D170" s="233"/>
      <c r="E170" s="233"/>
      <c r="F170" s="233"/>
      <c r="G170" s="233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  <c r="AA170" s="233"/>
    </row>
    <row r="171" ht="15.75" customHeight="1">
      <c r="A171" s="233"/>
      <c r="B171" s="233"/>
      <c r="C171" s="233"/>
      <c r="D171" s="233"/>
      <c r="E171" s="233"/>
      <c r="F171" s="233"/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  <c r="AA171" s="233"/>
    </row>
    <row r="172" ht="15.75" customHeight="1">
      <c r="A172" s="233"/>
      <c r="B172" s="233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  <c r="AA172" s="233"/>
    </row>
    <row r="173" ht="15.75" customHeight="1">
      <c r="A173" s="233"/>
      <c r="B173" s="233"/>
      <c r="C173" s="233"/>
      <c r="D173" s="233"/>
      <c r="E173" s="233"/>
      <c r="F173" s="233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  <c r="AA173" s="233"/>
    </row>
    <row r="174" ht="15.75" customHeight="1">
      <c r="A174" s="233"/>
      <c r="B174" s="233"/>
      <c r="C174" s="233"/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  <c r="AA174" s="233"/>
    </row>
    <row r="175" ht="15.75" customHeight="1">
      <c r="A175" s="233"/>
      <c r="B175" s="233"/>
      <c r="C175" s="233"/>
      <c r="D175" s="233"/>
      <c r="E175" s="233"/>
      <c r="F175" s="233"/>
      <c r="G175" s="233"/>
      <c r="H175" s="233"/>
      <c r="I175" s="233"/>
      <c r="J175" s="233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  <c r="AA175" s="233"/>
    </row>
    <row r="176" ht="15.75" customHeight="1">
      <c r="A176" s="233"/>
      <c r="B176" s="233"/>
      <c r="C176" s="233"/>
      <c r="D176" s="233"/>
      <c r="E176" s="233"/>
      <c r="F176" s="233"/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  <c r="AA176" s="233"/>
    </row>
    <row r="177" ht="15.75" customHeight="1">
      <c r="A177" s="233"/>
      <c r="B177" s="233"/>
      <c r="C177" s="233"/>
      <c r="D177" s="233"/>
      <c r="E177" s="233"/>
      <c r="F177" s="233"/>
      <c r="G177" s="233"/>
      <c r="H177" s="233"/>
      <c r="I177" s="233"/>
      <c r="J177" s="233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  <c r="AA177" s="233"/>
    </row>
    <row r="178" ht="15.75" customHeight="1">
      <c r="A178" s="233"/>
      <c r="B178" s="233"/>
      <c r="C178" s="233"/>
      <c r="D178" s="233"/>
      <c r="E178" s="233"/>
      <c r="F178" s="233"/>
      <c r="G178" s="233"/>
      <c r="H178" s="233"/>
      <c r="I178" s="233"/>
      <c r="J178" s="233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  <c r="AA178" s="233"/>
    </row>
    <row r="179" ht="15.75" customHeight="1">
      <c r="A179" s="233"/>
      <c r="B179" s="233"/>
      <c r="C179" s="233"/>
      <c r="D179" s="233"/>
      <c r="E179" s="233"/>
      <c r="F179" s="233"/>
      <c r="G179" s="233"/>
      <c r="H179" s="233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  <c r="AA179" s="233"/>
    </row>
    <row r="180" ht="15.75" customHeight="1">
      <c r="A180" s="233"/>
      <c r="B180" s="233"/>
      <c r="C180" s="233"/>
      <c r="D180" s="233"/>
      <c r="E180" s="233"/>
      <c r="F180" s="233"/>
      <c r="G180" s="233"/>
      <c r="H180" s="233"/>
      <c r="I180" s="233"/>
      <c r="J180" s="233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  <c r="AA180" s="233"/>
    </row>
    <row r="181" ht="15.75" customHeight="1">
      <c r="A181" s="233"/>
      <c r="B181" s="233"/>
      <c r="C181" s="233"/>
      <c r="D181" s="233"/>
      <c r="E181" s="233"/>
      <c r="F181" s="233"/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  <c r="AA181" s="233"/>
    </row>
    <row r="182" ht="15.75" customHeight="1">
      <c r="A182" s="233"/>
      <c r="B182" s="233"/>
      <c r="C182" s="233"/>
      <c r="D182" s="233"/>
      <c r="E182" s="233"/>
      <c r="F182" s="233"/>
      <c r="G182" s="233"/>
      <c r="H182" s="233"/>
      <c r="I182" s="233"/>
      <c r="J182" s="233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  <c r="AA182" s="233"/>
    </row>
    <row r="183" ht="15.75" customHeight="1">
      <c r="A183" s="233"/>
      <c r="B183" s="233"/>
      <c r="C183" s="233"/>
      <c r="D183" s="233"/>
      <c r="E183" s="233"/>
      <c r="F183" s="233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</row>
    <row r="184" ht="15.75" customHeight="1">
      <c r="A184" s="233"/>
      <c r="B184" s="233"/>
      <c r="C184" s="233"/>
      <c r="D184" s="233"/>
      <c r="E184" s="233"/>
      <c r="F184" s="233"/>
      <c r="G184" s="233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  <c r="AA184" s="233"/>
    </row>
    <row r="185" ht="15.75" customHeight="1">
      <c r="A185" s="233"/>
      <c r="B185" s="233"/>
      <c r="C185" s="233"/>
      <c r="D185" s="233"/>
      <c r="E185" s="233"/>
      <c r="F185" s="233"/>
      <c r="G185" s="233"/>
      <c r="H185" s="233"/>
      <c r="I185" s="233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  <c r="AA185" s="233"/>
    </row>
    <row r="186" ht="15.75" customHeight="1">
      <c r="A186" s="233"/>
      <c r="B186" s="233"/>
      <c r="C186" s="233"/>
      <c r="D186" s="233"/>
      <c r="E186" s="233"/>
      <c r="F186" s="233"/>
      <c r="G186" s="233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  <c r="AA186" s="233"/>
    </row>
    <row r="187" ht="15.75" customHeight="1">
      <c r="A187" s="233"/>
      <c r="B187" s="233"/>
      <c r="C187" s="233"/>
      <c r="D187" s="233"/>
      <c r="E187" s="233"/>
      <c r="F187" s="233"/>
      <c r="G187" s="233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  <c r="AA187" s="233"/>
    </row>
    <row r="188" ht="15.75" customHeight="1">
      <c r="A188" s="233"/>
      <c r="B188" s="233"/>
      <c r="C188" s="233"/>
      <c r="D188" s="233"/>
      <c r="E188" s="233"/>
      <c r="F188" s="233"/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  <c r="AA188" s="233"/>
    </row>
    <row r="189" ht="15.75" customHeight="1">
      <c r="A189" s="233"/>
      <c r="B189" s="233"/>
      <c r="C189" s="233"/>
      <c r="D189" s="233"/>
      <c r="E189" s="233"/>
      <c r="F189" s="233"/>
      <c r="G189" s="233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  <c r="AA189" s="233"/>
    </row>
    <row r="190" ht="15.75" customHeight="1">
      <c r="A190" s="233"/>
      <c r="B190" s="233"/>
      <c r="C190" s="233"/>
      <c r="D190" s="233"/>
      <c r="E190" s="233"/>
      <c r="F190" s="233"/>
      <c r="G190" s="233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  <c r="AA190" s="233"/>
    </row>
    <row r="191" ht="15.75" customHeight="1">
      <c r="A191" s="233"/>
      <c r="B191" s="233"/>
      <c r="C191" s="233"/>
      <c r="D191" s="233"/>
      <c r="E191" s="233"/>
      <c r="F191" s="233"/>
      <c r="G191" s="233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  <c r="AA191" s="233"/>
    </row>
    <row r="192" ht="15.75" customHeight="1">
      <c r="A192" s="233"/>
      <c r="B192" s="233"/>
      <c r="C192" s="233"/>
      <c r="D192" s="233"/>
      <c r="E192" s="233"/>
      <c r="F192" s="233"/>
      <c r="G192" s="233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  <c r="AA192" s="233"/>
    </row>
    <row r="193" ht="15.75" customHeight="1">
      <c r="A193" s="233"/>
      <c r="B193" s="233"/>
      <c r="C193" s="233"/>
      <c r="D193" s="233"/>
      <c r="E193" s="233"/>
      <c r="F193" s="233"/>
      <c r="G193" s="233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  <c r="AA193" s="233"/>
    </row>
    <row r="194" ht="15.75" customHeight="1">
      <c r="A194" s="233"/>
      <c r="B194" s="233"/>
      <c r="C194" s="233"/>
      <c r="D194" s="233"/>
      <c r="E194" s="233"/>
      <c r="F194" s="233"/>
      <c r="G194" s="233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  <c r="AA194" s="233"/>
    </row>
    <row r="195" ht="15.75" customHeight="1">
      <c r="A195" s="233"/>
      <c r="B195" s="233"/>
      <c r="C195" s="233"/>
      <c r="D195" s="233"/>
      <c r="E195" s="233"/>
      <c r="F195" s="233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  <c r="AA195" s="233"/>
    </row>
    <row r="196" ht="15.75" customHeight="1">
      <c r="A196" s="233"/>
      <c r="B196" s="233"/>
      <c r="C196" s="233"/>
      <c r="D196" s="233"/>
      <c r="E196" s="233"/>
      <c r="F196" s="233"/>
      <c r="G196" s="233"/>
      <c r="H196" s="233"/>
      <c r="I196" s="233"/>
      <c r="J196" s="233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  <c r="AA196" s="233"/>
    </row>
    <row r="197" ht="15.75" customHeight="1">
      <c r="A197" s="233"/>
      <c r="B197" s="233"/>
      <c r="C197" s="233"/>
      <c r="D197" s="233"/>
      <c r="E197" s="233"/>
      <c r="F197" s="233"/>
      <c r="G197" s="233"/>
      <c r="H197" s="233"/>
      <c r="I197" s="233"/>
      <c r="J197" s="233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  <c r="AA197" s="233"/>
    </row>
    <row r="198" ht="15.75" customHeight="1">
      <c r="A198" s="233"/>
      <c r="B198" s="233"/>
      <c r="C198" s="233"/>
      <c r="D198" s="233"/>
      <c r="E198" s="233"/>
      <c r="F198" s="233"/>
      <c r="G198" s="233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  <c r="AA198" s="233"/>
    </row>
    <row r="199" ht="15.75" customHeight="1">
      <c r="A199" s="233"/>
      <c r="B199" s="233"/>
      <c r="C199" s="233"/>
      <c r="D199" s="233"/>
      <c r="E199" s="233"/>
      <c r="F199" s="233"/>
      <c r="G199" s="233"/>
      <c r="H199" s="233"/>
      <c r="I199" s="233"/>
      <c r="J199" s="233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  <c r="AA199" s="233"/>
    </row>
    <row r="200" ht="15.75" customHeight="1">
      <c r="A200" s="233"/>
      <c r="B200" s="233"/>
      <c r="C200" s="233"/>
      <c r="D200" s="233"/>
      <c r="E200" s="233"/>
      <c r="F200" s="233"/>
      <c r="G200" s="233"/>
      <c r="H200" s="233"/>
      <c r="I200" s="233"/>
      <c r="J200" s="233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  <c r="AA200" s="233"/>
    </row>
    <row r="201" ht="15.75" customHeight="1">
      <c r="A201" s="233"/>
      <c r="B201" s="233"/>
      <c r="C201" s="233"/>
      <c r="D201" s="233"/>
      <c r="E201" s="233"/>
      <c r="F201" s="233"/>
      <c r="G201" s="233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  <c r="AA201" s="233"/>
    </row>
    <row r="202" ht="15.75" customHeight="1">
      <c r="A202" s="233"/>
      <c r="B202" s="233"/>
      <c r="C202" s="233"/>
      <c r="D202" s="233"/>
      <c r="E202" s="233"/>
      <c r="F202" s="233"/>
      <c r="G202" s="233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  <c r="AA202" s="233"/>
    </row>
    <row r="203" ht="15.75" customHeight="1">
      <c r="A203" s="233"/>
      <c r="B203" s="233"/>
      <c r="C203" s="233"/>
      <c r="D203" s="233"/>
      <c r="E203" s="233"/>
      <c r="F203" s="233"/>
      <c r="G203" s="233"/>
      <c r="H203" s="233"/>
      <c r="I203" s="233"/>
      <c r="J203" s="233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  <c r="AA203" s="233"/>
    </row>
    <row r="204" ht="15.75" customHeight="1">
      <c r="A204" s="233"/>
      <c r="B204" s="233"/>
      <c r="C204" s="233"/>
      <c r="D204" s="233"/>
      <c r="E204" s="233"/>
      <c r="F204" s="233"/>
      <c r="G204" s="233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  <c r="AA204" s="233"/>
    </row>
    <row r="205" ht="15.75" customHeight="1">
      <c r="A205" s="233"/>
      <c r="B205" s="233"/>
      <c r="C205" s="233"/>
      <c r="D205" s="233"/>
      <c r="E205" s="233"/>
      <c r="F205" s="233"/>
      <c r="G205" s="233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  <c r="AA205" s="233"/>
    </row>
    <row r="206" ht="15.75" customHeight="1">
      <c r="A206" s="233"/>
      <c r="B206" s="233"/>
      <c r="C206" s="233"/>
      <c r="D206" s="233"/>
      <c r="E206" s="233"/>
      <c r="F206" s="233"/>
      <c r="G206" s="233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  <c r="AA206" s="233"/>
    </row>
    <row r="207" ht="15.75" customHeight="1">
      <c r="A207" s="233"/>
      <c r="B207" s="233"/>
      <c r="C207" s="233"/>
      <c r="D207" s="233"/>
      <c r="E207" s="233"/>
      <c r="F207" s="23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  <c r="AA207" s="233"/>
    </row>
    <row r="208" ht="15.75" customHeight="1">
      <c r="A208" s="233"/>
      <c r="B208" s="233"/>
      <c r="C208" s="233"/>
      <c r="D208" s="233"/>
      <c r="E208" s="233"/>
      <c r="F208" s="233"/>
      <c r="G208" s="233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  <c r="AA208" s="233"/>
    </row>
    <row r="209" ht="15.75" customHeight="1">
      <c r="A209" s="233"/>
      <c r="B209" s="233"/>
      <c r="C209" s="233"/>
      <c r="D209" s="233"/>
      <c r="E209" s="233"/>
      <c r="F209" s="233"/>
      <c r="G209" s="233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  <c r="AA209" s="233"/>
    </row>
    <row r="210" ht="15.75" customHeight="1">
      <c r="A210" s="233"/>
      <c r="B210" s="233"/>
      <c r="C210" s="233"/>
      <c r="D210" s="233"/>
      <c r="E210" s="233"/>
      <c r="F210" s="233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  <c r="AA210" s="233"/>
    </row>
    <row r="211" ht="15.75" customHeight="1">
      <c r="A211" s="233"/>
      <c r="B211" s="233"/>
      <c r="C211" s="233"/>
      <c r="D211" s="233"/>
      <c r="E211" s="233"/>
      <c r="F211" s="233"/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  <c r="AA211" s="233"/>
    </row>
    <row r="212" ht="15.75" customHeight="1">
      <c r="A212" s="233"/>
      <c r="B212" s="233"/>
      <c r="C212" s="233"/>
      <c r="D212" s="233"/>
      <c r="E212" s="233"/>
      <c r="F212" s="233"/>
      <c r="G212" s="233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  <c r="AA212" s="233"/>
    </row>
    <row r="213" ht="15.75" customHeight="1">
      <c r="A213" s="233"/>
      <c r="B213" s="233"/>
      <c r="C213" s="233"/>
      <c r="D213" s="233"/>
      <c r="E213" s="233"/>
      <c r="F213" s="233"/>
      <c r="G213" s="233"/>
      <c r="H213" s="233"/>
      <c r="I213" s="233"/>
      <c r="J213" s="233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  <c r="AA213" s="233"/>
    </row>
    <row r="214" ht="15.75" customHeight="1">
      <c r="A214" s="233"/>
      <c r="B214" s="233"/>
      <c r="C214" s="233"/>
      <c r="D214" s="233"/>
      <c r="E214" s="233"/>
      <c r="F214" s="233"/>
      <c r="G214" s="233"/>
      <c r="H214" s="233"/>
      <c r="I214" s="233"/>
      <c r="J214" s="233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  <c r="AA214" s="233"/>
    </row>
    <row r="215" ht="15.75" customHeight="1">
      <c r="A215" s="233"/>
      <c r="B215" s="233"/>
      <c r="C215" s="233"/>
      <c r="D215" s="233"/>
      <c r="E215" s="233"/>
      <c r="F215" s="233"/>
      <c r="G215" s="233"/>
      <c r="H215" s="233"/>
      <c r="I215" s="233"/>
      <c r="J215" s="233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  <c r="AA215" s="233"/>
    </row>
    <row r="216" ht="15.75" customHeight="1">
      <c r="A216" s="233"/>
      <c r="B216" s="233"/>
      <c r="C216" s="233"/>
      <c r="D216" s="233"/>
      <c r="E216" s="233"/>
      <c r="F216" s="233"/>
      <c r="G216" s="233"/>
      <c r="H216" s="233"/>
      <c r="I216" s="233"/>
      <c r="J216" s="233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  <c r="AA216" s="233"/>
    </row>
    <row r="217" ht="15.75" customHeight="1">
      <c r="A217" s="233"/>
      <c r="B217" s="233"/>
      <c r="C217" s="233"/>
      <c r="D217" s="233"/>
      <c r="E217" s="233"/>
      <c r="F217" s="233"/>
      <c r="G217" s="233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  <c r="AA217" s="233"/>
    </row>
    <row r="218" ht="15.75" customHeight="1">
      <c r="A218" s="233"/>
      <c r="B218" s="233"/>
      <c r="C218" s="233"/>
      <c r="D218" s="233"/>
      <c r="E218" s="233"/>
      <c r="F218" s="233"/>
      <c r="G218" s="233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  <c r="AA218" s="233"/>
    </row>
    <row r="219" ht="15.75" customHeight="1">
      <c r="A219" s="233"/>
      <c r="B219" s="233"/>
      <c r="C219" s="233"/>
      <c r="D219" s="233"/>
      <c r="E219" s="233"/>
      <c r="F219" s="233"/>
      <c r="G219" s="233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  <c r="AA219" s="233"/>
    </row>
    <row r="220" ht="15.75" customHeight="1">
      <c r="A220" s="233"/>
      <c r="B220" s="233"/>
      <c r="C220" s="233"/>
      <c r="D220" s="233"/>
      <c r="E220" s="233"/>
      <c r="F220" s="233"/>
      <c r="G220" s="233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  <c r="AA220" s="233"/>
    </row>
    <row r="221" ht="15.75" customHeight="1">
      <c r="A221" s="233"/>
      <c r="B221" s="233"/>
      <c r="C221" s="233"/>
      <c r="D221" s="233"/>
      <c r="E221" s="233"/>
      <c r="F221" s="233"/>
      <c r="G221" s="233"/>
      <c r="H221" s="233"/>
      <c r="I221" s="233"/>
      <c r="J221" s="233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  <c r="AA221" s="233"/>
    </row>
    <row r="222" ht="15.75" customHeight="1">
      <c r="A222" s="233"/>
      <c r="B222" s="233"/>
      <c r="C222" s="233"/>
      <c r="D222" s="233"/>
      <c r="E222" s="233"/>
      <c r="F222" s="233"/>
      <c r="G222" s="233"/>
      <c r="H222" s="233"/>
      <c r="I222" s="233"/>
      <c r="J222" s="233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  <c r="AA222" s="233"/>
    </row>
    <row r="223" ht="15.75" customHeight="1">
      <c r="A223" s="233"/>
      <c r="B223" s="233"/>
      <c r="C223" s="233"/>
      <c r="D223" s="233"/>
      <c r="E223" s="233"/>
      <c r="F223" s="233"/>
      <c r="G223" s="233"/>
      <c r="H223" s="233"/>
      <c r="I223" s="233"/>
      <c r="J223" s="233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  <c r="AA223" s="233"/>
    </row>
    <row r="224" ht="15.75" customHeight="1">
      <c r="A224" s="233"/>
      <c r="B224" s="233"/>
      <c r="C224" s="233"/>
      <c r="D224" s="233"/>
      <c r="E224" s="233"/>
      <c r="F224" s="233"/>
      <c r="G224" s="233"/>
      <c r="H224" s="233"/>
      <c r="I224" s="233"/>
      <c r="J224" s="233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  <c r="AA224" s="233"/>
    </row>
    <row r="225" ht="15.75" customHeight="1">
      <c r="A225" s="233"/>
      <c r="B225" s="233"/>
      <c r="C225" s="233"/>
      <c r="D225" s="233"/>
      <c r="E225" s="233"/>
      <c r="F225" s="233"/>
      <c r="G225" s="233"/>
      <c r="H225" s="233"/>
      <c r="I225" s="233"/>
      <c r="J225" s="233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  <c r="AA225" s="233"/>
    </row>
    <row r="226" ht="15.75" customHeight="1">
      <c r="A226" s="233"/>
      <c r="B226" s="233"/>
      <c r="C226" s="233"/>
      <c r="D226" s="233"/>
      <c r="E226" s="233"/>
      <c r="F226" s="233"/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  <c r="AA226" s="233"/>
    </row>
    <row r="227" ht="15.75" customHeight="1">
      <c r="A227" s="233"/>
      <c r="B227" s="233"/>
      <c r="C227" s="233"/>
      <c r="D227" s="233"/>
      <c r="E227" s="233"/>
      <c r="F227" s="233"/>
      <c r="G227" s="233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  <c r="AA227" s="233"/>
    </row>
    <row r="228" ht="15.75" customHeight="1">
      <c r="A228" s="233"/>
      <c r="B228" s="233"/>
      <c r="C228" s="233"/>
      <c r="D228" s="233"/>
      <c r="E228" s="233"/>
      <c r="F228" s="233"/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  <c r="AA228" s="233"/>
    </row>
    <row r="229" ht="15.75" customHeight="1">
      <c r="A229" s="233"/>
      <c r="B229" s="233"/>
      <c r="C229" s="233"/>
      <c r="D229" s="233"/>
      <c r="E229" s="233"/>
      <c r="F229" s="233"/>
      <c r="G229" s="233"/>
      <c r="H229" s="233"/>
      <c r="I229" s="233"/>
      <c r="J229" s="233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  <c r="AA229" s="233"/>
    </row>
    <row r="230" ht="15.75" customHeight="1">
      <c r="A230" s="233"/>
      <c r="B230" s="233"/>
      <c r="C230" s="233"/>
      <c r="D230" s="233"/>
      <c r="E230" s="233"/>
      <c r="F230" s="233"/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  <c r="AA230" s="233"/>
    </row>
    <row r="231" ht="15.75" customHeight="1">
      <c r="A231" s="233"/>
      <c r="B231" s="233"/>
      <c r="C231" s="233"/>
      <c r="D231" s="233"/>
      <c r="E231" s="233"/>
      <c r="F231" s="233"/>
      <c r="G231" s="233"/>
      <c r="H231" s="233"/>
      <c r="I231" s="233"/>
      <c r="J231" s="233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  <c r="AA231" s="233"/>
    </row>
    <row r="232" ht="15.75" customHeight="1">
      <c r="A232" s="233"/>
      <c r="B232" s="233"/>
      <c r="C232" s="233"/>
      <c r="D232" s="233"/>
      <c r="E232" s="233"/>
      <c r="F232" s="233"/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  <c r="AA232" s="233"/>
    </row>
    <row r="233" ht="15.75" customHeight="1">
      <c r="A233" s="233"/>
      <c r="B233" s="233"/>
      <c r="C233" s="233"/>
      <c r="D233" s="233"/>
      <c r="E233" s="233"/>
      <c r="F233" s="233"/>
      <c r="G233" s="233"/>
      <c r="H233" s="233"/>
      <c r="I233" s="233"/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  <c r="AA233" s="233"/>
    </row>
    <row r="234" ht="15.75" customHeight="1">
      <c r="A234" s="233"/>
      <c r="B234" s="233"/>
      <c r="C234" s="233"/>
      <c r="D234" s="233"/>
      <c r="E234" s="233"/>
      <c r="F234" s="233"/>
      <c r="G234" s="233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  <c r="AA234" s="233"/>
    </row>
    <row r="235" ht="15.75" customHeight="1">
      <c r="A235" s="233"/>
      <c r="B235" s="233"/>
      <c r="C235" s="233"/>
      <c r="D235" s="233"/>
      <c r="E235" s="233"/>
      <c r="F235" s="233"/>
      <c r="G235" s="233"/>
      <c r="H235" s="233"/>
      <c r="I235" s="233"/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  <c r="AA235" s="233"/>
    </row>
    <row r="236" ht="15.75" customHeight="1">
      <c r="A236" s="233"/>
      <c r="B236" s="233"/>
      <c r="C236" s="233"/>
      <c r="D236" s="233"/>
      <c r="E236" s="233"/>
      <c r="F236" s="233"/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  <c r="AA236" s="233"/>
    </row>
    <row r="237" ht="15.75" customHeight="1">
      <c r="A237" s="233"/>
      <c r="B237" s="233"/>
      <c r="C237" s="233"/>
      <c r="D237" s="233"/>
      <c r="E237" s="233"/>
      <c r="F237" s="233"/>
      <c r="G237" s="233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  <c r="AA237" s="233"/>
    </row>
    <row r="238" ht="15.75" customHeight="1">
      <c r="A238" s="233"/>
      <c r="B238" s="233"/>
      <c r="C238" s="233"/>
      <c r="D238" s="233"/>
      <c r="E238" s="233"/>
      <c r="F238" s="233"/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  <c r="AA238" s="233"/>
    </row>
    <row r="239" ht="15.75" customHeight="1">
      <c r="A239" s="233"/>
      <c r="B239" s="233"/>
      <c r="C239" s="233"/>
      <c r="D239" s="233"/>
      <c r="E239" s="233"/>
      <c r="F239" s="233"/>
      <c r="G239" s="233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  <c r="AA239" s="233"/>
    </row>
    <row r="240" ht="15.75" customHeight="1">
      <c r="A240" s="233"/>
      <c r="B240" s="233"/>
      <c r="C240" s="233"/>
      <c r="D240" s="233"/>
      <c r="E240" s="233"/>
      <c r="F240" s="233"/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  <c r="AA240" s="233"/>
    </row>
    <row r="241" ht="15.75" customHeight="1">
      <c r="A241" s="233"/>
      <c r="B241" s="233"/>
      <c r="C241" s="233"/>
      <c r="D241" s="233"/>
      <c r="E241" s="233"/>
      <c r="F241" s="233"/>
      <c r="G241" s="233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  <c r="AA241" s="233"/>
    </row>
    <row r="242" ht="15.75" customHeight="1">
      <c r="A242" s="233"/>
      <c r="B242" s="233"/>
      <c r="C242" s="233"/>
      <c r="D242" s="233"/>
      <c r="E242" s="233"/>
      <c r="F242" s="233"/>
      <c r="G242" s="233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  <c r="AA242" s="233"/>
    </row>
    <row r="243" ht="15.75" customHeight="1">
      <c r="A243" s="233"/>
      <c r="B243" s="233"/>
      <c r="C243" s="233"/>
      <c r="D243" s="233"/>
      <c r="E243" s="233"/>
      <c r="F243" s="233"/>
      <c r="G243" s="233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  <c r="AA243" s="233"/>
    </row>
    <row r="244" ht="15.75" customHeight="1">
      <c r="A244" s="233"/>
      <c r="B244" s="233"/>
      <c r="C244" s="233"/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  <c r="AA244" s="233"/>
    </row>
    <row r="245" ht="15.75" customHeight="1">
      <c r="A245" s="233"/>
      <c r="B245" s="233"/>
      <c r="C245" s="233"/>
      <c r="D245" s="233"/>
      <c r="E245" s="233"/>
      <c r="F245" s="233"/>
      <c r="G245" s="233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  <c r="AA245" s="233"/>
    </row>
    <row r="246" ht="15.75" customHeight="1">
      <c r="A246" s="233"/>
      <c r="B246" s="233"/>
      <c r="C246" s="233"/>
      <c r="D246" s="233"/>
      <c r="E246" s="233"/>
      <c r="F246" s="233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  <c r="AA246" s="233"/>
    </row>
    <row r="247" ht="15.75" customHeight="1">
      <c r="A247" s="233"/>
      <c r="B247" s="233"/>
      <c r="C247" s="233"/>
      <c r="D247" s="233"/>
      <c r="E247" s="233"/>
      <c r="F247" s="233"/>
      <c r="G247" s="233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  <c r="AA247" s="233"/>
    </row>
    <row r="248" ht="15.75" customHeight="1">
      <c r="A248" s="233"/>
      <c r="B248" s="233"/>
      <c r="C248" s="233"/>
      <c r="D248" s="233"/>
      <c r="E248" s="233"/>
      <c r="F248" s="233"/>
      <c r="G248" s="233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  <c r="AA248" s="233"/>
    </row>
    <row r="249" ht="15.75" customHeight="1">
      <c r="A249" s="233"/>
      <c r="B249" s="233"/>
      <c r="C249" s="233"/>
      <c r="D249" s="233"/>
      <c r="E249" s="233"/>
      <c r="F249" s="233"/>
      <c r="G249" s="233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  <c r="AA249" s="233"/>
    </row>
    <row r="250" ht="15.75" customHeight="1">
      <c r="A250" s="233"/>
      <c r="B250" s="233"/>
      <c r="C250" s="233"/>
      <c r="D250" s="233"/>
      <c r="E250" s="233"/>
      <c r="F250" s="233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  <c r="AA250" s="233"/>
    </row>
    <row r="251" ht="15.75" customHeight="1">
      <c r="A251" s="233"/>
      <c r="B251" s="233"/>
      <c r="C251" s="233"/>
      <c r="D251" s="233"/>
      <c r="E251" s="233"/>
      <c r="F251" s="233"/>
      <c r="G251" s="233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  <c r="AA251" s="233"/>
    </row>
    <row r="252" ht="15.75" customHeight="1">
      <c r="A252" s="233"/>
      <c r="B252" s="233"/>
      <c r="C252" s="233"/>
      <c r="D252" s="233"/>
      <c r="E252" s="233"/>
      <c r="F252" s="233"/>
      <c r="G252" s="233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  <c r="AA252" s="233"/>
    </row>
    <row r="253" ht="15.75" customHeight="1">
      <c r="A253" s="233"/>
      <c r="B253" s="233"/>
      <c r="C253" s="233"/>
      <c r="D253" s="233"/>
      <c r="E253" s="233"/>
      <c r="F253" s="233"/>
      <c r="G253" s="233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  <c r="AA253" s="233"/>
    </row>
    <row r="254" ht="15.75" customHeight="1">
      <c r="A254" s="233"/>
      <c r="B254" s="233"/>
      <c r="C254" s="233"/>
      <c r="D254" s="233"/>
      <c r="E254" s="233"/>
      <c r="F254" s="233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  <c r="AA254" s="233"/>
    </row>
    <row r="255" ht="15.75" customHeight="1">
      <c r="A255" s="233"/>
      <c r="B255" s="233"/>
      <c r="C255" s="233"/>
      <c r="D255" s="233"/>
      <c r="E255" s="233"/>
      <c r="F255" s="233"/>
      <c r="G255" s="233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  <c r="AA255" s="233"/>
    </row>
    <row r="256" ht="15.75" customHeight="1">
      <c r="A256" s="233"/>
      <c r="B256" s="233"/>
      <c r="C256" s="233"/>
      <c r="D256" s="233"/>
      <c r="E256" s="233"/>
      <c r="F256" s="233"/>
      <c r="G256" s="233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  <c r="AA256" s="233"/>
    </row>
    <row r="257" ht="15.75" customHeight="1">
      <c r="A257" s="233"/>
      <c r="B257" s="233"/>
      <c r="C257" s="233"/>
      <c r="D257" s="233"/>
      <c r="E257" s="233"/>
      <c r="F257" s="233"/>
      <c r="G257" s="233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  <c r="AA257" s="233"/>
    </row>
    <row r="258" ht="15.75" customHeight="1">
      <c r="A258" s="233"/>
      <c r="B258" s="233"/>
      <c r="C258" s="233"/>
      <c r="D258" s="233"/>
      <c r="E258" s="233"/>
      <c r="F258" s="233"/>
      <c r="G258" s="233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  <c r="AA258" s="233"/>
    </row>
    <row r="259" ht="15.75" customHeight="1">
      <c r="A259" s="233"/>
      <c r="B259" s="233"/>
      <c r="C259" s="233"/>
      <c r="D259" s="233"/>
      <c r="E259" s="233"/>
      <c r="F259" s="233"/>
      <c r="G259" s="233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  <c r="AA259" s="233"/>
    </row>
    <row r="260" ht="15.75" customHeight="1">
      <c r="A260" s="233"/>
      <c r="B260" s="233"/>
      <c r="C260" s="233"/>
      <c r="D260" s="233"/>
      <c r="E260" s="233"/>
      <c r="F260" s="233"/>
      <c r="G260" s="233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  <c r="AA260" s="233"/>
    </row>
    <row r="261" ht="15.75" customHeight="1">
      <c r="A261" s="233"/>
      <c r="B261" s="233"/>
      <c r="C261" s="233"/>
      <c r="D261" s="233"/>
      <c r="E261" s="233"/>
      <c r="F261" s="233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  <c r="AA261" s="233"/>
    </row>
    <row r="262" ht="15.75" customHeight="1">
      <c r="A262" s="233"/>
      <c r="B262" s="233"/>
      <c r="C262" s="233"/>
      <c r="D262" s="233"/>
      <c r="E262" s="233"/>
      <c r="F262" s="233"/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  <c r="AA262" s="233"/>
    </row>
    <row r="263" ht="15.75" customHeight="1">
      <c r="A263" s="233"/>
      <c r="B263" s="233"/>
      <c r="C263" s="233"/>
      <c r="D263" s="233"/>
      <c r="E263" s="233"/>
      <c r="F263" s="233"/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  <c r="AA263" s="233"/>
    </row>
    <row r="264" ht="15.75" customHeight="1">
      <c r="A264" s="233"/>
      <c r="B264" s="233"/>
      <c r="C264" s="233"/>
      <c r="D264" s="233"/>
      <c r="E264" s="233"/>
      <c r="F264" s="233"/>
      <c r="G264" s="233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  <c r="AA264" s="233"/>
    </row>
    <row r="265" ht="15.75" customHeight="1">
      <c r="A265" s="233"/>
      <c r="B265" s="233"/>
      <c r="C265" s="233"/>
      <c r="D265" s="233"/>
      <c r="E265" s="233"/>
      <c r="F265" s="233"/>
      <c r="G265" s="233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  <c r="AA265" s="233"/>
    </row>
    <row r="266" ht="15.75" customHeight="1">
      <c r="A266" s="233"/>
      <c r="B266" s="233"/>
      <c r="C266" s="233"/>
      <c r="D266" s="233"/>
      <c r="E266" s="233"/>
      <c r="F266" s="233"/>
      <c r="G266" s="233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  <c r="AA266" s="233"/>
    </row>
    <row r="267" ht="15.75" customHeight="1">
      <c r="A267" s="233"/>
      <c r="B267" s="233"/>
      <c r="C267" s="233"/>
      <c r="D267" s="233"/>
      <c r="E267" s="233"/>
      <c r="F267" s="233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  <c r="AA267" s="233"/>
    </row>
    <row r="268" ht="15.75" customHeight="1">
      <c r="A268" s="233"/>
      <c r="B268" s="233"/>
      <c r="C268" s="233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  <c r="AA268" s="233"/>
    </row>
    <row r="269" ht="15.75" customHeight="1">
      <c r="A269" s="233"/>
      <c r="B269" s="233"/>
      <c r="C269" s="233"/>
      <c r="D269" s="233"/>
      <c r="E269" s="233"/>
      <c r="F269" s="233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  <c r="AA269" s="233"/>
    </row>
    <row r="270" ht="15.75" customHeight="1">
      <c r="A270" s="233"/>
      <c r="B270" s="233"/>
      <c r="C270" s="233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  <c r="AA270" s="233"/>
    </row>
    <row r="271" ht="15.75" customHeight="1">
      <c r="A271" s="233"/>
      <c r="B271" s="233"/>
      <c r="C271" s="233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  <c r="AA271" s="233"/>
    </row>
    <row r="272" ht="15.75" customHeight="1">
      <c r="A272" s="233"/>
      <c r="B272" s="233"/>
      <c r="C272" s="233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  <c r="AA272" s="233"/>
    </row>
    <row r="273" ht="15.75" customHeight="1">
      <c r="A273" s="233"/>
      <c r="B273" s="233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  <c r="AA273" s="233"/>
    </row>
    <row r="274" ht="15.75" customHeight="1">
      <c r="A274" s="233"/>
      <c r="B274" s="233"/>
      <c r="C274" s="233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  <c r="AA274" s="233"/>
    </row>
    <row r="275" ht="15.75" customHeight="1">
      <c r="A275" s="233"/>
      <c r="B275" s="233"/>
      <c r="C275" s="233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  <c r="AA275" s="233"/>
    </row>
    <row r="276" ht="15.75" customHeight="1">
      <c r="A276" s="233"/>
      <c r="B276" s="233"/>
      <c r="C276" s="233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  <c r="AA276" s="233"/>
    </row>
    <row r="277" ht="15.75" customHeight="1">
      <c r="A277" s="233"/>
      <c r="B277" s="233"/>
      <c r="C277" s="233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  <c r="AA277" s="233"/>
    </row>
    <row r="278" ht="15.75" customHeight="1">
      <c r="A278" s="233"/>
      <c r="B278" s="233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  <c r="AA278" s="233"/>
    </row>
    <row r="279" ht="15.75" customHeight="1">
      <c r="A279" s="233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  <c r="AA279" s="233"/>
    </row>
    <row r="280" ht="15.75" customHeight="1">
      <c r="A280" s="233"/>
      <c r="B280" s="233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  <c r="AA280" s="233"/>
    </row>
    <row r="281" ht="15.75" customHeight="1">
      <c r="A281" s="233"/>
      <c r="B281" s="233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  <c r="AA281" s="233"/>
    </row>
    <row r="282" ht="15.75" customHeight="1">
      <c r="A282" s="233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  <c r="AA282" s="233"/>
    </row>
    <row r="283" ht="15.75" customHeight="1">
      <c r="A283" s="233"/>
      <c r="B283" s="233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  <c r="AA283" s="233"/>
    </row>
    <row r="284" ht="15.75" customHeight="1">
      <c r="A284" s="233"/>
      <c r="B284" s="233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  <c r="AA284" s="233"/>
    </row>
    <row r="285" ht="15.75" customHeight="1">
      <c r="A285" s="233"/>
      <c r="B285" s="233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  <c r="AA285" s="233"/>
    </row>
    <row r="286" ht="15.75" customHeight="1">
      <c r="A286" s="233"/>
      <c r="B286" s="233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  <c r="AA286" s="233"/>
    </row>
    <row r="287" ht="15.75" customHeight="1">
      <c r="A287" s="233"/>
      <c r="B287" s="233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  <c r="AA287" s="233"/>
    </row>
    <row r="288" ht="15.75" customHeight="1">
      <c r="A288" s="233"/>
      <c r="B288" s="233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  <c r="AA288" s="233"/>
    </row>
    <row r="289" ht="15.75" customHeight="1">
      <c r="A289" s="233"/>
      <c r="B289" s="233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  <c r="AA289" s="233"/>
    </row>
    <row r="290" ht="15.75" customHeight="1">
      <c r="A290" s="233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  <c r="AA290" s="233"/>
    </row>
    <row r="291" ht="15.75" customHeight="1">
      <c r="A291" s="233"/>
      <c r="B291" s="233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  <c r="AA291" s="233"/>
    </row>
    <row r="292" ht="15.75" customHeight="1">
      <c r="A292" s="233"/>
      <c r="B292" s="233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  <c r="AA292" s="233"/>
    </row>
    <row r="293" ht="15.75" customHeight="1">
      <c r="A293" s="233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  <c r="AA293" s="233"/>
    </row>
    <row r="294" ht="15.75" customHeight="1">
      <c r="A294" s="233"/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  <c r="AA294" s="233"/>
    </row>
    <row r="295" ht="15.75" customHeight="1">
      <c r="A295" s="233"/>
      <c r="B295" s="233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  <c r="AA295" s="233"/>
    </row>
    <row r="296" ht="15.75" customHeight="1">
      <c r="A296" s="233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  <c r="AA296" s="233"/>
    </row>
    <row r="297" ht="15.75" customHeight="1">
      <c r="A297" s="233"/>
      <c r="B297" s="233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  <c r="AA297" s="233"/>
    </row>
    <row r="298" ht="15.75" customHeight="1">
      <c r="A298" s="233"/>
      <c r="B298" s="233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  <c r="AA298" s="233"/>
    </row>
    <row r="299" ht="15.75" customHeight="1">
      <c r="A299" s="233"/>
      <c r="B299" s="233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  <c r="AA299" s="233"/>
    </row>
    <row r="300" ht="15.75" customHeight="1">
      <c r="A300" s="233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  <c r="AA300" s="233"/>
    </row>
    <row r="301" ht="15.75" customHeight="1">
      <c r="A301" s="233"/>
      <c r="B301" s="233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  <c r="AA301" s="233"/>
    </row>
    <row r="302" ht="15.75" customHeight="1">
      <c r="A302" s="233"/>
      <c r="B302" s="233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  <c r="AA302" s="233"/>
    </row>
    <row r="303" ht="15.75" customHeight="1">
      <c r="A303" s="233"/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  <c r="AA303" s="233"/>
    </row>
    <row r="304" ht="15.75" customHeight="1">
      <c r="A304" s="233"/>
      <c r="B304" s="233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  <c r="AA304" s="233"/>
    </row>
    <row r="305" ht="15.75" customHeight="1">
      <c r="A305" s="233"/>
      <c r="B305" s="233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  <c r="AA305" s="233"/>
    </row>
    <row r="306" ht="15.75" customHeight="1">
      <c r="A306" s="233"/>
      <c r="B306" s="233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  <c r="AA306" s="233"/>
    </row>
    <row r="307" ht="15.75" customHeight="1">
      <c r="A307" s="233"/>
      <c r="B307" s="233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  <c r="AA307" s="233"/>
    </row>
    <row r="308" ht="15.75" customHeight="1">
      <c r="A308" s="233"/>
      <c r="B308" s="233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  <c r="AA308" s="233"/>
    </row>
    <row r="309" ht="15.75" customHeight="1">
      <c r="A309" s="233"/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  <c r="AA309" s="233"/>
    </row>
    <row r="310" ht="15.75" customHeight="1">
      <c r="A310" s="233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  <c r="AA310" s="233"/>
    </row>
    <row r="311" ht="15.75" customHeight="1">
      <c r="A311" s="233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  <c r="AA311" s="233"/>
    </row>
    <row r="312" ht="15.75" customHeight="1">
      <c r="A312" s="233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  <c r="AA312" s="233"/>
    </row>
    <row r="313" ht="15.75" customHeight="1">
      <c r="A313" s="233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  <c r="AA313" s="233"/>
    </row>
    <row r="314" ht="15.75" customHeight="1">
      <c r="A314" s="233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  <c r="AA314" s="233"/>
    </row>
    <row r="315" ht="15.75" customHeight="1">
      <c r="A315" s="233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  <c r="AA315" s="233"/>
    </row>
    <row r="316" ht="15.75" customHeight="1">
      <c r="A316" s="233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  <c r="AA316" s="233"/>
    </row>
    <row r="317" ht="15.75" customHeight="1">
      <c r="A317" s="233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  <c r="AA317" s="233"/>
    </row>
    <row r="318" ht="15.75" customHeight="1">
      <c r="A318" s="233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  <c r="AA318" s="233"/>
    </row>
    <row r="319" ht="15.75" customHeight="1">
      <c r="A319" s="233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  <c r="AA319" s="233"/>
    </row>
    <row r="320" ht="15.75" customHeight="1">
      <c r="A320" s="233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  <c r="AA320" s="233"/>
    </row>
    <row r="321" ht="15.75" customHeight="1">
      <c r="A321" s="233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  <c r="AA321" s="233"/>
    </row>
    <row r="322" ht="15.75" customHeight="1">
      <c r="A322" s="233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  <c r="AA322" s="233"/>
    </row>
    <row r="323" ht="15.75" customHeight="1">
      <c r="A323" s="233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  <c r="AA323" s="233"/>
    </row>
    <row r="324" ht="15.75" customHeight="1">
      <c r="A324" s="233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  <c r="AA324" s="233"/>
    </row>
    <row r="325" ht="15.75" customHeight="1">
      <c r="A325" s="233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  <c r="AA325" s="233"/>
    </row>
    <row r="326" ht="15.75" customHeight="1">
      <c r="A326" s="233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  <c r="AA326" s="233"/>
    </row>
    <row r="327" ht="15.75" customHeight="1">
      <c r="A327" s="233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  <c r="AA327" s="233"/>
    </row>
    <row r="328" ht="15.75" customHeight="1">
      <c r="A328" s="233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  <c r="AA328" s="233"/>
    </row>
    <row r="329" ht="15.75" customHeight="1">
      <c r="A329" s="233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  <c r="AA329" s="233"/>
    </row>
    <row r="330" ht="15.75" customHeight="1">
      <c r="A330" s="233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  <c r="AA330" s="233"/>
    </row>
    <row r="331" ht="15.75" customHeight="1">
      <c r="A331" s="233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  <c r="AA331" s="233"/>
    </row>
    <row r="332" ht="15.75" customHeight="1">
      <c r="A332" s="233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  <c r="AA332" s="233"/>
    </row>
    <row r="333" ht="15.75" customHeight="1">
      <c r="A333" s="233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  <c r="AA333" s="233"/>
    </row>
    <row r="334" ht="15.75" customHeight="1">
      <c r="A334" s="233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  <c r="AA334" s="233"/>
    </row>
    <row r="335" ht="15.75" customHeight="1">
      <c r="A335" s="233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  <c r="AA335" s="233"/>
    </row>
    <row r="336" ht="15.75" customHeight="1">
      <c r="A336" s="233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  <c r="AA336" s="233"/>
    </row>
    <row r="337" ht="15.75" customHeight="1">
      <c r="A337" s="233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  <c r="AA337" s="233"/>
    </row>
    <row r="338" ht="15.75" customHeight="1">
      <c r="A338" s="233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  <c r="AA338" s="233"/>
    </row>
    <row r="339" ht="15.75" customHeight="1">
      <c r="A339" s="233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  <c r="AA339" s="233"/>
    </row>
    <row r="340" ht="15.75" customHeight="1">
      <c r="A340" s="233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  <c r="AA340" s="233"/>
    </row>
    <row r="341" ht="15.75" customHeight="1">
      <c r="A341" s="233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  <c r="AA341" s="233"/>
    </row>
    <row r="342" ht="15.75" customHeight="1">
      <c r="A342" s="233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  <c r="AA342" s="233"/>
    </row>
    <row r="343" ht="15.75" customHeight="1">
      <c r="A343" s="233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  <c r="AA343" s="233"/>
    </row>
    <row r="344" ht="15.75" customHeight="1">
      <c r="A344" s="233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  <c r="AA344" s="233"/>
    </row>
    <row r="345" ht="15.75" customHeight="1">
      <c r="A345" s="233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  <c r="AA345" s="233"/>
    </row>
    <row r="346" ht="15.75" customHeight="1">
      <c r="A346" s="233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  <c r="AA346" s="233"/>
    </row>
    <row r="347" ht="15.75" customHeight="1">
      <c r="A347" s="233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  <c r="AA347" s="233"/>
    </row>
    <row r="348" ht="15.75" customHeight="1">
      <c r="A348" s="233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  <c r="AA348" s="233"/>
    </row>
    <row r="349" ht="15.75" customHeight="1">
      <c r="A349" s="233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  <c r="AA349" s="233"/>
    </row>
    <row r="350" ht="15.75" customHeight="1">
      <c r="A350" s="233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  <c r="AA350" s="233"/>
    </row>
    <row r="351" ht="15.75" customHeight="1">
      <c r="A351" s="233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  <c r="AA351" s="233"/>
    </row>
    <row r="352" ht="15.75" customHeight="1">
      <c r="A352" s="233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  <c r="AA352" s="233"/>
    </row>
    <row r="353" ht="15.75" customHeight="1">
      <c r="A353" s="233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  <c r="AA353" s="233"/>
    </row>
    <row r="354" ht="15.75" customHeight="1">
      <c r="A354" s="233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  <c r="AA354" s="233"/>
    </row>
    <row r="355" ht="15.75" customHeight="1">
      <c r="A355" s="233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  <c r="AA355" s="233"/>
    </row>
    <row r="356" ht="15.75" customHeight="1">
      <c r="A356" s="233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  <c r="AA356" s="233"/>
    </row>
    <row r="357" ht="15.75" customHeight="1">
      <c r="A357" s="233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  <c r="AA357" s="233"/>
    </row>
    <row r="358" ht="15.75" customHeight="1">
      <c r="A358" s="233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  <c r="AA358" s="233"/>
    </row>
    <row r="359" ht="15.75" customHeight="1">
      <c r="A359" s="233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  <c r="AA359" s="233"/>
    </row>
    <row r="360" ht="15.75" customHeight="1">
      <c r="A360" s="233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  <c r="AA360" s="233"/>
    </row>
    <row r="361" ht="15.75" customHeight="1">
      <c r="A361" s="233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  <c r="AA361" s="233"/>
    </row>
    <row r="362" ht="15.75" customHeight="1">
      <c r="A362" s="233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  <c r="AA362" s="233"/>
    </row>
    <row r="363" ht="15.75" customHeight="1">
      <c r="A363" s="233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  <c r="AA363" s="233"/>
    </row>
    <row r="364" ht="15.75" customHeight="1">
      <c r="A364" s="233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  <c r="AA364" s="233"/>
    </row>
    <row r="365" ht="15.75" customHeight="1">
      <c r="A365" s="233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  <c r="AA365" s="233"/>
    </row>
    <row r="366" ht="15.75" customHeight="1">
      <c r="A366" s="233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  <c r="AA366" s="233"/>
    </row>
    <row r="367" ht="15.75" customHeight="1">
      <c r="A367" s="233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  <c r="AA367" s="233"/>
    </row>
    <row r="368" ht="15.75" customHeight="1">
      <c r="A368" s="233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  <c r="AA368" s="233"/>
    </row>
    <row r="369" ht="15.75" customHeight="1">
      <c r="A369" s="233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  <c r="AA369" s="233"/>
    </row>
    <row r="370" ht="15.75" customHeight="1">
      <c r="A370" s="233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  <c r="AA370" s="233"/>
    </row>
    <row r="371" ht="15.75" customHeight="1">
      <c r="A371" s="233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  <c r="AA371" s="233"/>
    </row>
    <row r="372" ht="15.75" customHeight="1">
      <c r="A372" s="233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  <c r="AA372" s="233"/>
    </row>
    <row r="373" ht="15.75" customHeight="1">
      <c r="A373" s="233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  <c r="AA373" s="233"/>
    </row>
    <row r="374" ht="15.75" customHeight="1">
      <c r="A374" s="233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  <c r="AA374" s="233"/>
    </row>
    <row r="375" ht="15.75" customHeight="1">
      <c r="A375" s="233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  <c r="AA375" s="233"/>
    </row>
    <row r="376" ht="15.75" customHeight="1">
      <c r="A376" s="233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  <c r="AA376" s="233"/>
    </row>
    <row r="377" ht="15.75" customHeight="1">
      <c r="A377" s="233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  <c r="AA377" s="233"/>
    </row>
    <row r="378" ht="15.75" customHeight="1">
      <c r="A378" s="233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  <c r="AA378" s="233"/>
    </row>
    <row r="379" ht="15.75" customHeight="1">
      <c r="A379" s="233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  <c r="AA379" s="233"/>
    </row>
    <row r="380" ht="15.75" customHeight="1">
      <c r="A380" s="233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  <c r="AA380" s="233"/>
    </row>
    <row r="381" ht="15.75" customHeight="1">
      <c r="A381" s="233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  <c r="AA381" s="233"/>
    </row>
    <row r="382" ht="15.75" customHeight="1">
      <c r="A382" s="233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  <c r="AA382" s="233"/>
    </row>
    <row r="383" ht="15.75" customHeight="1">
      <c r="A383" s="233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  <c r="AA383" s="233"/>
    </row>
    <row r="384" ht="15.75" customHeight="1">
      <c r="A384" s="233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  <c r="AA384" s="233"/>
    </row>
    <row r="385" ht="15.75" customHeight="1">
      <c r="A385" s="233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  <c r="AA385" s="233"/>
    </row>
    <row r="386" ht="15.75" customHeight="1">
      <c r="A386" s="233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  <c r="AA386" s="233"/>
    </row>
    <row r="387" ht="15.75" customHeight="1">
      <c r="A387" s="233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  <c r="AA387" s="233"/>
    </row>
    <row r="388" ht="15.75" customHeight="1">
      <c r="A388" s="233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  <c r="AA388" s="233"/>
    </row>
    <row r="389" ht="15.75" customHeight="1">
      <c r="A389" s="233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  <c r="AA389" s="233"/>
    </row>
    <row r="390" ht="15.75" customHeight="1">
      <c r="A390" s="233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  <c r="AA390" s="233"/>
    </row>
    <row r="391" ht="15.75" customHeight="1">
      <c r="A391" s="233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  <c r="AA391" s="233"/>
    </row>
    <row r="392" ht="15.75" customHeight="1">
      <c r="A392" s="233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  <c r="AA392" s="233"/>
    </row>
    <row r="393" ht="15.75" customHeight="1">
      <c r="A393" s="233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  <c r="AA393" s="233"/>
    </row>
    <row r="394" ht="15.75" customHeight="1">
      <c r="A394" s="233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  <c r="AA394" s="233"/>
    </row>
    <row r="395" ht="15.75" customHeight="1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  <c r="AA395" s="233"/>
    </row>
    <row r="396" ht="15.75" customHeight="1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  <c r="AA396" s="233"/>
    </row>
    <row r="397" ht="15.75" customHeight="1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  <c r="AA397" s="233"/>
    </row>
    <row r="398" ht="15.75" customHeight="1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  <c r="AA398" s="233"/>
    </row>
    <row r="399" ht="15.75" customHeight="1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  <c r="AA399" s="233"/>
    </row>
    <row r="400" ht="15.75" customHeight="1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  <c r="AA400" s="233"/>
    </row>
    <row r="401" ht="15.75" customHeight="1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  <c r="AA401" s="233"/>
    </row>
    <row r="402" ht="15.75" customHeight="1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  <c r="AA402" s="233"/>
    </row>
    <row r="403" ht="15.75" customHeight="1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  <c r="AA403" s="233"/>
    </row>
    <row r="404" ht="15.75" customHeight="1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  <c r="AA404" s="233"/>
    </row>
    <row r="405" ht="15.75" customHeight="1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  <c r="AA405" s="233"/>
    </row>
    <row r="406" ht="15.75" customHeight="1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  <c r="AA406" s="233"/>
    </row>
    <row r="407" ht="15.75" customHeight="1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  <c r="AA407" s="233"/>
    </row>
    <row r="408" ht="15.75" customHeight="1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  <c r="AA408" s="233"/>
    </row>
    <row r="409" ht="15.75" customHeight="1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  <c r="AA409" s="233"/>
    </row>
    <row r="410" ht="15.75" customHeight="1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  <c r="AA410" s="233"/>
    </row>
    <row r="411" ht="15.75" customHeight="1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  <c r="AA411" s="233"/>
    </row>
    <row r="412" ht="15.75" customHeight="1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  <c r="AA412" s="233"/>
    </row>
    <row r="413" ht="15.75" customHeight="1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  <c r="AA413" s="233"/>
    </row>
    <row r="414" ht="15.75" customHeight="1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  <c r="AA414" s="233"/>
    </row>
    <row r="415" ht="15.75" customHeight="1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  <c r="AA415" s="233"/>
    </row>
    <row r="416" ht="15.75" customHeight="1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  <c r="AA416" s="233"/>
    </row>
    <row r="417" ht="15.75" customHeight="1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  <c r="AA417" s="233"/>
    </row>
    <row r="418" ht="15.75" customHeight="1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  <c r="AA418" s="233"/>
    </row>
    <row r="419" ht="15.75" customHeight="1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  <c r="AA419" s="233"/>
    </row>
    <row r="420" ht="15.75" customHeight="1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  <c r="AA420" s="233"/>
    </row>
    <row r="421" ht="15.75" customHeight="1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  <c r="AA421" s="233"/>
    </row>
    <row r="422" ht="15.75" customHeight="1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  <c r="AA422" s="233"/>
    </row>
    <row r="423" ht="15.75" customHeight="1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  <c r="AA423" s="233"/>
    </row>
    <row r="424" ht="15.75" customHeight="1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  <c r="AA424" s="233"/>
    </row>
    <row r="425" ht="15.75" customHeight="1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  <c r="AA425" s="233"/>
    </row>
    <row r="426" ht="15.75" customHeight="1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  <c r="AA426" s="233"/>
    </row>
    <row r="427" ht="15.75" customHeight="1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  <c r="AA427" s="233"/>
    </row>
    <row r="428" ht="15.75" customHeight="1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  <c r="AA428" s="233"/>
    </row>
    <row r="429" ht="15.75" customHeight="1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  <c r="AA429" s="233"/>
    </row>
    <row r="430" ht="15.75" customHeight="1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  <c r="AA430" s="233"/>
    </row>
    <row r="431" ht="15.75" customHeight="1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  <c r="AA431" s="233"/>
    </row>
    <row r="432" ht="15.75" customHeight="1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  <c r="AA432" s="233"/>
    </row>
    <row r="433" ht="15.75" customHeight="1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  <c r="AA433" s="233"/>
    </row>
    <row r="434" ht="15.75" customHeight="1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  <c r="AA434" s="233"/>
    </row>
    <row r="435" ht="15.75" customHeight="1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  <c r="AA435" s="233"/>
    </row>
    <row r="436" ht="15.75" customHeight="1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  <c r="AA436" s="233"/>
    </row>
    <row r="437" ht="15.75" customHeight="1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  <c r="AA437" s="233"/>
    </row>
    <row r="438" ht="15.75" customHeight="1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  <c r="AA438" s="233"/>
    </row>
    <row r="439" ht="15.75" customHeight="1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  <c r="AA439" s="233"/>
    </row>
    <row r="440" ht="15.75" customHeight="1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  <c r="AA440" s="233"/>
    </row>
    <row r="441" ht="15.75" customHeight="1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  <c r="AA441" s="233"/>
    </row>
    <row r="442" ht="15.75" customHeight="1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  <c r="AA442" s="233"/>
    </row>
    <row r="443" ht="15.75" customHeight="1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  <c r="AA443" s="233"/>
    </row>
    <row r="444" ht="15.75" customHeight="1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  <c r="AA444" s="233"/>
    </row>
    <row r="445" ht="15.75" customHeight="1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  <c r="AA445" s="233"/>
    </row>
    <row r="446" ht="15.75" customHeight="1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  <c r="AA446" s="233"/>
    </row>
    <row r="447" ht="15.75" customHeight="1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  <c r="AA447" s="233"/>
    </row>
    <row r="448" ht="15.75" customHeight="1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  <c r="AA448" s="233"/>
    </row>
    <row r="449" ht="15.75" customHeight="1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  <c r="AA449" s="233"/>
    </row>
    <row r="450" ht="15.75" customHeight="1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  <c r="AA450" s="233"/>
    </row>
    <row r="451" ht="15.75" customHeight="1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  <c r="AA451" s="233"/>
    </row>
    <row r="452" ht="15.75" customHeight="1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  <c r="AA452" s="233"/>
    </row>
    <row r="453" ht="15.75" customHeight="1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  <c r="AA453" s="233"/>
    </row>
    <row r="454" ht="15.75" customHeight="1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  <c r="AA454" s="233"/>
    </row>
    <row r="455" ht="15.75" customHeight="1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  <c r="AA455" s="233"/>
    </row>
    <row r="456" ht="15.75" customHeight="1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  <c r="AA456" s="233"/>
    </row>
    <row r="457" ht="15.75" customHeight="1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  <c r="AA457" s="233"/>
    </row>
    <row r="458" ht="15.75" customHeight="1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  <c r="AA458" s="233"/>
    </row>
    <row r="459" ht="15.75" customHeight="1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  <c r="AA459" s="233"/>
    </row>
    <row r="460" ht="15.75" customHeight="1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  <c r="AA460" s="233"/>
    </row>
    <row r="461" ht="15.75" customHeight="1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  <c r="AA461" s="233"/>
    </row>
    <row r="462" ht="15.75" customHeight="1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  <c r="AA462" s="233"/>
    </row>
    <row r="463" ht="15.75" customHeight="1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  <c r="AA463" s="233"/>
    </row>
    <row r="464" ht="15.75" customHeight="1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  <c r="AA464" s="233"/>
    </row>
    <row r="465" ht="15.75" customHeight="1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  <c r="AA465" s="233"/>
    </row>
    <row r="466" ht="15.75" customHeight="1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  <c r="AA466" s="233"/>
    </row>
    <row r="467" ht="15.75" customHeight="1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  <c r="AA467" s="233"/>
    </row>
    <row r="468" ht="15.75" customHeight="1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  <c r="AA468" s="233"/>
    </row>
    <row r="469" ht="15.75" customHeight="1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  <c r="AA469" s="233"/>
    </row>
    <row r="470" ht="15.75" customHeight="1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  <c r="AA470" s="233"/>
    </row>
    <row r="471" ht="15.75" customHeight="1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  <c r="AA471" s="233"/>
    </row>
    <row r="472" ht="15.75" customHeight="1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  <c r="AA472" s="233"/>
    </row>
    <row r="473" ht="15.75" customHeight="1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  <c r="AA473" s="233"/>
    </row>
    <row r="474" ht="15.75" customHeight="1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  <c r="AA474" s="233"/>
    </row>
    <row r="475" ht="15.75" customHeight="1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  <c r="AA475" s="233"/>
    </row>
    <row r="476" ht="15.75" customHeight="1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  <c r="AA476" s="233"/>
    </row>
    <row r="477" ht="15.75" customHeight="1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  <c r="AA477" s="233"/>
    </row>
    <row r="478" ht="15.75" customHeight="1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  <c r="AA478" s="233"/>
    </row>
    <row r="479" ht="15.75" customHeight="1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  <c r="AA479" s="233"/>
    </row>
    <row r="480" ht="15.75" customHeight="1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  <c r="AA480" s="233"/>
    </row>
    <row r="481" ht="15.75" customHeight="1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  <c r="AA481" s="233"/>
    </row>
    <row r="482" ht="15.75" customHeight="1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  <c r="AA482" s="233"/>
    </row>
    <row r="483" ht="15.75" customHeight="1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  <c r="AA483" s="233"/>
    </row>
    <row r="484" ht="15.75" customHeight="1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  <c r="AA484" s="233"/>
    </row>
    <row r="485" ht="15.75" customHeight="1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  <c r="AA485" s="233"/>
    </row>
    <row r="486" ht="15.75" customHeight="1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  <c r="AA486" s="233"/>
    </row>
    <row r="487" ht="15.75" customHeight="1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  <c r="AA487" s="233"/>
    </row>
    <row r="488" ht="15.75" customHeight="1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  <c r="AA488" s="233"/>
    </row>
    <row r="489" ht="15.75" customHeight="1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  <c r="AA489" s="233"/>
    </row>
    <row r="490" ht="15.75" customHeight="1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  <c r="AA490" s="233"/>
    </row>
    <row r="491" ht="15.75" customHeight="1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  <c r="AA491" s="233"/>
    </row>
    <row r="492" ht="15.75" customHeight="1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  <c r="AA492" s="233"/>
    </row>
    <row r="493" ht="15.75" customHeight="1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  <c r="AA493" s="233"/>
    </row>
    <row r="494" ht="15.75" customHeight="1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  <c r="AA494" s="233"/>
    </row>
    <row r="495" ht="15.75" customHeight="1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  <c r="AA495" s="233"/>
    </row>
    <row r="496" ht="15.75" customHeight="1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  <c r="AA496" s="233"/>
    </row>
    <row r="497" ht="15.75" customHeight="1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  <c r="AA497" s="233"/>
    </row>
    <row r="498" ht="15.75" customHeight="1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  <c r="AA498" s="233"/>
    </row>
    <row r="499" ht="15.75" customHeight="1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  <c r="AA499" s="233"/>
    </row>
    <row r="500" ht="15.75" customHeight="1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  <c r="AA500" s="233"/>
    </row>
    <row r="501" ht="15.75" customHeight="1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  <c r="AA501" s="233"/>
    </row>
    <row r="502" ht="15.75" customHeight="1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  <c r="AA502" s="233"/>
    </row>
    <row r="503" ht="15.75" customHeight="1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  <c r="AA503" s="233"/>
    </row>
    <row r="504" ht="15.75" customHeight="1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  <c r="AA504" s="233"/>
    </row>
    <row r="505" ht="15.75" customHeight="1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  <c r="AA505" s="233"/>
    </row>
    <row r="506" ht="15.75" customHeight="1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  <c r="AA506" s="233"/>
    </row>
    <row r="507" ht="15.75" customHeight="1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  <c r="AA507" s="233"/>
    </row>
    <row r="508" ht="15.75" customHeight="1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  <c r="AA508" s="233"/>
    </row>
    <row r="509" ht="15.75" customHeight="1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  <c r="AA509" s="233"/>
    </row>
    <row r="510" ht="15.75" customHeight="1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  <c r="AA510" s="233"/>
    </row>
    <row r="511" ht="15.75" customHeight="1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  <c r="AA511" s="233"/>
    </row>
    <row r="512" ht="15.75" customHeight="1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  <c r="AA512" s="233"/>
    </row>
    <row r="513" ht="15.75" customHeight="1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  <c r="AA513" s="233"/>
    </row>
    <row r="514" ht="15.75" customHeight="1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  <c r="AA514" s="233"/>
    </row>
    <row r="515" ht="15.75" customHeight="1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  <c r="AA515" s="233"/>
    </row>
    <row r="516" ht="15.75" customHeight="1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  <c r="AA516" s="233"/>
    </row>
    <row r="517" ht="15.75" customHeight="1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  <c r="AA517" s="233"/>
    </row>
    <row r="518" ht="15.75" customHeight="1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  <c r="AA518" s="233"/>
    </row>
    <row r="519" ht="15.75" customHeight="1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  <c r="AA519" s="233"/>
    </row>
    <row r="520" ht="15.75" customHeight="1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  <c r="AA520" s="233"/>
    </row>
    <row r="521" ht="15.75" customHeight="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  <c r="AA521" s="233"/>
    </row>
    <row r="522" ht="15.75" customHeight="1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  <c r="AA522" s="233"/>
    </row>
    <row r="523" ht="15.75" customHeight="1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  <c r="AA523" s="233"/>
    </row>
    <row r="524" ht="15.75" customHeight="1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  <c r="AA524" s="233"/>
    </row>
    <row r="525" ht="15.75" customHeight="1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  <c r="AA525" s="233"/>
    </row>
    <row r="526" ht="15.75" customHeight="1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  <c r="AA526" s="233"/>
    </row>
    <row r="527" ht="15.75" customHeight="1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  <c r="AA527" s="233"/>
    </row>
    <row r="528" ht="15.75" customHeight="1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  <c r="AA528" s="233"/>
    </row>
    <row r="529" ht="15.75" customHeight="1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  <c r="AA529" s="233"/>
    </row>
    <row r="530" ht="15.75" customHeight="1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  <c r="AA530" s="233"/>
    </row>
    <row r="531" ht="15.75" customHeight="1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  <c r="AA531" s="233"/>
    </row>
    <row r="532" ht="15.75" customHeight="1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  <c r="AA532" s="233"/>
    </row>
    <row r="533" ht="15.75" customHeight="1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  <c r="AA533" s="233"/>
    </row>
    <row r="534" ht="15.75" customHeight="1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  <c r="AA534" s="233"/>
    </row>
    <row r="535" ht="15.75" customHeight="1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  <c r="AA535" s="233"/>
    </row>
    <row r="536" ht="15.75" customHeight="1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  <c r="AA536" s="233"/>
    </row>
    <row r="537" ht="15.75" customHeight="1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  <c r="AA537" s="233"/>
    </row>
    <row r="538" ht="15.75" customHeight="1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  <c r="AA538" s="233"/>
    </row>
    <row r="539" ht="15.75" customHeight="1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  <c r="AA539" s="233"/>
    </row>
    <row r="540" ht="15.75" customHeight="1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  <c r="AA540" s="233"/>
    </row>
    <row r="541" ht="15.75" customHeight="1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  <c r="AA541" s="233"/>
    </row>
    <row r="542" ht="15.75" customHeight="1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  <c r="AA542" s="233"/>
    </row>
    <row r="543" ht="15.75" customHeight="1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  <c r="AA543" s="233"/>
    </row>
    <row r="544" ht="15.75" customHeight="1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  <c r="AA544" s="233"/>
    </row>
    <row r="545" ht="15.75" customHeight="1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  <c r="AA545" s="233"/>
    </row>
    <row r="546" ht="15.75" customHeight="1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  <c r="AA546" s="233"/>
    </row>
    <row r="547" ht="15.75" customHeight="1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  <c r="AA547" s="233"/>
    </row>
    <row r="548" ht="15.75" customHeight="1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  <c r="AA548" s="233"/>
    </row>
    <row r="549" ht="15.75" customHeight="1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  <c r="AA549" s="233"/>
    </row>
    <row r="550" ht="15.75" customHeight="1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  <c r="AA550" s="233"/>
    </row>
    <row r="551" ht="15.75" customHeight="1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  <c r="AA551" s="233"/>
    </row>
    <row r="552" ht="15.75" customHeight="1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  <c r="AA552" s="233"/>
    </row>
    <row r="553" ht="15.75" customHeight="1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  <c r="AA553" s="233"/>
    </row>
    <row r="554" ht="15.75" customHeight="1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  <c r="AA554" s="233"/>
    </row>
    <row r="555" ht="15.75" customHeight="1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  <c r="AA555" s="233"/>
    </row>
    <row r="556" ht="15.75" customHeight="1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  <c r="AA556" s="233"/>
    </row>
    <row r="557" ht="15.75" customHeight="1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  <c r="AA557" s="233"/>
    </row>
    <row r="558" ht="15.75" customHeight="1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  <c r="AA558" s="233"/>
    </row>
    <row r="559" ht="15.75" customHeight="1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  <c r="AA559" s="233"/>
    </row>
    <row r="560" ht="15.75" customHeight="1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  <c r="AA560" s="233"/>
    </row>
    <row r="561" ht="15.75" customHeight="1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  <c r="AA561" s="233"/>
    </row>
    <row r="562" ht="15.75" customHeight="1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  <c r="AA562" s="233"/>
    </row>
    <row r="563" ht="15.75" customHeight="1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  <c r="AA563" s="233"/>
    </row>
    <row r="564" ht="15.75" customHeight="1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  <c r="AA564" s="233"/>
    </row>
    <row r="565" ht="15.75" customHeight="1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  <c r="AA565" s="233"/>
    </row>
    <row r="566" ht="15.75" customHeight="1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  <c r="AA566" s="233"/>
    </row>
    <row r="567" ht="15.75" customHeight="1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  <c r="AA567" s="233"/>
    </row>
    <row r="568" ht="15.75" customHeight="1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  <c r="AA568" s="233"/>
    </row>
    <row r="569" ht="15.75" customHeight="1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  <c r="AA569" s="233"/>
    </row>
    <row r="570" ht="15.75" customHeight="1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  <c r="AA570" s="233"/>
    </row>
    <row r="571" ht="15.75" customHeight="1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  <c r="AA571" s="233"/>
    </row>
    <row r="572" ht="15.75" customHeight="1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  <c r="AA572" s="233"/>
    </row>
    <row r="573" ht="15.75" customHeight="1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  <c r="AA573" s="233"/>
    </row>
    <row r="574" ht="15.75" customHeight="1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  <c r="AA574" s="233"/>
    </row>
    <row r="575" ht="15.75" customHeight="1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  <c r="AA575" s="233"/>
    </row>
    <row r="576" ht="15.75" customHeight="1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  <c r="AA576" s="233"/>
    </row>
    <row r="577" ht="15.75" customHeight="1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  <c r="AA577" s="233"/>
    </row>
    <row r="578" ht="15.75" customHeight="1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  <c r="AA578" s="233"/>
    </row>
    <row r="579" ht="15.75" customHeight="1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  <c r="AA579" s="233"/>
    </row>
    <row r="580" ht="15.75" customHeight="1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  <c r="AA580" s="233"/>
    </row>
    <row r="581" ht="15.75" customHeight="1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  <c r="AA581" s="233"/>
    </row>
    <row r="582" ht="15.75" customHeight="1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  <c r="AA582" s="233"/>
    </row>
    <row r="583" ht="15.75" customHeight="1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  <c r="AA583" s="233"/>
    </row>
    <row r="584" ht="15.75" customHeight="1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  <c r="AA584" s="233"/>
    </row>
    <row r="585" ht="15.75" customHeight="1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  <c r="AA585" s="233"/>
    </row>
    <row r="586" ht="15.75" customHeight="1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  <c r="AA586" s="233"/>
    </row>
    <row r="587" ht="15.75" customHeight="1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  <c r="AA587" s="233"/>
    </row>
    <row r="588" ht="15.75" customHeight="1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  <c r="AA588" s="233"/>
    </row>
    <row r="589" ht="15.75" customHeight="1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  <c r="AA589" s="233"/>
    </row>
    <row r="590" ht="15.75" customHeight="1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  <c r="AA590" s="233"/>
    </row>
    <row r="591" ht="15.75" customHeight="1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  <c r="AA591" s="233"/>
    </row>
    <row r="592" ht="15.75" customHeight="1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  <c r="AA592" s="233"/>
    </row>
    <row r="593" ht="15.75" customHeight="1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  <c r="AA593" s="233"/>
    </row>
    <row r="594" ht="15.75" customHeight="1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  <c r="AA594" s="233"/>
    </row>
    <row r="595" ht="15.75" customHeight="1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  <c r="AA595" s="233"/>
    </row>
    <row r="596" ht="15.75" customHeight="1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  <c r="AA596" s="233"/>
    </row>
    <row r="597" ht="15.75" customHeight="1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  <c r="AA597" s="233"/>
    </row>
    <row r="598" ht="15.75" customHeight="1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  <c r="AA598" s="233"/>
    </row>
    <row r="599" ht="15.75" customHeight="1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  <c r="AA599" s="233"/>
    </row>
    <row r="600" ht="15.75" customHeight="1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  <c r="AA600" s="233"/>
    </row>
    <row r="601" ht="15.75" customHeight="1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  <c r="AA601" s="233"/>
    </row>
    <row r="602" ht="15.75" customHeight="1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  <c r="AA602" s="233"/>
    </row>
    <row r="603" ht="15.75" customHeight="1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  <c r="AA603" s="233"/>
    </row>
    <row r="604" ht="15.75" customHeight="1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  <c r="AA604" s="233"/>
    </row>
    <row r="605" ht="15.75" customHeight="1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  <c r="AA605" s="233"/>
    </row>
    <row r="606" ht="15.75" customHeight="1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  <c r="AA606" s="233"/>
    </row>
    <row r="607" ht="15.75" customHeight="1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  <c r="AA607" s="233"/>
    </row>
    <row r="608" ht="15.75" customHeight="1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  <c r="AA608" s="233"/>
    </row>
    <row r="609" ht="15.75" customHeight="1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  <c r="AA609" s="233"/>
    </row>
    <row r="610" ht="15.75" customHeight="1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  <c r="AA610" s="233"/>
    </row>
    <row r="611" ht="15.75" customHeight="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  <c r="AA611" s="233"/>
    </row>
    <row r="612" ht="15.75" customHeight="1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  <c r="AA612" s="233"/>
    </row>
    <row r="613" ht="15.75" customHeight="1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  <c r="AA613" s="233"/>
    </row>
    <row r="614" ht="15.75" customHeight="1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  <c r="AA614" s="233"/>
    </row>
    <row r="615" ht="15.75" customHeight="1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  <c r="AA615" s="233"/>
    </row>
    <row r="616" ht="15.75" customHeight="1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  <c r="AA616" s="233"/>
    </row>
    <row r="617" ht="15.75" customHeight="1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  <c r="AA617" s="233"/>
    </row>
    <row r="618" ht="15.75" customHeight="1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  <c r="AA618" s="233"/>
    </row>
    <row r="619" ht="15.75" customHeight="1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  <c r="AA619" s="233"/>
    </row>
    <row r="620" ht="15.75" customHeight="1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  <c r="AA620" s="233"/>
    </row>
    <row r="621" ht="15.75" customHeight="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  <c r="AA621" s="233"/>
    </row>
    <row r="622" ht="15.75" customHeight="1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  <c r="AA622" s="233"/>
    </row>
    <row r="623" ht="15.75" customHeight="1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  <c r="AA623" s="233"/>
    </row>
    <row r="624" ht="15.75" customHeight="1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  <c r="AA624" s="233"/>
    </row>
    <row r="625" ht="15.75" customHeight="1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  <c r="AA625" s="233"/>
    </row>
    <row r="626" ht="15.75" customHeight="1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  <c r="AA626" s="233"/>
    </row>
    <row r="627" ht="15.75" customHeight="1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  <c r="AA627" s="233"/>
    </row>
    <row r="628" ht="15.75" customHeight="1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  <c r="AA628" s="233"/>
    </row>
    <row r="629" ht="15.75" customHeight="1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  <c r="AA629" s="233"/>
    </row>
    <row r="630" ht="15.75" customHeight="1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  <c r="AA630" s="233"/>
    </row>
    <row r="631" ht="15.75" customHeight="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  <c r="AA631" s="233"/>
    </row>
    <row r="632" ht="15.75" customHeight="1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  <c r="AA632" s="233"/>
    </row>
    <row r="633" ht="15.75" customHeight="1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  <c r="AA633" s="233"/>
    </row>
    <row r="634" ht="15.75" customHeight="1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  <c r="AA634" s="233"/>
    </row>
    <row r="635" ht="15.75" customHeight="1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  <c r="AA635" s="233"/>
    </row>
    <row r="636" ht="15.75" customHeight="1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  <c r="AA636" s="233"/>
    </row>
    <row r="637" ht="15.75" customHeight="1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  <c r="AA637" s="233"/>
    </row>
    <row r="638" ht="15.75" customHeight="1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  <c r="AA638" s="233"/>
    </row>
    <row r="639" ht="15.75" customHeight="1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  <c r="AA639" s="233"/>
    </row>
    <row r="640" ht="15.75" customHeight="1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  <c r="AA640" s="233"/>
    </row>
    <row r="641" ht="15.75" customHeight="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  <c r="AA641" s="233"/>
    </row>
    <row r="642" ht="15.75" customHeight="1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  <c r="AA642" s="233"/>
    </row>
    <row r="643" ht="15.75" customHeight="1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  <c r="AA643" s="233"/>
    </row>
    <row r="644" ht="15.75" customHeight="1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  <c r="AA644" s="233"/>
    </row>
    <row r="645" ht="15.75" customHeight="1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  <c r="AA645" s="233"/>
    </row>
    <row r="646" ht="15.75" customHeight="1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  <c r="AA646" s="233"/>
    </row>
    <row r="647" ht="15.75" customHeight="1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  <c r="AA647" s="233"/>
    </row>
    <row r="648" ht="15.75" customHeight="1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  <c r="AA648" s="233"/>
    </row>
    <row r="649" ht="15.75" customHeight="1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  <c r="AA649" s="233"/>
    </row>
    <row r="650" ht="15.75" customHeight="1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  <c r="AA650" s="233"/>
    </row>
    <row r="651" ht="15.75" customHeight="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  <c r="AA651" s="233"/>
    </row>
    <row r="652" ht="15.75" customHeight="1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  <c r="AA652" s="233"/>
    </row>
    <row r="653" ht="15.75" customHeight="1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  <c r="AA653" s="233"/>
    </row>
    <row r="654" ht="15.75" customHeight="1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  <c r="AA654" s="233"/>
    </row>
    <row r="655" ht="15.75" customHeight="1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  <c r="AA655" s="233"/>
    </row>
    <row r="656" ht="15.75" customHeight="1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  <c r="AA656" s="233"/>
    </row>
    <row r="657" ht="15.75" customHeight="1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  <c r="AA657" s="233"/>
    </row>
    <row r="658" ht="15.75" customHeight="1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  <c r="AA658" s="233"/>
    </row>
    <row r="659" ht="15.75" customHeight="1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  <c r="AA659" s="233"/>
    </row>
    <row r="660" ht="15.75" customHeight="1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  <c r="AA660" s="233"/>
    </row>
    <row r="661" ht="15.75" customHeight="1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  <c r="AA661" s="233"/>
    </row>
    <row r="662" ht="15.75" customHeight="1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  <c r="AA662" s="233"/>
    </row>
    <row r="663" ht="15.75" customHeight="1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  <c r="AA663" s="233"/>
    </row>
    <row r="664" ht="15.75" customHeight="1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  <c r="AA664" s="233"/>
    </row>
    <row r="665" ht="15.75" customHeight="1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  <c r="AA665" s="233"/>
    </row>
    <row r="666" ht="15.75" customHeight="1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  <c r="AA666" s="233"/>
    </row>
    <row r="667" ht="15.75" customHeight="1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  <c r="AA667" s="233"/>
    </row>
    <row r="668" ht="15.75" customHeight="1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  <c r="AA668" s="233"/>
    </row>
    <row r="669" ht="15.75" customHeight="1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  <c r="AA669" s="233"/>
    </row>
    <row r="670" ht="15.75" customHeight="1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  <c r="AA670" s="233"/>
    </row>
    <row r="671" ht="15.75" customHeight="1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  <c r="AA671" s="233"/>
    </row>
    <row r="672" ht="15.75" customHeight="1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  <c r="AA672" s="233"/>
    </row>
    <row r="673" ht="15.75" customHeight="1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  <c r="AA673" s="233"/>
    </row>
    <row r="674" ht="15.75" customHeight="1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  <c r="AA674" s="233"/>
    </row>
    <row r="675" ht="15.75" customHeight="1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  <c r="AA675" s="233"/>
    </row>
    <row r="676" ht="15.75" customHeight="1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  <c r="AA676" s="233"/>
    </row>
    <row r="677" ht="15.75" customHeight="1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  <c r="AA677" s="233"/>
    </row>
    <row r="678" ht="15.75" customHeight="1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  <c r="AA678" s="233"/>
    </row>
    <row r="679" ht="15.75" customHeight="1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  <c r="AA679" s="233"/>
    </row>
    <row r="680" ht="15.75" customHeight="1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  <c r="AA680" s="233"/>
    </row>
    <row r="681" ht="15.75" customHeight="1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  <c r="AA681" s="233"/>
    </row>
    <row r="682" ht="15.75" customHeight="1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  <c r="AA682" s="233"/>
    </row>
    <row r="683" ht="15.75" customHeight="1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  <c r="AA683" s="233"/>
    </row>
    <row r="684" ht="15.75" customHeight="1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  <c r="AA684" s="233"/>
    </row>
    <row r="685" ht="15.75" customHeight="1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  <c r="AA685" s="233"/>
    </row>
    <row r="686" ht="15.75" customHeight="1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  <c r="AA686" s="233"/>
    </row>
    <row r="687" ht="15.75" customHeight="1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  <c r="AA687" s="233"/>
    </row>
    <row r="688" ht="15.75" customHeight="1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  <c r="AA688" s="233"/>
    </row>
    <row r="689" ht="15.75" customHeight="1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  <c r="AA689" s="233"/>
    </row>
    <row r="690" ht="15.75" customHeight="1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  <c r="AA690" s="233"/>
    </row>
    <row r="691" ht="15.75" customHeight="1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  <c r="AA691" s="233"/>
    </row>
    <row r="692" ht="15.75" customHeight="1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  <c r="AA692" s="233"/>
    </row>
    <row r="693" ht="15.75" customHeight="1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  <c r="AA693" s="233"/>
    </row>
    <row r="694" ht="15.75" customHeight="1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  <c r="AA694" s="233"/>
    </row>
    <row r="695" ht="15.75" customHeight="1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  <c r="AA695" s="233"/>
    </row>
    <row r="696" ht="15.75" customHeight="1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  <c r="AA696" s="233"/>
    </row>
    <row r="697" ht="15.75" customHeight="1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  <c r="AA697" s="233"/>
    </row>
    <row r="698" ht="15.75" customHeight="1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  <c r="AA698" s="233"/>
    </row>
    <row r="699" ht="15.75" customHeight="1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  <c r="AA699" s="233"/>
    </row>
    <row r="700" ht="15.75" customHeight="1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  <c r="AA700" s="233"/>
    </row>
    <row r="701" ht="15.75" customHeight="1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  <c r="AA701" s="233"/>
    </row>
    <row r="702" ht="15.75" customHeight="1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  <c r="AA702" s="233"/>
    </row>
    <row r="703" ht="15.75" customHeight="1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  <c r="AA703" s="233"/>
    </row>
    <row r="704" ht="15.75" customHeight="1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  <c r="AA704" s="233"/>
    </row>
    <row r="705" ht="15.75" customHeight="1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  <c r="AA705" s="233"/>
    </row>
    <row r="706" ht="15.75" customHeight="1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  <c r="AA706" s="233"/>
    </row>
    <row r="707" ht="15.75" customHeight="1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  <c r="AA707" s="233"/>
    </row>
    <row r="708" ht="15.75" customHeight="1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  <c r="AA708" s="233"/>
    </row>
    <row r="709" ht="15.75" customHeight="1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  <c r="AA709" s="233"/>
    </row>
    <row r="710" ht="15.75" customHeight="1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  <c r="AA710" s="233"/>
    </row>
    <row r="711" ht="15.75" customHeight="1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  <c r="AA711" s="233"/>
    </row>
    <row r="712" ht="15.75" customHeight="1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  <c r="AA712" s="233"/>
    </row>
    <row r="713" ht="15.75" customHeight="1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  <c r="AA713" s="233"/>
    </row>
    <row r="714" ht="15.75" customHeight="1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  <c r="AA714" s="233"/>
    </row>
    <row r="715" ht="15.75" customHeight="1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  <c r="AA715" s="233"/>
    </row>
    <row r="716" ht="15.75" customHeight="1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  <c r="AA716" s="233"/>
    </row>
    <row r="717" ht="15.75" customHeight="1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  <c r="AA717" s="233"/>
    </row>
    <row r="718" ht="15.75" customHeight="1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  <c r="AA718" s="233"/>
    </row>
    <row r="719" ht="15.75" customHeight="1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  <c r="AA719" s="233"/>
    </row>
    <row r="720" ht="15.75" customHeight="1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  <c r="AA720" s="233"/>
    </row>
    <row r="721" ht="15.75" customHeight="1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  <c r="AA721" s="233"/>
    </row>
    <row r="722" ht="15.75" customHeight="1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  <c r="AA722" s="233"/>
    </row>
    <row r="723" ht="15.75" customHeight="1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  <c r="AA723" s="233"/>
    </row>
    <row r="724" ht="15.75" customHeight="1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  <c r="AA724" s="233"/>
    </row>
    <row r="725" ht="15.75" customHeight="1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  <c r="AA725" s="233"/>
    </row>
    <row r="726" ht="15.75" customHeight="1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  <c r="AA726" s="233"/>
    </row>
    <row r="727" ht="15.75" customHeight="1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  <c r="AA727" s="233"/>
    </row>
    <row r="728" ht="15.75" customHeight="1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  <c r="AA728" s="233"/>
    </row>
    <row r="729" ht="15.75" customHeight="1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  <c r="AA729" s="233"/>
    </row>
    <row r="730" ht="15.75" customHeight="1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  <c r="AA730" s="233"/>
    </row>
    <row r="731" ht="15.75" customHeight="1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  <c r="AA731" s="233"/>
    </row>
    <row r="732" ht="15.75" customHeight="1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  <c r="AA732" s="233"/>
    </row>
    <row r="733" ht="15.75" customHeight="1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  <c r="AA733" s="233"/>
    </row>
    <row r="734" ht="15.75" customHeight="1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  <c r="AA734" s="233"/>
    </row>
    <row r="735" ht="15.75" customHeight="1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  <c r="AA735" s="233"/>
    </row>
    <row r="736" ht="15.75" customHeight="1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  <c r="AA736" s="233"/>
    </row>
    <row r="737" ht="15.75" customHeight="1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  <c r="AA737" s="233"/>
    </row>
    <row r="738" ht="15.75" customHeight="1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  <c r="AA738" s="233"/>
    </row>
    <row r="739" ht="15.75" customHeight="1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  <c r="AA739" s="233"/>
    </row>
    <row r="740" ht="15.75" customHeight="1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  <c r="AA740" s="233"/>
    </row>
    <row r="741" ht="15.75" customHeight="1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  <c r="AA741" s="233"/>
    </row>
    <row r="742" ht="15.75" customHeight="1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  <c r="AA742" s="233"/>
    </row>
    <row r="743" ht="15.75" customHeight="1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  <c r="AA743" s="233"/>
    </row>
    <row r="744" ht="15.75" customHeight="1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  <c r="AA744" s="233"/>
    </row>
    <row r="745" ht="15.75" customHeight="1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  <c r="AA745" s="233"/>
    </row>
    <row r="746" ht="15.75" customHeight="1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  <c r="AA746" s="233"/>
    </row>
    <row r="747" ht="15.75" customHeight="1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  <c r="AA747" s="233"/>
    </row>
    <row r="748" ht="15.75" customHeight="1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  <c r="AA748" s="233"/>
    </row>
    <row r="749" ht="15.75" customHeight="1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  <c r="AA749" s="233"/>
    </row>
    <row r="750" ht="15.75" customHeight="1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  <c r="AA750" s="233"/>
    </row>
    <row r="751" ht="15.75" customHeight="1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  <c r="AA751" s="233"/>
    </row>
    <row r="752" ht="15.75" customHeight="1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  <c r="AA752" s="233"/>
    </row>
    <row r="753" ht="15.75" customHeight="1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  <c r="AA753" s="233"/>
    </row>
    <row r="754" ht="15.75" customHeight="1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  <c r="AA754" s="233"/>
    </row>
    <row r="755" ht="15.75" customHeight="1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  <c r="AA755" s="233"/>
    </row>
    <row r="756" ht="15.75" customHeight="1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  <c r="AA756" s="233"/>
    </row>
    <row r="757" ht="15.75" customHeight="1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  <c r="AA757" s="233"/>
    </row>
    <row r="758" ht="15.75" customHeight="1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  <c r="AA758" s="233"/>
    </row>
    <row r="759" ht="15.75" customHeight="1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  <c r="AA759" s="233"/>
    </row>
    <row r="760" ht="15.75" customHeight="1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  <c r="AA760" s="233"/>
    </row>
    <row r="761" ht="15.75" customHeight="1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  <c r="AA761" s="233"/>
    </row>
    <row r="762" ht="15.75" customHeight="1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  <c r="AA762" s="233"/>
    </row>
    <row r="763" ht="15.75" customHeight="1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  <c r="AA763" s="233"/>
    </row>
    <row r="764" ht="15.75" customHeight="1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  <c r="AA764" s="233"/>
    </row>
    <row r="765" ht="15.75" customHeight="1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  <c r="AA765" s="233"/>
    </row>
    <row r="766" ht="15.75" customHeight="1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  <c r="AA766" s="233"/>
    </row>
    <row r="767" ht="15.75" customHeight="1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  <c r="AA767" s="233"/>
    </row>
    <row r="768" ht="15.75" customHeight="1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  <c r="AA768" s="233"/>
    </row>
    <row r="769" ht="15.75" customHeight="1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  <c r="AA769" s="233"/>
    </row>
    <row r="770" ht="15.75" customHeight="1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  <c r="AA770" s="233"/>
    </row>
    <row r="771" ht="15.75" customHeight="1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  <c r="AA771" s="233"/>
    </row>
    <row r="772" ht="15.75" customHeight="1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  <c r="AA772" s="233"/>
    </row>
    <row r="773" ht="15.75" customHeight="1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  <c r="AA773" s="233"/>
    </row>
    <row r="774" ht="15.75" customHeight="1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  <c r="AA774" s="233"/>
    </row>
    <row r="775" ht="15.75" customHeight="1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  <c r="AA775" s="233"/>
    </row>
    <row r="776" ht="15.75" customHeight="1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  <c r="AA776" s="233"/>
    </row>
    <row r="777" ht="15.75" customHeight="1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  <c r="AA777" s="233"/>
    </row>
    <row r="778" ht="15.75" customHeight="1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  <c r="AA778" s="233"/>
    </row>
    <row r="779" ht="15.75" customHeight="1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  <c r="AA779" s="233"/>
    </row>
    <row r="780" ht="15.75" customHeight="1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  <c r="AA780" s="233"/>
    </row>
    <row r="781" ht="15.75" customHeight="1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  <c r="AA781" s="233"/>
    </row>
    <row r="782" ht="15.75" customHeight="1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  <c r="AA782" s="233"/>
    </row>
    <row r="783" ht="15.75" customHeight="1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  <c r="AA783" s="233"/>
    </row>
    <row r="784" ht="15.75" customHeight="1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  <c r="AA784" s="233"/>
    </row>
    <row r="785" ht="15.75" customHeight="1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  <c r="AA785" s="233"/>
    </row>
    <row r="786" ht="15.75" customHeight="1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  <c r="AA786" s="233"/>
    </row>
    <row r="787" ht="15.75" customHeight="1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  <c r="AA787" s="233"/>
    </row>
    <row r="788" ht="15.75" customHeight="1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  <c r="AA788" s="233"/>
    </row>
    <row r="789" ht="15.75" customHeight="1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  <c r="AA789" s="233"/>
    </row>
    <row r="790" ht="15.75" customHeight="1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  <c r="AA790" s="233"/>
    </row>
    <row r="791" ht="15.75" customHeight="1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  <c r="AA791" s="233"/>
    </row>
    <row r="792" ht="15.75" customHeight="1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  <c r="AA792" s="233"/>
    </row>
    <row r="793" ht="15.75" customHeight="1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  <c r="AA793" s="233"/>
    </row>
    <row r="794" ht="15.75" customHeight="1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  <c r="AA794" s="233"/>
    </row>
    <row r="795" ht="15.75" customHeight="1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  <c r="AA795" s="233"/>
    </row>
    <row r="796" ht="15.75" customHeight="1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  <c r="AA796" s="233"/>
    </row>
    <row r="797" ht="15.75" customHeight="1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  <c r="AA797" s="233"/>
    </row>
    <row r="798" ht="15.75" customHeight="1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  <c r="AA798" s="233"/>
    </row>
    <row r="799" ht="15.75" customHeight="1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  <c r="AA799" s="233"/>
    </row>
    <row r="800" ht="15.75" customHeight="1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  <c r="AA800" s="233"/>
    </row>
    <row r="801" ht="15.75" customHeight="1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  <c r="AA801" s="233"/>
    </row>
    <row r="802" ht="15.75" customHeight="1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  <c r="AA802" s="233"/>
    </row>
    <row r="803" ht="15.75" customHeight="1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  <c r="AA803" s="233"/>
    </row>
    <row r="804" ht="15.75" customHeight="1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  <c r="AA804" s="233"/>
    </row>
    <row r="805" ht="15.75" customHeight="1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  <c r="AA805" s="233"/>
    </row>
    <row r="806" ht="15.75" customHeight="1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  <c r="AA806" s="233"/>
    </row>
    <row r="807" ht="15.75" customHeight="1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  <c r="AA807" s="233"/>
    </row>
    <row r="808" ht="15.75" customHeight="1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  <c r="AA808" s="233"/>
    </row>
    <row r="809" ht="15.75" customHeight="1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  <c r="AA809" s="233"/>
    </row>
    <row r="810" ht="15.75" customHeight="1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  <c r="AA810" s="233"/>
    </row>
    <row r="811" ht="15.75" customHeight="1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  <c r="AA811" s="233"/>
    </row>
    <row r="812" ht="15.75" customHeight="1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  <c r="AA812" s="233"/>
    </row>
    <row r="813" ht="15.75" customHeight="1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  <c r="AA813" s="233"/>
    </row>
    <row r="814" ht="15.75" customHeight="1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  <c r="AA814" s="233"/>
    </row>
    <row r="815" ht="15.75" customHeight="1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  <c r="AA815" s="233"/>
    </row>
    <row r="816" ht="15.75" customHeight="1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  <c r="AA816" s="233"/>
    </row>
    <row r="817" ht="15.75" customHeight="1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  <c r="AA817" s="233"/>
    </row>
    <row r="818" ht="15.75" customHeight="1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  <c r="AA818" s="233"/>
    </row>
    <row r="819" ht="15.75" customHeight="1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  <c r="AA819" s="233"/>
    </row>
    <row r="820" ht="15.75" customHeight="1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  <c r="AA820" s="233"/>
    </row>
    <row r="821" ht="15.75" customHeight="1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  <c r="AA821" s="233"/>
    </row>
    <row r="822" ht="15.75" customHeight="1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  <c r="AA822" s="233"/>
    </row>
    <row r="823" ht="15.75" customHeight="1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  <c r="AA823" s="233"/>
    </row>
    <row r="824" ht="15.75" customHeight="1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  <c r="AA824" s="233"/>
    </row>
    <row r="825" ht="15.75" customHeight="1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  <c r="AA825" s="233"/>
    </row>
    <row r="826" ht="15.75" customHeight="1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  <c r="AA826" s="233"/>
    </row>
    <row r="827" ht="15.75" customHeight="1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  <c r="AA827" s="233"/>
    </row>
    <row r="828" ht="15.75" customHeight="1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  <c r="AA828" s="233"/>
    </row>
    <row r="829" ht="15.75" customHeight="1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  <c r="AA829" s="233"/>
    </row>
    <row r="830" ht="15.75" customHeight="1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  <c r="AA830" s="233"/>
    </row>
    <row r="831" ht="15.75" customHeight="1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  <c r="AA831" s="233"/>
    </row>
    <row r="832" ht="15.75" customHeight="1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  <c r="AA832" s="233"/>
    </row>
    <row r="833" ht="15.75" customHeight="1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  <c r="AA833" s="233"/>
    </row>
    <row r="834" ht="15.75" customHeight="1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  <c r="AA834" s="233"/>
    </row>
    <row r="835" ht="15.75" customHeight="1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  <c r="AA835" s="233"/>
    </row>
    <row r="836" ht="15.75" customHeight="1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  <c r="AA836" s="233"/>
    </row>
    <row r="837" ht="15.75" customHeight="1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  <c r="AA837" s="233"/>
    </row>
    <row r="838" ht="15.75" customHeight="1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  <c r="AA838" s="233"/>
    </row>
    <row r="839" ht="15.75" customHeight="1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  <c r="AA839" s="233"/>
    </row>
    <row r="840" ht="15.75" customHeight="1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  <c r="AA840" s="233"/>
    </row>
    <row r="841" ht="15.75" customHeight="1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  <c r="AA841" s="233"/>
    </row>
    <row r="842" ht="15.75" customHeight="1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  <c r="AA842" s="233"/>
    </row>
    <row r="843" ht="15.75" customHeight="1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  <c r="AA843" s="233"/>
    </row>
    <row r="844" ht="15.75" customHeight="1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  <c r="AA844" s="233"/>
    </row>
    <row r="845" ht="15.75" customHeight="1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  <c r="AA845" s="233"/>
    </row>
    <row r="846" ht="15.75" customHeight="1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  <c r="AA846" s="233"/>
    </row>
    <row r="847" ht="15.75" customHeight="1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  <c r="AA847" s="233"/>
    </row>
    <row r="848" ht="15.75" customHeight="1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  <c r="AA848" s="233"/>
    </row>
    <row r="849" ht="15.75" customHeight="1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  <c r="AA849" s="233"/>
    </row>
    <row r="850" ht="15.75" customHeight="1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  <c r="AA850" s="233"/>
    </row>
    <row r="851" ht="15.75" customHeight="1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  <c r="AA851" s="233"/>
    </row>
    <row r="852" ht="15.75" customHeight="1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  <c r="AA852" s="233"/>
    </row>
    <row r="853" ht="15.75" customHeight="1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  <c r="AA853" s="233"/>
    </row>
    <row r="854" ht="15.75" customHeight="1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  <c r="AA854" s="233"/>
    </row>
    <row r="855" ht="15.75" customHeight="1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  <c r="AA855" s="233"/>
    </row>
    <row r="856" ht="15.75" customHeight="1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  <c r="AA856" s="233"/>
    </row>
    <row r="857" ht="15.75" customHeight="1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  <c r="AA857" s="233"/>
    </row>
    <row r="858" ht="15.75" customHeight="1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  <c r="AA858" s="233"/>
    </row>
    <row r="859" ht="15.75" customHeight="1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  <c r="AA859" s="233"/>
    </row>
    <row r="860" ht="15.75" customHeight="1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  <c r="AA860" s="233"/>
    </row>
    <row r="861" ht="15.75" customHeight="1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  <c r="AA861" s="233"/>
    </row>
    <row r="862" ht="15.75" customHeight="1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  <c r="AA862" s="233"/>
    </row>
    <row r="863" ht="15.75" customHeight="1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  <c r="AA863" s="233"/>
    </row>
    <row r="864" ht="15.75" customHeight="1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  <c r="AA864" s="233"/>
    </row>
    <row r="865" ht="15.75" customHeight="1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  <c r="AA865" s="233"/>
    </row>
    <row r="866" ht="15.75" customHeight="1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  <c r="AA866" s="233"/>
    </row>
    <row r="867" ht="15.75" customHeight="1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  <c r="AA867" s="233"/>
    </row>
    <row r="868" ht="15.75" customHeight="1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  <c r="AA868" s="233"/>
    </row>
    <row r="869" ht="15.75" customHeight="1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  <c r="AA869" s="233"/>
    </row>
    <row r="870" ht="15.75" customHeight="1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  <c r="AA870" s="233"/>
    </row>
    <row r="871" ht="15.75" customHeight="1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  <c r="AA871" s="233"/>
    </row>
    <row r="872" ht="15.75" customHeight="1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  <c r="AA872" s="233"/>
    </row>
    <row r="873" ht="15.75" customHeight="1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  <c r="AA873" s="233"/>
    </row>
    <row r="874" ht="15.75" customHeight="1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  <c r="AA874" s="233"/>
    </row>
    <row r="875" ht="15.75" customHeight="1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  <c r="AA875" s="233"/>
    </row>
    <row r="876" ht="15.75" customHeight="1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  <c r="AA876" s="233"/>
    </row>
    <row r="877" ht="15.75" customHeight="1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  <c r="AA877" s="233"/>
    </row>
    <row r="878" ht="15.75" customHeight="1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  <c r="AA878" s="233"/>
    </row>
    <row r="879" ht="15.75" customHeight="1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  <c r="AA879" s="233"/>
    </row>
    <row r="880" ht="15.75" customHeight="1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  <c r="AA880" s="233"/>
    </row>
    <row r="881" ht="15.75" customHeight="1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  <c r="AA881" s="233"/>
    </row>
    <row r="882" ht="15.75" customHeight="1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  <c r="AA882" s="233"/>
    </row>
    <row r="883" ht="15.75" customHeight="1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  <c r="AA883" s="233"/>
    </row>
    <row r="884" ht="15.75" customHeight="1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  <c r="AA884" s="233"/>
    </row>
    <row r="885" ht="15.75" customHeight="1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  <c r="AA885" s="233"/>
    </row>
    <row r="886" ht="15.75" customHeight="1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  <c r="AA886" s="233"/>
    </row>
    <row r="887" ht="15.75" customHeight="1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  <c r="AA887" s="233"/>
    </row>
    <row r="888" ht="15.75" customHeight="1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  <c r="AA888" s="233"/>
    </row>
    <row r="889" ht="15.75" customHeight="1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  <c r="AA889" s="233"/>
    </row>
    <row r="890" ht="15.75" customHeight="1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  <c r="AA890" s="233"/>
    </row>
    <row r="891" ht="15.75" customHeight="1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  <c r="AA891" s="233"/>
    </row>
    <row r="892" ht="15.75" customHeight="1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  <c r="AA892" s="233"/>
    </row>
    <row r="893" ht="15.75" customHeight="1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  <c r="AA893" s="233"/>
    </row>
    <row r="894" ht="15.75" customHeight="1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  <c r="AA894" s="233"/>
    </row>
    <row r="895" ht="15.75" customHeight="1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  <c r="AA895" s="233"/>
    </row>
    <row r="896" ht="15.75" customHeight="1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  <c r="AA896" s="233"/>
    </row>
    <row r="897" ht="15.75" customHeight="1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  <c r="AA897" s="233"/>
    </row>
    <row r="898" ht="15.75" customHeight="1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  <c r="AA898" s="233"/>
    </row>
    <row r="899" ht="15.75" customHeight="1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  <c r="AA899" s="233"/>
    </row>
    <row r="900" ht="15.75" customHeight="1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  <c r="AA900" s="233"/>
    </row>
    <row r="901" ht="15.75" customHeight="1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  <c r="AA901" s="233"/>
    </row>
    <row r="902" ht="15.75" customHeight="1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  <c r="AA902" s="233"/>
    </row>
    <row r="903" ht="15.75" customHeight="1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  <c r="AA903" s="233"/>
    </row>
    <row r="904" ht="15.75" customHeight="1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  <c r="AA904" s="233"/>
    </row>
    <row r="905" ht="15.75" customHeight="1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  <c r="AA905" s="233"/>
    </row>
    <row r="906" ht="15.75" customHeight="1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  <c r="AA906" s="233"/>
    </row>
    <row r="907" ht="15.75" customHeight="1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  <c r="AA907" s="233"/>
    </row>
    <row r="908" ht="15.75" customHeight="1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  <c r="AA908" s="233"/>
    </row>
    <row r="909" ht="15.75" customHeight="1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  <c r="AA909" s="233"/>
    </row>
    <row r="910" ht="15.75" customHeight="1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  <c r="AA910" s="233"/>
    </row>
    <row r="911" ht="15.75" customHeight="1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  <c r="AA911" s="233"/>
    </row>
    <row r="912" ht="15.75" customHeight="1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  <c r="AA912" s="233"/>
    </row>
    <row r="913" ht="15.75" customHeight="1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  <c r="AA913" s="233"/>
    </row>
    <row r="914" ht="15.75" customHeight="1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  <c r="AA914" s="233"/>
    </row>
    <row r="915" ht="15.75" customHeight="1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  <c r="AA915" s="233"/>
    </row>
    <row r="916" ht="15.75" customHeight="1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  <c r="AA916" s="233"/>
    </row>
    <row r="917" ht="15.75" customHeight="1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  <c r="AA917" s="233"/>
    </row>
    <row r="918" ht="15.75" customHeight="1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  <c r="AA918" s="233"/>
    </row>
    <row r="919" ht="15.75" customHeight="1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  <c r="AA919" s="233"/>
    </row>
    <row r="920" ht="15.75" customHeight="1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  <c r="AA920" s="233"/>
    </row>
    <row r="921" ht="15.75" customHeight="1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  <c r="AA921" s="233"/>
    </row>
    <row r="922" ht="15.75" customHeight="1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  <c r="AA922" s="233"/>
    </row>
    <row r="923" ht="15.75" customHeight="1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  <c r="AA923" s="233"/>
    </row>
    <row r="924" ht="15.75" customHeight="1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  <c r="AA924" s="233"/>
    </row>
    <row r="925" ht="15.75" customHeight="1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  <c r="AA925" s="233"/>
    </row>
    <row r="926" ht="15.75" customHeight="1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  <c r="AA926" s="233"/>
    </row>
    <row r="927" ht="15.75" customHeight="1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  <c r="AA927" s="233"/>
    </row>
    <row r="928" ht="15.75" customHeight="1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  <c r="AA928" s="233"/>
    </row>
    <row r="929" ht="15.75" customHeight="1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  <c r="AA929" s="233"/>
    </row>
    <row r="930" ht="15.75" customHeight="1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  <c r="AA930" s="233"/>
    </row>
    <row r="931" ht="15.75" customHeight="1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  <c r="AA931" s="233"/>
    </row>
    <row r="932" ht="15.75" customHeight="1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  <c r="AA932" s="233"/>
    </row>
    <row r="933" ht="15.75" customHeight="1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  <c r="AA933" s="233"/>
    </row>
    <row r="934" ht="15.75" customHeight="1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  <c r="AA934" s="233"/>
    </row>
    <row r="935" ht="15.75" customHeight="1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  <c r="AA935" s="233"/>
    </row>
    <row r="936" ht="15.75" customHeight="1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  <c r="AA936" s="233"/>
    </row>
    <row r="937" ht="15.75" customHeight="1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  <c r="AA937" s="233"/>
    </row>
    <row r="938" ht="15.75" customHeight="1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  <c r="AA938" s="233"/>
    </row>
    <row r="939" ht="15.75" customHeight="1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  <c r="AA939" s="233"/>
    </row>
    <row r="940" ht="15.75" customHeight="1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  <c r="AA940" s="233"/>
    </row>
    <row r="941" ht="15.75" customHeight="1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  <c r="AA941" s="233"/>
    </row>
    <row r="942" ht="15.75" customHeight="1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  <c r="AA942" s="233"/>
    </row>
    <row r="943" ht="15.75" customHeight="1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  <c r="AA943" s="233"/>
    </row>
    <row r="944" ht="15.75" customHeight="1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  <c r="AA944" s="233"/>
    </row>
    <row r="945" ht="15.75" customHeight="1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  <c r="AA945" s="233"/>
    </row>
    <row r="946" ht="15.75" customHeight="1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  <c r="AA946" s="233"/>
    </row>
    <row r="947" ht="15.75" customHeight="1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  <c r="AA947" s="233"/>
    </row>
    <row r="948" ht="15.75" customHeight="1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  <c r="AA948" s="233"/>
    </row>
    <row r="949" ht="15.75" customHeight="1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  <c r="AA949" s="233"/>
    </row>
    <row r="950" ht="15.75" customHeight="1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  <c r="AA950" s="233"/>
    </row>
    <row r="951" ht="15.75" customHeight="1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  <c r="AA951" s="233"/>
    </row>
    <row r="952" ht="15.75" customHeight="1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  <c r="AA952" s="233"/>
    </row>
    <row r="953" ht="15.75" customHeight="1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  <c r="AA953" s="233"/>
    </row>
    <row r="954" ht="15.75" customHeight="1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  <c r="AA954" s="233"/>
    </row>
    <row r="955" ht="15.75" customHeight="1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  <c r="AA955" s="233"/>
    </row>
    <row r="956" ht="15.75" customHeight="1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  <c r="AA956" s="233"/>
    </row>
    <row r="957" ht="15.75" customHeight="1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  <c r="AA957" s="233"/>
    </row>
    <row r="958" ht="15.75" customHeight="1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  <c r="AA958" s="233"/>
    </row>
    <row r="959" ht="15.75" customHeight="1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  <c r="AA959" s="233"/>
    </row>
    <row r="960" ht="15.75" customHeight="1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  <c r="AA960" s="233"/>
    </row>
    <row r="961" ht="15.75" customHeight="1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  <c r="AA961" s="233"/>
    </row>
    <row r="962" ht="15.75" customHeight="1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  <c r="AA962" s="233"/>
    </row>
    <row r="963" ht="15.75" customHeight="1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  <c r="AA963" s="233"/>
    </row>
    <row r="964" ht="15.75" customHeight="1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  <c r="AA964" s="233"/>
    </row>
    <row r="965" ht="15.75" customHeight="1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  <c r="AA965" s="233"/>
    </row>
    <row r="966" ht="15.75" customHeight="1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  <c r="AA966" s="233"/>
    </row>
    <row r="967" ht="15.75" customHeight="1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  <c r="AA967" s="233"/>
    </row>
    <row r="968" ht="15.75" customHeight="1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  <c r="AA968" s="233"/>
    </row>
    <row r="969" ht="15.75" customHeight="1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  <c r="AA969" s="233"/>
    </row>
    <row r="970" ht="15.75" customHeight="1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  <c r="AA970" s="233"/>
    </row>
    <row r="971" ht="15.75" customHeight="1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  <c r="AA971" s="233"/>
    </row>
    <row r="972" ht="15.75" customHeight="1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  <c r="AA972" s="233"/>
    </row>
    <row r="973" ht="15.75" customHeight="1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  <c r="AA973" s="233"/>
    </row>
    <row r="974" ht="15.75" customHeight="1">
      <c r="A974" s="233"/>
      <c r="B974" s="233"/>
      <c r="C974" s="233"/>
      <c r="D974" s="233"/>
      <c r="E974" s="233"/>
      <c r="F974" s="233"/>
      <c r="G974" s="233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  <c r="AA974" s="233"/>
    </row>
    <row r="975" ht="15.75" customHeight="1">
      <c r="A975" s="233"/>
      <c r="B975" s="233"/>
      <c r="C975" s="233"/>
      <c r="D975" s="233"/>
      <c r="E975" s="233"/>
      <c r="F975" s="233"/>
      <c r="G975" s="233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  <c r="AA975" s="233"/>
    </row>
    <row r="976" ht="15.75" customHeight="1">
      <c r="A976" s="233"/>
      <c r="B976" s="233"/>
      <c r="C976" s="233"/>
      <c r="D976" s="233"/>
      <c r="E976" s="233"/>
      <c r="F976" s="233"/>
      <c r="G976" s="233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  <c r="AA976" s="233"/>
    </row>
    <row r="977" ht="15.75" customHeight="1">
      <c r="A977" s="233"/>
      <c r="B977" s="233"/>
      <c r="C977" s="233"/>
      <c r="D977" s="233"/>
      <c r="E977" s="233"/>
      <c r="F977" s="233"/>
      <c r="G977" s="233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  <c r="AA977" s="233"/>
    </row>
  </sheetData>
  <mergeCells count="2">
    <mergeCell ref="G2:J2"/>
    <mergeCell ref="G40:I4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31.13"/>
    <col customWidth="1" min="3" max="3" width="15.38"/>
    <col customWidth="1" min="4" max="4" width="15.5"/>
    <col customWidth="1" min="5" max="6" width="17.5"/>
    <col customWidth="1" min="7" max="7" width="16.63"/>
    <col customWidth="1" min="8" max="8" width="30.75"/>
    <col customWidth="1" min="9" max="9" width="18.0"/>
    <col customWidth="1" min="10" max="10" width="9.5"/>
    <col customWidth="1" min="11" max="11" width="17.75"/>
  </cols>
  <sheetData>
    <row r="1" ht="15.75" customHeight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ht="15.75" customHeight="1">
      <c r="A2" s="87"/>
      <c r="B2" s="320" t="s">
        <v>228</v>
      </c>
      <c r="C2" s="110"/>
      <c r="D2" s="110"/>
      <c r="E2" s="110"/>
      <c r="F2" s="110"/>
      <c r="G2" s="111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ht="15.75" customHeight="1">
      <c r="A3" s="87"/>
      <c r="B3" s="321" t="s">
        <v>229</v>
      </c>
      <c r="C3" s="322" t="s">
        <v>230</v>
      </c>
      <c r="D3" s="323" t="s">
        <v>231</v>
      </c>
      <c r="E3" s="323" t="s">
        <v>232</v>
      </c>
      <c r="F3" s="324" t="s">
        <v>233</v>
      </c>
      <c r="G3" s="324" t="s">
        <v>155</v>
      </c>
      <c r="H3" s="325"/>
      <c r="I3" s="325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ht="15.75" customHeight="1">
      <c r="A4" s="87"/>
      <c r="B4" s="326" t="s">
        <v>234</v>
      </c>
      <c r="C4" s="327">
        <f>'Cash Report'!D63</f>
        <v>162678590.2</v>
      </c>
      <c r="D4" s="328">
        <v>0.0</v>
      </c>
      <c r="E4" s="329">
        <v>0.0</v>
      </c>
      <c r="F4" s="330">
        <v>1.0</v>
      </c>
      <c r="G4" s="327">
        <f>C4*F4</f>
        <v>162678590.2</v>
      </c>
      <c r="H4" s="331"/>
      <c r="I4" s="325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15.75" customHeight="1">
      <c r="A5" s="87"/>
      <c r="B5" s="326" t="s">
        <v>235</v>
      </c>
      <c r="C5" s="327">
        <v>0.0</v>
      </c>
      <c r="D5" s="332">
        <f>'Cash Report'!D64</f>
        <v>871593.23</v>
      </c>
      <c r="E5" s="333">
        <v>0.0</v>
      </c>
      <c r="F5" s="334">
        <f>'Cash Report'!$E$31</f>
        <v>1384.23</v>
      </c>
      <c r="G5" s="327">
        <f>'Cash Report'!J39</f>
        <v>1206485497</v>
      </c>
      <c r="H5" s="335"/>
      <c r="I5" s="325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ht="15.75" customHeight="1">
      <c r="A6" s="87"/>
      <c r="B6" s="326" t="s">
        <v>236</v>
      </c>
      <c r="C6" s="327">
        <v>0.0</v>
      </c>
      <c r="D6" s="332">
        <v>0.0</v>
      </c>
      <c r="E6" s="333">
        <f>'Cash Report'!D65</f>
        <v>2525</v>
      </c>
      <c r="F6" s="336">
        <f>'Cash Report'!E30</f>
        <v>1847.07</v>
      </c>
      <c r="G6" s="327">
        <f>'Cash Report'!F65</f>
        <v>4663851.75</v>
      </c>
      <c r="H6" s="337"/>
      <c r="I6" s="325">
        <f>(G5+G6)/F5</f>
        <v>874962.5052</v>
      </c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t="15.75" customHeight="1">
      <c r="A7" s="87"/>
      <c r="B7" s="338" t="s">
        <v>237</v>
      </c>
      <c r="C7" s="327">
        <v>0.0</v>
      </c>
      <c r="D7" s="332">
        <f>'Breakdown of Income and Expendi'!H37</f>
        <v>768.94</v>
      </c>
      <c r="E7" s="333">
        <v>0.0</v>
      </c>
      <c r="F7" s="334">
        <f>'Cash Report'!$E$31</f>
        <v>1384.23</v>
      </c>
      <c r="G7" s="327">
        <f>D7*F7</f>
        <v>1064389.816</v>
      </c>
      <c r="H7" s="337"/>
      <c r="I7" s="325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ht="15.75" customHeight="1">
      <c r="A8" s="87"/>
      <c r="B8" s="339" t="s">
        <v>148</v>
      </c>
      <c r="C8" s="340">
        <f t="shared" ref="C8:E8" si="1">SUM(C4:C7)</f>
        <v>162678590.2</v>
      </c>
      <c r="D8" s="341">
        <f t="shared" si="1"/>
        <v>872362.17</v>
      </c>
      <c r="E8" s="342">
        <f t="shared" si="1"/>
        <v>2525</v>
      </c>
      <c r="F8" s="324"/>
      <c r="G8" s="343">
        <f>SUM(G4:G7)</f>
        <v>1374892328</v>
      </c>
      <c r="H8" s="50"/>
      <c r="I8" s="325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15.75" customHeight="1">
      <c r="A9" s="87"/>
      <c r="B9" s="87"/>
      <c r="C9" s="87"/>
      <c r="D9" s="87"/>
      <c r="E9" s="87"/>
      <c r="F9" s="87"/>
      <c r="G9" s="344"/>
      <c r="H9" s="345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t="15.75" customHeight="1">
      <c r="A10" s="87"/>
      <c r="B10" s="87"/>
      <c r="C10" s="346"/>
      <c r="D10" s="87"/>
      <c r="E10" s="34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15.75" customHeight="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5.75" customHeight="1">
      <c r="A12" s="87"/>
      <c r="B12" s="348" t="s">
        <v>238</v>
      </c>
      <c r="C12" s="110"/>
      <c r="D12" s="110"/>
      <c r="E12" s="110"/>
      <c r="F12" s="110"/>
      <c r="G12" s="110"/>
      <c r="H12" s="111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t="15.75" customHeight="1">
      <c r="A13" s="87"/>
      <c r="B13" s="349" t="s">
        <v>239</v>
      </c>
      <c r="C13" s="350" t="s">
        <v>240</v>
      </c>
      <c r="D13" s="350" t="s">
        <v>241</v>
      </c>
      <c r="E13" s="350" t="s">
        <v>4</v>
      </c>
      <c r="F13" s="350" t="s">
        <v>134</v>
      </c>
      <c r="G13" s="324" t="s">
        <v>242</v>
      </c>
      <c r="H13" s="350" t="s">
        <v>243</v>
      </c>
      <c r="I13" s="87"/>
      <c r="J13" s="351" t="s">
        <v>244</v>
      </c>
      <c r="K13" s="327">
        <f>G4+E33+G40</f>
        <v>276244551.1</v>
      </c>
      <c r="L13" s="352">
        <f>K13/F5</f>
        <v>199565.4993</v>
      </c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ht="15.75" customHeight="1">
      <c r="A14" s="87"/>
      <c r="B14" s="353" t="s">
        <v>245</v>
      </c>
      <c r="C14" s="354">
        <f>59500-59500</f>
        <v>0</v>
      </c>
      <c r="D14" s="355">
        <v>689.68</v>
      </c>
      <c r="E14" s="354">
        <f t="shared" ref="E14:E18" si="2">SUM(C14:D14)</f>
        <v>689.68</v>
      </c>
      <c r="F14" s="356" t="s">
        <v>136</v>
      </c>
      <c r="G14" s="326" t="s">
        <v>246</v>
      </c>
      <c r="H14" s="356"/>
      <c r="I14" s="357"/>
      <c r="J14" s="351" t="s">
        <v>146</v>
      </c>
      <c r="K14" s="358">
        <f>I6+(E24-C24)+D7</f>
        <v>878143.7952</v>
      </c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5.75" customHeight="1">
      <c r="A15" s="87"/>
      <c r="B15" s="353" t="s">
        <v>247</v>
      </c>
      <c r="C15" s="332">
        <f>752544.4-123000-60000</f>
        <v>569544.4</v>
      </c>
      <c r="D15" s="355">
        <v>131209.01</v>
      </c>
      <c r="E15" s="354">
        <f t="shared" si="2"/>
        <v>700753.41</v>
      </c>
      <c r="F15" s="356" t="s">
        <v>136</v>
      </c>
      <c r="G15" s="326" t="s">
        <v>246</v>
      </c>
      <c r="H15" s="356"/>
      <c r="I15" s="357"/>
      <c r="J15" s="351" t="s">
        <v>248</v>
      </c>
      <c r="K15" s="359">
        <f>E19</f>
        <v>845158.8287</v>
      </c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>
      <c r="A16" s="360"/>
      <c r="B16" s="353" t="s">
        <v>249</v>
      </c>
      <c r="C16" s="361">
        <v>111975.34870967735</v>
      </c>
      <c r="D16" s="355">
        <v>1089.64</v>
      </c>
      <c r="E16" s="354">
        <f t="shared" si="2"/>
        <v>113064.9887</v>
      </c>
      <c r="F16" s="356" t="s">
        <v>136</v>
      </c>
      <c r="G16" s="326" t="s">
        <v>246</v>
      </c>
      <c r="H16" s="362"/>
      <c r="I16" s="357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</row>
    <row r="17" ht="15.75" customHeight="1">
      <c r="A17" s="87"/>
      <c r="B17" s="353" t="s">
        <v>250</v>
      </c>
      <c r="C17" s="363">
        <v>0.0</v>
      </c>
      <c r="D17" s="364">
        <v>29881.75</v>
      </c>
      <c r="E17" s="354">
        <f t="shared" si="2"/>
        <v>29881.75</v>
      </c>
      <c r="F17" s="365"/>
      <c r="G17" s="326"/>
      <c r="H17" s="356"/>
      <c r="I17" s="366"/>
      <c r="J17" s="87"/>
      <c r="K17" s="347">
        <f>K15+K14+L13</f>
        <v>1922868.123</v>
      </c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t="15.75" customHeight="1">
      <c r="A18" s="87"/>
      <c r="B18" s="353" t="s">
        <v>251</v>
      </c>
      <c r="C18" s="354">
        <v>769.0</v>
      </c>
      <c r="D18" s="332">
        <v>0.0</v>
      </c>
      <c r="E18" s="354">
        <f t="shared" si="2"/>
        <v>769</v>
      </c>
      <c r="F18" s="356" t="s">
        <v>136</v>
      </c>
      <c r="G18" s="326" t="s">
        <v>136</v>
      </c>
      <c r="H18" s="356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ht="15.75" customHeight="1">
      <c r="A19" s="87"/>
      <c r="B19" s="353"/>
      <c r="C19" s="367">
        <f t="shared" ref="C19:E19" si="3">SUM(C14:C18)</f>
        <v>682288.7487</v>
      </c>
      <c r="D19" s="367">
        <f t="shared" si="3"/>
        <v>162870.08</v>
      </c>
      <c r="E19" s="368">
        <f t="shared" si="3"/>
        <v>845158.8287</v>
      </c>
      <c r="F19" s="326"/>
      <c r="G19" s="369"/>
      <c r="H19" s="369"/>
      <c r="I19" s="345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t="15.75" customHeight="1">
      <c r="A20" s="87"/>
      <c r="B20" s="87"/>
      <c r="C20" s="87"/>
      <c r="D20" s="87"/>
      <c r="E20" s="370"/>
      <c r="F20" s="347"/>
      <c r="G20" s="370"/>
      <c r="H20" s="371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5.75" customHeight="1">
      <c r="A21" s="87"/>
      <c r="B21" s="87"/>
      <c r="C21" s="87"/>
      <c r="D21" s="87"/>
      <c r="E21" s="87"/>
      <c r="F21" s="87"/>
      <c r="G21" s="87"/>
      <c r="H21" s="87"/>
      <c r="I21" s="372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5.75" customHeight="1">
      <c r="A22" s="87"/>
      <c r="B22" s="348" t="s">
        <v>252</v>
      </c>
      <c r="C22" s="110"/>
      <c r="D22" s="110"/>
      <c r="E22" s="110"/>
      <c r="F22" s="110"/>
      <c r="G22" s="110"/>
      <c r="H22" s="111"/>
      <c r="I22" s="372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ht="15.75" customHeight="1">
      <c r="A23" s="87"/>
      <c r="B23" s="324" t="s">
        <v>239</v>
      </c>
      <c r="C23" s="324" t="s">
        <v>240</v>
      </c>
      <c r="D23" s="324" t="s">
        <v>241</v>
      </c>
      <c r="E23" s="324" t="s">
        <v>4</v>
      </c>
      <c r="F23" s="324" t="s">
        <v>134</v>
      </c>
      <c r="G23" s="324" t="s">
        <v>242</v>
      </c>
      <c r="H23" s="324" t="s">
        <v>243</v>
      </c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ht="15.75" customHeight="1">
      <c r="A24" s="87"/>
      <c r="B24" s="326" t="s">
        <v>253</v>
      </c>
      <c r="C24" s="359">
        <v>38400.0</v>
      </c>
      <c r="D24" s="373">
        <v>2412.3500000000004</v>
      </c>
      <c r="E24" s="374">
        <f>C24+D24</f>
        <v>40812.35</v>
      </c>
      <c r="F24" s="375" t="s">
        <v>136</v>
      </c>
      <c r="G24" s="326" t="s">
        <v>246</v>
      </c>
      <c r="H24" s="376" t="s">
        <v>254</v>
      </c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ht="15.75" customHeight="1">
      <c r="A25" s="87"/>
      <c r="B25" s="377" t="s">
        <v>255</v>
      </c>
      <c r="C25" s="378">
        <f t="shared" ref="C25:E25" si="4">SUM(C24)</f>
        <v>38400</v>
      </c>
      <c r="D25" s="378">
        <f t="shared" si="4"/>
        <v>2412.35</v>
      </c>
      <c r="E25" s="379">
        <f t="shared" si="4"/>
        <v>40812.35</v>
      </c>
      <c r="F25" s="369"/>
      <c r="G25" s="369"/>
      <c r="H25" s="380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ht="15.75" customHeight="1">
      <c r="A26" s="87"/>
      <c r="B26" s="87"/>
      <c r="C26" s="87"/>
      <c r="D26" s="87"/>
      <c r="E26" s="87"/>
      <c r="F26" s="381"/>
      <c r="G26" s="370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15.75" customHeight="1">
      <c r="A27" s="87"/>
      <c r="B27" s="87"/>
      <c r="C27" s="87"/>
      <c r="D27" s="382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15.75" customHeight="1">
      <c r="A28" s="87"/>
      <c r="B28" s="348" t="s">
        <v>256</v>
      </c>
      <c r="C28" s="110"/>
      <c r="D28" s="110"/>
      <c r="E28" s="110"/>
      <c r="F28" s="110"/>
      <c r="G28" s="110"/>
      <c r="H28" s="383"/>
      <c r="I28" s="345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ht="15.75" customHeight="1">
      <c r="A29" s="87"/>
      <c r="B29" s="349" t="s">
        <v>239</v>
      </c>
      <c r="C29" s="350" t="s">
        <v>240</v>
      </c>
      <c r="D29" s="350" t="s">
        <v>241</v>
      </c>
      <c r="E29" s="350" t="s">
        <v>4</v>
      </c>
      <c r="F29" s="324" t="s">
        <v>134</v>
      </c>
      <c r="G29" s="324" t="s">
        <v>242</v>
      </c>
      <c r="H29" s="324" t="s">
        <v>243</v>
      </c>
      <c r="I29" s="345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ht="15.75" customHeight="1">
      <c r="A30" s="87"/>
      <c r="B30" s="353" t="s">
        <v>257</v>
      </c>
      <c r="C30" s="384">
        <v>0.0</v>
      </c>
      <c r="D30" s="385">
        <v>9255303.43</v>
      </c>
      <c r="E30" s="386">
        <f t="shared" ref="E30:E32" si="5">C30+D30</f>
        <v>9255303.43</v>
      </c>
      <c r="F30" s="387" t="s">
        <v>136</v>
      </c>
      <c r="G30" s="326" t="s">
        <v>246</v>
      </c>
      <c r="H30" s="326"/>
      <c r="I30" s="345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ht="15.75" customHeight="1">
      <c r="A31" s="87"/>
      <c r="B31" s="388" t="s">
        <v>258</v>
      </c>
      <c r="C31" s="183">
        <v>17791.369999997318</v>
      </c>
      <c r="D31" s="389">
        <v>0.0</v>
      </c>
      <c r="E31" s="386">
        <f t="shared" si="5"/>
        <v>17791.37</v>
      </c>
      <c r="F31" s="387" t="s">
        <v>136</v>
      </c>
      <c r="G31" s="326" t="s">
        <v>246</v>
      </c>
      <c r="H31" s="326"/>
      <c r="I31" s="390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ht="15.75" customHeight="1">
      <c r="A32" s="87"/>
      <c r="B32" s="391" t="s">
        <v>126</v>
      </c>
      <c r="C32" s="384">
        <v>5000000.0</v>
      </c>
      <c r="D32" s="389">
        <v>2786750.58</v>
      </c>
      <c r="E32" s="386">
        <f t="shared" si="5"/>
        <v>7786750.58</v>
      </c>
      <c r="F32" s="387" t="s">
        <v>136</v>
      </c>
      <c r="G32" s="326" t="s">
        <v>246</v>
      </c>
      <c r="H32" s="326"/>
      <c r="I32" s="390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5.75" customHeight="1">
      <c r="A33" s="87"/>
      <c r="B33" s="377" t="s">
        <v>259</v>
      </c>
      <c r="C33" s="343">
        <f t="shared" ref="C33:E33" si="6">SUM(C30:C32)</f>
        <v>5017791.37</v>
      </c>
      <c r="D33" s="343">
        <f t="shared" si="6"/>
        <v>12042054.01</v>
      </c>
      <c r="E33" s="343">
        <f t="shared" si="6"/>
        <v>17059845.38</v>
      </c>
      <c r="F33" s="326"/>
      <c r="G33" s="326"/>
      <c r="H33" s="326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ht="15.7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ht="15.75" customHeight="1">
      <c r="A35" s="87"/>
      <c r="B35" s="87"/>
      <c r="C35" s="87"/>
      <c r="D35" s="50"/>
      <c r="E35" s="87"/>
      <c r="F35" s="392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ht="15.75" customHeight="1">
      <c r="A36" s="87"/>
      <c r="B36" s="320" t="s">
        <v>260</v>
      </c>
      <c r="C36" s="110"/>
      <c r="D36" s="110"/>
      <c r="E36" s="110"/>
      <c r="F36" s="110"/>
      <c r="G36" s="110"/>
      <c r="H36" s="383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ht="15.75" customHeight="1">
      <c r="A37" s="87"/>
      <c r="B37" s="393" t="s">
        <v>261</v>
      </c>
      <c r="C37" s="193"/>
      <c r="D37" s="193"/>
      <c r="E37" s="193"/>
      <c r="F37" s="194"/>
      <c r="G37" s="394">
        <v>44531.0</v>
      </c>
      <c r="H37" s="326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ht="15.75" customHeight="1">
      <c r="A38" s="87"/>
      <c r="B38" s="393" t="s">
        <v>262</v>
      </c>
      <c r="C38" s="193"/>
      <c r="D38" s="193"/>
      <c r="E38" s="193"/>
      <c r="F38" s="194"/>
      <c r="G38" s="395">
        <v>2.028E7</v>
      </c>
      <c r="H38" s="326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ht="15.75" customHeight="1">
      <c r="A39" s="87"/>
      <c r="B39" s="396" t="s">
        <v>263</v>
      </c>
      <c r="C39" s="193"/>
      <c r="D39" s="193"/>
      <c r="E39" s="193"/>
      <c r="F39" s="194"/>
      <c r="G39" s="395">
        <v>9.289861551E7</v>
      </c>
      <c r="H39" s="326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ht="15.75" customHeight="1">
      <c r="A40" s="87"/>
      <c r="B40" s="396" t="s">
        <v>264</v>
      </c>
      <c r="C40" s="193"/>
      <c r="D40" s="193"/>
      <c r="E40" s="193"/>
      <c r="F40" s="194"/>
      <c r="G40" s="395">
        <v>9.650611551E7</v>
      </c>
      <c r="H40" s="326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ht="15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ht="15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ht="15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5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5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ht="15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ht="15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ht="15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ht="15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ht="15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ht="15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ht="15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ht="15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ht="15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ht="15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ht="15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ht="15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ht="15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ht="15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ht="15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ht="15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ht="15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ht="15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ht="15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ht="15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15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ht="15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ht="15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ht="15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ht="15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ht="15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ht="15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ht="15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ht="15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ht="15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ht="15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ht="15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15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ht="15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5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5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5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5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5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5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ht="15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5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5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5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5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5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ht="15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5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5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5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5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B39:F39"/>
    <mergeCell ref="B40:F40"/>
    <mergeCell ref="B2:G2"/>
    <mergeCell ref="B12:H12"/>
    <mergeCell ref="B22:H22"/>
    <mergeCell ref="B28:H28"/>
    <mergeCell ref="B36:H36"/>
    <mergeCell ref="B37:F37"/>
    <mergeCell ref="B38:F3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3" max="3" width="42.25"/>
  </cols>
  <sheetData>
    <row r="1">
      <c r="A1" s="233"/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</row>
    <row r="2">
      <c r="A2" s="233"/>
      <c r="B2" s="397" t="s">
        <v>265</v>
      </c>
      <c r="C2" s="110"/>
      <c r="D2" s="110"/>
      <c r="E2" s="110"/>
      <c r="F2" s="111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</row>
    <row r="3">
      <c r="A3" s="233"/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</row>
    <row r="4">
      <c r="A4" s="233"/>
      <c r="B4" s="398" t="s">
        <v>266</v>
      </c>
      <c r="C4" s="398" t="s">
        <v>172</v>
      </c>
      <c r="D4" s="398" t="s">
        <v>267</v>
      </c>
      <c r="E4" s="398" t="s">
        <v>268</v>
      </c>
      <c r="F4" s="398" t="s">
        <v>269</v>
      </c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</row>
    <row r="5">
      <c r="A5" s="233"/>
      <c r="B5" s="399">
        <v>45669.0</v>
      </c>
      <c r="C5" s="400" t="s">
        <v>270</v>
      </c>
      <c r="D5" s="401"/>
      <c r="E5" s="402">
        <v>1000.0</v>
      </c>
      <c r="F5" s="402">
        <v>5406.0</v>
      </c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</row>
    <row r="6">
      <c r="A6" s="233"/>
      <c r="B6" s="399">
        <v>45881.0</v>
      </c>
      <c r="C6" s="403" t="s">
        <v>271</v>
      </c>
      <c r="D6" s="402">
        <v>10000.0</v>
      </c>
      <c r="E6" s="404"/>
      <c r="F6" s="402">
        <f t="shared" ref="F6:F38" si="1">F5+D6-E6</f>
        <v>15406</v>
      </c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</row>
    <row r="7">
      <c r="A7" s="233"/>
      <c r="B7" s="405" t="s">
        <v>272</v>
      </c>
      <c r="C7" s="403" t="s">
        <v>273</v>
      </c>
      <c r="D7" s="401"/>
      <c r="E7" s="406">
        <v>2000.0</v>
      </c>
      <c r="F7" s="402">
        <f t="shared" si="1"/>
        <v>13406</v>
      </c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</row>
    <row r="8">
      <c r="A8" s="233"/>
      <c r="B8" s="405" t="s">
        <v>272</v>
      </c>
      <c r="C8" s="403" t="s">
        <v>274</v>
      </c>
      <c r="D8" s="401"/>
      <c r="E8" s="406">
        <v>2000.0</v>
      </c>
      <c r="F8" s="402">
        <f t="shared" si="1"/>
        <v>11406</v>
      </c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</row>
    <row r="9">
      <c r="A9" s="233"/>
      <c r="B9" s="405" t="s">
        <v>272</v>
      </c>
      <c r="C9" s="403" t="s">
        <v>275</v>
      </c>
      <c r="D9" s="401"/>
      <c r="E9" s="406">
        <v>1000.0</v>
      </c>
      <c r="F9" s="402">
        <f t="shared" si="1"/>
        <v>10406</v>
      </c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</row>
    <row r="10">
      <c r="A10" s="233"/>
      <c r="B10" s="405" t="s">
        <v>272</v>
      </c>
      <c r="C10" s="403" t="s">
        <v>276</v>
      </c>
      <c r="D10" s="401"/>
      <c r="E10" s="406">
        <v>2000.0</v>
      </c>
      <c r="F10" s="402">
        <f t="shared" si="1"/>
        <v>8406</v>
      </c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</row>
    <row r="11">
      <c r="A11" s="233"/>
      <c r="B11" s="405" t="s">
        <v>272</v>
      </c>
      <c r="C11" s="403" t="s">
        <v>277</v>
      </c>
      <c r="D11" s="401"/>
      <c r="E11" s="406">
        <v>2000.0</v>
      </c>
      <c r="F11" s="402">
        <f t="shared" si="1"/>
        <v>6406</v>
      </c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</row>
    <row r="12">
      <c r="A12" s="233"/>
      <c r="B12" s="405" t="s">
        <v>272</v>
      </c>
      <c r="C12" s="403" t="s">
        <v>278</v>
      </c>
      <c r="D12" s="404"/>
      <c r="E12" s="406">
        <v>1000.0</v>
      </c>
      <c r="F12" s="402">
        <f t="shared" si="1"/>
        <v>5406</v>
      </c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</row>
    <row r="13">
      <c r="A13" s="233"/>
      <c r="B13" s="405" t="s">
        <v>272</v>
      </c>
      <c r="C13" s="403" t="s">
        <v>279</v>
      </c>
      <c r="D13" s="403"/>
      <c r="E13" s="406">
        <v>2000.0</v>
      </c>
      <c r="F13" s="402">
        <f t="shared" si="1"/>
        <v>3406</v>
      </c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</row>
    <row r="14">
      <c r="A14" s="233"/>
      <c r="B14" s="405" t="s">
        <v>272</v>
      </c>
      <c r="C14" s="403" t="s">
        <v>280</v>
      </c>
      <c r="D14" s="403"/>
      <c r="E14" s="406">
        <v>1000.0</v>
      </c>
      <c r="F14" s="402">
        <f t="shared" si="1"/>
        <v>2406</v>
      </c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</row>
    <row r="15">
      <c r="A15" s="233"/>
      <c r="B15" s="405" t="s">
        <v>272</v>
      </c>
      <c r="C15" s="403" t="s">
        <v>281</v>
      </c>
      <c r="D15" s="407">
        <v>13000.0</v>
      </c>
      <c r="E15" s="403"/>
      <c r="F15" s="402">
        <f t="shared" si="1"/>
        <v>15406</v>
      </c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</row>
    <row r="16">
      <c r="A16" s="233"/>
      <c r="B16" s="405" t="s">
        <v>272</v>
      </c>
      <c r="C16" s="403" t="s">
        <v>282</v>
      </c>
      <c r="D16" s="403"/>
      <c r="E16" s="406">
        <v>3250.0</v>
      </c>
      <c r="F16" s="402">
        <f t="shared" si="1"/>
        <v>12156</v>
      </c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</row>
    <row r="17">
      <c r="A17" s="233"/>
      <c r="B17" s="405" t="s">
        <v>272</v>
      </c>
      <c r="C17" s="403" t="s">
        <v>283</v>
      </c>
      <c r="D17" s="403"/>
      <c r="E17" s="406">
        <v>3250.0</v>
      </c>
      <c r="F17" s="402">
        <f t="shared" si="1"/>
        <v>8906</v>
      </c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</row>
    <row r="18">
      <c r="A18" s="233"/>
      <c r="B18" s="405" t="s">
        <v>272</v>
      </c>
      <c r="C18" s="403" t="s">
        <v>284</v>
      </c>
      <c r="D18" s="403"/>
      <c r="E18" s="406">
        <v>1625.0</v>
      </c>
      <c r="F18" s="402">
        <f t="shared" si="1"/>
        <v>7281</v>
      </c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</row>
    <row r="19">
      <c r="A19" s="233"/>
      <c r="B19" s="405" t="s">
        <v>285</v>
      </c>
      <c r="C19" s="403" t="s">
        <v>286</v>
      </c>
      <c r="D19" s="403"/>
      <c r="E19" s="406">
        <v>5300.0</v>
      </c>
      <c r="F19" s="402">
        <f t="shared" si="1"/>
        <v>1981</v>
      </c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</row>
    <row r="20">
      <c r="A20" s="233"/>
      <c r="B20" s="399">
        <v>46235.0</v>
      </c>
      <c r="C20" s="403" t="s">
        <v>287</v>
      </c>
      <c r="D20" s="401"/>
      <c r="E20" s="402">
        <v>1280.0</v>
      </c>
      <c r="F20" s="402">
        <f t="shared" si="1"/>
        <v>701</v>
      </c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</row>
    <row r="21">
      <c r="A21" s="233"/>
      <c r="B21" s="405" t="s">
        <v>288</v>
      </c>
      <c r="C21" s="403" t="s">
        <v>289</v>
      </c>
      <c r="D21" s="402">
        <v>22000.0</v>
      </c>
      <c r="E21" s="404"/>
      <c r="F21" s="402">
        <f t="shared" si="1"/>
        <v>22701</v>
      </c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</row>
    <row r="22">
      <c r="A22" s="233"/>
      <c r="B22" s="405" t="s">
        <v>288</v>
      </c>
      <c r="C22" s="400" t="s">
        <v>290</v>
      </c>
      <c r="D22" s="401"/>
      <c r="E22" s="402">
        <v>500.0</v>
      </c>
      <c r="F22" s="402">
        <f t="shared" si="1"/>
        <v>22201</v>
      </c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</row>
    <row r="23">
      <c r="A23" s="233"/>
      <c r="B23" s="408" t="s">
        <v>291</v>
      </c>
      <c r="C23" s="409" t="s">
        <v>292</v>
      </c>
      <c r="D23" s="410"/>
      <c r="E23" s="411">
        <v>1500.0</v>
      </c>
      <c r="F23" s="402">
        <f t="shared" si="1"/>
        <v>20701</v>
      </c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</row>
    <row r="24">
      <c r="A24" s="233"/>
      <c r="B24" s="408" t="s">
        <v>291</v>
      </c>
      <c r="C24" s="409" t="s">
        <v>293</v>
      </c>
      <c r="D24" s="410"/>
      <c r="E24" s="411">
        <v>3500.0</v>
      </c>
      <c r="F24" s="402">
        <f t="shared" si="1"/>
        <v>17201</v>
      </c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</row>
    <row r="25">
      <c r="A25" s="233"/>
      <c r="B25" s="408" t="s">
        <v>291</v>
      </c>
      <c r="C25" s="409" t="s">
        <v>294</v>
      </c>
      <c r="D25" s="410"/>
      <c r="E25" s="411">
        <v>2000.0</v>
      </c>
      <c r="F25" s="402">
        <f t="shared" si="1"/>
        <v>15201</v>
      </c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</row>
    <row r="26">
      <c r="A26" s="233"/>
      <c r="B26" s="408" t="s">
        <v>291</v>
      </c>
      <c r="C26" s="409" t="s">
        <v>295</v>
      </c>
      <c r="D26" s="410"/>
      <c r="E26" s="411">
        <v>4500.0</v>
      </c>
      <c r="F26" s="402">
        <f t="shared" si="1"/>
        <v>10701</v>
      </c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</row>
    <row r="27">
      <c r="A27" s="233"/>
      <c r="B27" s="408" t="s">
        <v>291</v>
      </c>
      <c r="C27" s="409" t="s">
        <v>296</v>
      </c>
      <c r="D27" s="412"/>
      <c r="E27" s="411">
        <v>2000.0</v>
      </c>
      <c r="F27" s="402">
        <f t="shared" si="1"/>
        <v>8701</v>
      </c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</row>
    <row r="28">
      <c r="A28" s="233"/>
      <c r="B28" s="413">
        <v>46205.0</v>
      </c>
      <c r="C28" s="409" t="s">
        <v>297</v>
      </c>
      <c r="D28" s="409"/>
      <c r="E28" s="411">
        <v>1105.0</v>
      </c>
      <c r="F28" s="414">
        <f t="shared" si="1"/>
        <v>7596</v>
      </c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</row>
    <row r="29">
      <c r="A29" s="233"/>
      <c r="B29" s="413">
        <v>46205.0</v>
      </c>
      <c r="C29" s="409" t="s">
        <v>298</v>
      </c>
      <c r="D29" s="409"/>
      <c r="E29" s="411">
        <v>650.0</v>
      </c>
      <c r="F29" s="414">
        <f t="shared" si="1"/>
        <v>6946</v>
      </c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</row>
    <row r="30">
      <c r="A30" s="233"/>
      <c r="B30" s="415" t="s">
        <v>299</v>
      </c>
      <c r="C30" s="267" t="s">
        <v>300</v>
      </c>
      <c r="D30" s="269"/>
      <c r="E30" s="416">
        <v>1000.0</v>
      </c>
      <c r="F30" s="414">
        <f t="shared" si="1"/>
        <v>5946</v>
      </c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</row>
    <row r="31">
      <c r="A31" s="233"/>
      <c r="B31" s="408" t="s">
        <v>301</v>
      </c>
      <c r="C31" s="409" t="s">
        <v>302</v>
      </c>
      <c r="D31" s="410"/>
      <c r="E31" s="411">
        <v>940.0</v>
      </c>
      <c r="F31" s="414">
        <f t="shared" si="1"/>
        <v>5006</v>
      </c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</row>
    <row r="32">
      <c r="A32" s="233"/>
      <c r="B32" s="408" t="s">
        <v>301</v>
      </c>
      <c r="C32" s="409" t="s">
        <v>303</v>
      </c>
      <c r="D32" s="417">
        <v>240.0</v>
      </c>
      <c r="E32" s="418"/>
      <c r="F32" s="414">
        <f t="shared" si="1"/>
        <v>5246</v>
      </c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</row>
    <row r="33">
      <c r="A33" s="233"/>
      <c r="B33" s="408" t="s">
        <v>301</v>
      </c>
      <c r="C33" s="409" t="s">
        <v>304</v>
      </c>
      <c r="D33" s="410"/>
      <c r="E33" s="411">
        <v>51.0</v>
      </c>
      <c r="F33" s="414">
        <f t="shared" si="1"/>
        <v>5195</v>
      </c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</row>
    <row r="34">
      <c r="A34" s="233"/>
      <c r="B34" s="408" t="s">
        <v>305</v>
      </c>
      <c r="C34" s="409" t="s">
        <v>306</v>
      </c>
      <c r="D34" s="417">
        <v>15000.0</v>
      </c>
      <c r="E34" s="418"/>
      <c r="F34" s="414">
        <f t="shared" si="1"/>
        <v>20195</v>
      </c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</row>
    <row r="35">
      <c r="A35" s="233"/>
      <c r="B35" s="413">
        <v>46025.0</v>
      </c>
      <c r="C35" s="409" t="s">
        <v>294</v>
      </c>
      <c r="D35" s="410"/>
      <c r="E35" s="411">
        <v>2000.0</v>
      </c>
      <c r="F35" s="414">
        <f t="shared" si="1"/>
        <v>18195</v>
      </c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</row>
    <row r="36">
      <c r="A36" s="233"/>
      <c r="B36" s="413">
        <v>46025.0</v>
      </c>
      <c r="C36" s="409" t="s">
        <v>295</v>
      </c>
      <c r="D36" s="410"/>
      <c r="E36" s="411">
        <v>4500.0</v>
      </c>
      <c r="F36" s="414">
        <f t="shared" si="1"/>
        <v>13695</v>
      </c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</row>
    <row r="37">
      <c r="A37" s="233"/>
      <c r="B37" s="413">
        <v>46025.0</v>
      </c>
      <c r="C37" s="409" t="s">
        <v>296</v>
      </c>
      <c r="D37" s="412"/>
      <c r="E37" s="411">
        <v>2000.0</v>
      </c>
      <c r="F37" s="414">
        <f t="shared" si="1"/>
        <v>11695</v>
      </c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</row>
    <row r="38">
      <c r="A38" s="233"/>
      <c r="B38" s="413">
        <v>46025.0</v>
      </c>
      <c r="C38" s="409" t="s">
        <v>307</v>
      </c>
      <c r="D38" s="410"/>
      <c r="E38" s="411">
        <v>1450.0</v>
      </c>
      <c r="F38" s="414">
        <f t="shared" si="1"/>
        <v>10245</v>
      </c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</row>
    <row r="39">
      <c r="A39" s="233"/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</row>
    <row r="40">
      <c r="A40" s="233"/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</row>
    <row r="41">
      <c r="A41" s="233"/>
      <c r="B41" s="233"/>
      <c r="C41" s="233"/>
      <c r="D41" s="233"/>
      <c r="E41" s="233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</row>
    <row r="42">
      <c r="A42" s="233"/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</row>
    <row r="43">
      <c r="A43" s="233"/>
      <c r="B43" s="233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</row>
    <row r="44">
      <c r="A44" s="233"/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</row>
    <row r="45">
      <c r="A45" s="233"/>
      <c r="B45" s="233"/>
      <c r="C45" s="233"/>
      <c r="D45" s="233"/>
      <c r="E45" s="233"/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</row>
    <row r="46">
      <c r="A46" s="233"/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</row>
    <row r="47">
      <c r="A47" s="233"/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</row>
    <row r="48">
      <c r="A48" s="233"/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</row>
    <row r="49">
      <c r="A49" s="233"/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</row>
    <row r="50">
      <c r="A50" s="233"/>
      <c r="B50" s="233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</row>
    <row r="51">
      <c r="A51" s="233"/>
      <c r="B51" s="233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</row>
    <row r="52">
      <c r="A52" s="233"/>
      <c r="B52" s="233"/>
      <c r="C52" s="233"/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</row>
    <row r="53">
      <c r="A53" s="233"/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</row>
    <row r="54">
      <c r="A54" s="233"/>
      <c r="B54" s="233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</row>
    <row r="55">
      <c r="A55" s="233"/>
      <c r="B55" s="233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</row>
    <row r="56">
      <c r="A56" s="233"/>
      <c r="B56" s="233"/>
      <c r="C56" s="233"/>
      <c r="D56" s="233"/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</row>
    <row r="57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</row>
    <row r="58">
      <c r="A58" s="233"/>
      <c r="B58" s="233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</row>
    <row r="59">
      <c r="A59" s="233"/>
      <c r="B59" s="233"/>
      <c r="C59" s="233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</row>
    <row r="60">
      <c r="A60" s="233"/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</row>
    <row r="61">
      <c r="A61" s="233"/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</row>
    <row r="62">
      <c r="A62" s="233"/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</row>
    <row r="63">
      <c r="A63" s="233"/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</row>
    <row r="64">
      <c r="A64" s="233"/>
      <c r="B64" s="233"/>
      <c r="C64" s="233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</row>
    <row r="65">
      <c r="A65" s="233"/>
      <c r="B65" s="233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</row>
    <row r="66">
      <c r="A66" s="233"/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</row>
    <row r="67">
      <c r="A67" s="233"/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</row>
    <row r="68">
      <c r="A68" s="233"/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</row>
    <row r="69">
      <c r="A69" s="233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</row>
    <row r="70">
      <c r="A70" s="233"/>
      <c r="B70" s="233"/>
      <c r="C70" s="233"/>
      <c r="D70" s="233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</row>
    <row r="71">
      <c r="A71" s="233"/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</row>
    <row r="72">
      <c r="A72" s="233"/>
      <c r="B72" s="233"/>
      <c r="C72" s="233"/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</row>
    <row r="73">
      <c r="A73" s="233"/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</row>
    <row r="74">
      <c r="A74" s="233"/>
      <c r="B74" s="233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</row>
    <row r="75">
      <c r="A75" s="233"/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</row>
    <row r="76">
      <c r="A76" s="233"/>
      <c r="B76" s="233"/>
      <c r="C76" s="233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</row>
    <row r="77">
      <c r="A77" s="233"/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</row>
    <row r="78">
      <c r="A78" s="233"/>
      <c r="B78" s="233"/>
      <c r="C78" s="233"/>
      <c r="D78" s="233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</row>
    <row r="79">
      <c r="A79" s="233"/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</row>
    <row r="80">
      <c r="A80" s="233"/>
      <c r="B80" s="233"/>
      <c r="C80" s="233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</row>
    <row r="81">
      <c r="A81" s="233"/>
      <c r="B81" s="233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</row>
    <row r="82">
      <c r="A82" s="233"/>
      <c r="B82" s="233"/>
      <c r="C82" s="233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</row>
    <row r="83">
      <c r="A83" s="233"/>
      <c r="B83" s="233"/>
      <c r="C83" s="233"/>
      <c r="D83" s="233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</row>
    <row r="84">
      <c r="A84" s="233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</row>
    <row r="85">
      <c r="A85" s="233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</row>
    <row r="86">
      <c r="A86" s="233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</row>
    <row r="87">
      <c r="A87" s="233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</row>
    <row r="88">
      <c r="A88" s="233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</row>
    <row r="89">
      <c r="A89" s="233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</row>
    <row r="90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</row>
    <row r="91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</row>
    <row r="92">
      <c r="A92" s="233"/>
      <c r="B92" s="233"/>
      <c r="C92" s="233"/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</row>
    <row r="93">
      <c r="A93" s="233"/>
      <c r="B93" s="233"/>
      <c r="C93" s="233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</row>
    <row r="94">
      <c r="A94" s="233"/>
      <c r="B94" s="233"/>
      <c r="C94" s="233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</row>
    <row r="95">
      <c r="A95" s="233"/>
      <c r="B95" s="233"/>
      <c r="C95" s="233"/>
      <c r="D95" s="233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</row>
    <row r="96">
      <c r="A96" s="233"/>
      <c r="B96" s="233"/>
      <c r="C96" s="233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</row>
    <row r="97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</row>
    <row r="98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</row>
    <row r="99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</row>
    <row r="100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</row>
    <row r="101">
      <c r="A101" s="233"/>
      <c r="B101" s="233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</row>
    <row r="102">
      <c r="A102" s="233"/>
      <c r="B102" s="233"/>
      <c r="C102" s="233"/>
      <c r="D102" s="233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</row>
    <row r="103">
      <c r="A103" s="233"/>
      <c r="B103" s="233"/>
      <c r="C103" s="233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</row>
    <row r="104">
      <c r="A104" s="233"/>
      <c r="B104" s="233"/>
      <c r="C104" s="233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</row>
    <row r="105">
      <c r="A105" s="233"/>
      <c r="B105" s="233"/>
      <c r="C105" s="233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</row>
    <row r="106">
      <c r="A106" s="233"/>
      <c r="B106" s="233"/>
      <c r="C106" s="233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</row>
    <row r="107">
      <c r="A107" s="233"/>
      <c r="B107" s="233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</row>
    <row r="108">
      <c r="A108" s="233"/>
      <c r="B108" s="233"/>
      <c r="C108" s="233"/>
      <c r="D108" s="233"/>
      <c r="E108" s="233"/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</row>
    <row r="109">
      <c r="A109" s="233"/>
      <c r="B109" s="233"/>
      <c r="C109" s="233"/>
      <c r="D109" s="233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</row>
    <row r="110">
      <c r="A110" s="233"/>
      <c r="B110" s="233"/>
      <c r="C110" s="233"/>
      <c r="D110" s="233"/>
      <c r="E110" s="233"/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</row>
    <row r="111">
      <c r="A111" s="233"/>
      <c r="B111" s="233"/>
      <c r="C111" s="233"/>
      <c r="D111" s="233"/>
      <c r="E111" s="233"/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</row>
    <row r="112">
      <c r="A112" s="233"/>
      <c r="B112" s="233"/>
      <c r="C112" s="233"/>
      <c r="D112" s="233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</row>
    <row r="113">
      <c r="A113" s="233"/>
      <c r="B113" s="233"/>
      <c r="C113" s="233"/>
      <c r="D113" s="233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</row>
    <row r="114">
      <c r="A114" s="233"/>
      <c r="B114" s="233"/>
      <c r="C114" s="233"/>
      <c r="D114" s="233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</row>
    <row r="115">
      <c r="A115" s="233"/>
      <c r="B115" s="233"/>
      <c r="C115" s="233"/>
      <c r="D115" s="233"/>
      <c r="E115" s="233"/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</row>
    <row r="116">
      <c r="A116" s="233"/>
      <c r="B116" s="233"/>
      <c r="C116" s="233"/>
      <c r="D116" s="233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</row>
    <row r="117">
      <c r="A117" s="233"/>
      <c r="B117" s="233"/>
      <c r="C117" s="233"/>
      <c r="D117" s="233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</row>
    <row r="118">
      <c r="A118" s="233"/>
      <c r="B118" s="233"/>
      <c r="C118" s="233"/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</row>
    <row r="119">
      <c r="A119" s="233"/>
      <c r="B119" s="233"/>
      <c r="C119" s="233"/>
      <c r="D119" s="233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</row>
    <row r="120">
      <c r="A120" s="233"/>
      <c r="B120" s="233"/>
      <c r="C120" s="233"/>
      <c r="D120" s="233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</row>
    <row r="121">
      <c r="A121" s="233"/>
      <c r="B121" s="233"/>
      <c r="C121" s="233"/>
      <c r="D121" s="233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</row>
    <row r="122">
      <c r="A122" s="233"/>
      <c r="B122" s="233"/>
      <c r="C122" s="233"/>
      <c r="D122" s="233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</row>
    <row r="123">
      <c r="A123" s="233"/>
      <c r="B123" s="233"/>
      <c r="C123" s="233"/>
      <c r="D123" s="233"/>
      <c r="E123" s="233"/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</row>
    <row r="124">
      <c r="A124" s="233"/>
      <c r="B124" s="233"/>
      <c r="C124" s="233"/>
      <c r="D124" s="233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</row>
    <row r="125">
      <c r="A125" s="233"/>
      <c r="B125" s="233"/>
      <c r="C125" s="233"/>
      <c r="D125" s="233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</row>
    <row r="126">
      <c r="A126" s="233"/>
      <c r="B126" s="233"/>
      <c r="C126" s="233"/>
      <c r="D126" s="233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</row>
    <row r="127">
      <c r="A127" s="233"/>
      <c r="B127" s="233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</row>
    <row r="128">
      <c r="A128" s="233"/>
      <c r="B128" s="233"/>
      <c r="C128" s="233"/>
      <c r="D128" s="233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</row>
    <row r="129">
      <c r="A129" s="233"/>
      <c r="B129" s="233"/>
      <c r="C129" s="233"/>
      <c r="D129" s="233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</row>
    <row r="130">
      <c r="A130" s="233"/>
      <c r="B130" s="233"/>
      <c r="C130" s="233"/>
      <c r="D130" s="233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</row>
    <row r="131">
      <c r="A131" s="233"/>
      <c r="B131" s="233"/>
      <c r="C131" s="233"/>
      <c r="D131" s="233"/>
      <c r="E131" s="233"/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</row>
    <row r="132">
      <c r="A132" s="233"/>
      <c r="B132" s="233"/>
      <c r="C132" s="233"/>
      <c r="D132" s="233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</row>
    <row r="133">
      <c r="A133" s="233"/>
      <c r="B133" s="233"/>
      <c r="C133" s="233"/>
      <c r="D133" s="233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</row>
    <row r="134">
      <c r="A134" s="233"/>
      <c r="B134" s="233"/>
      <c r="C134" s="233"/>
      <c r="D134" s="233"/>
      <c r="E134" s="233"/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</row>
    <row r="135">
      <c r="A135" s="233"/>
      <c r="B135" s="233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</row>
    <row r="136">
      <c r="A136" s="233"/>
      <c r="B136" s="233"/>
      <c r="C136" s="233"/>
      <c r="D136" s="233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</row>
    <row r="137">
      <c r="A137" s="233"/>
      <c r="B137" s="233"/>
      <c r="C137" s="233"/>
      <c r="D137" s="233"/>
      <c r="E137" s="233"/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</row>
    <row r="138">
      <c r="A138" s="233"/>
      <c r="B138" s="233"/>
      <c r="C138" s="233"/>
      <c r="D138" s="233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</row>
    <row r="139">
      <c r="A139" s="233"/>
      <c r="B139" s="233"/>
      <c r="C139" s="233"/>
      <c r="D139" s="233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</row>
    <row r="140">
      <c r="A140" s="233"/>
      <c r="B140" s="233"/>
      <c r="C140" s="233"/>
      <c r="D140" s="233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</row>
    <row r="141">
      <c r="A141" s="233"/>
      <c r="B141" s="233"/>
      <c r="C141" s="233"/>
      <c r="D141" s="233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</row>
    <row r="142">
      <c r="A142" s="233"/>
      <c r="B142" s="233"/>
      <c r="C142" s="233"/>
      <c r="D142" s="233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</row>
    <row r="143">
      <c r="A143" s="233"/>
      <c r="B143" s="233"/>
      <c r="C143" s="233"/>
      <c r="D143" s="233"/>
      <c r="E143" s="233"/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</row>
    <row r="144">
      <c r="A144" s="233"/>
      <c r="B144" s="233"/>
      <c r="C144" s="233"/>
      <c r="D144" s="233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</row>
    <row r="145">
      <c r="A145" s="233"/>
      <c r="B145" s="233"/>
      <c r="C145" s="233"/>
      <c r="D145" s="233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</row>
    <row r="146">
      <c r="A146" s="233"/>
      <c r="B146" s="233"/>
      <c r="C146" s="233"/>
      <c r="D146" s="233"/>
      <c r="E146" s="233"/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</row>
    <row r="147">
      <c r="A147" s="233"/>
      <c r="B147" s="233"/>
      <c r="C147" s="233"/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</row>
    <row r="148">
      <c r="A148" s="233"/>
      <c r="B148" s="233"/>
      <c r="C148" s="233"/>
      <c r="D148" s="233"/>
      <c r="E148" s="233"/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</row>
    <row r="149">
      <c r="A149" s="233"/>
      <c r="B149" s="233"/>
      <c r="C149" s="233"/>
      <c r="D149" s="233"/>
      <c r="E149" s="233"/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</row>
    <row r="150">
      <c r="A150" s="233"/>
      <c r="B150" s="233"/>
      <c r="C150" s="233"/>
      <c r="D150" s="233"/>
      <c r="E150" s="233"/>
      <c r="F150" s="233"/>
      <c r="G150" s="233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</row>
    <row r="151">
      <c r="A151" s="233"/>
      <c r="B151" s="233"/>
      <c r="C151" s="233"/>
      <c r="D151" s="233"/>
      <c r="E151" s="233"/>
      <c r="F151" s="233"/>
      <c r="G151" s="233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</row>
    <row r="152">
      <c r="A152" s="233"/>
      <c r="B152" s="233"/>
      <c r="C152" s="233"/>
      <c r="D152" s="233"/>
      <c r="E152" s="233"/>
      <c r="F152" s="233"/>
      <c r="G152" s="233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</row>
    <row r="153">
      <c r="A153" s="233"/>
      <c r="B153" s="233"/>
      <c r="C153" s="233"/>
      <c r="D153" s="233"/>
      <c r="E153" s="233"/>
      <c r="F153" s="233"/>
      <c r="G153" s="233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</row>
    <row r="154">
      <c r="A154" s="233"/>
      <c r="B154" s="233"/>
      <c r="C154" s="233"/>
      <c r="D154" s="233"/>
      <c r="E154" s="233"/>
      <c r="F154" s="233"/>
      <c r="G154" s="233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</row>
    <row r="155">
      <c r="A155" s="233"/>
      <c r="B155" s="233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</row>
    <row r="156">
      <c r="A156" s="233"/>
      <c r="B156" s="233"/>
      <c r="C156" s="233"/>
      <c r="D156" s="233"/>
      <c r="E156" s="233"/>
      <c r="F156" s="233"/>
      <c r="G156" s="233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</row>
    <row r="157">
      <c r="A157" s="233"/>
      <c r="B157" s="233"/>
      <c r="C157" s="233"/>
      <c r="D157" s="233"/>
      <c r="E157" s="233"/>
      <c r="F157" s="233"/>
      <c r="G157" s="233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</row>
    <row r="158">
      <c r="A158" s="233"/>
      <c r="B158" s="233"/>
      <c r="C158" s="233"/>
      <c r="D158" s="233"/>
      <c r="E158" s="233"/>
      <c r="F158" s="233"/>
      <c r="G158" s="233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</row>
    <row r="159">
      <c r="A159" s="233"/>
      <c r="B159" s="233"/>
      <c r="C159" s="233"/>
      <c r="D159" s="233"/>
      <c r="E159" s="233"/>
      <c r="F159" s="233"/>
      <c r="G159" s="233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</row>
    <row r="160">
      <c r="A160" s="233"/>
      <c r="B160" s="233"/>
      <c r="C160" s="233"/>
      <c r="D160" s="233"/>
      <c r="E160" s="233"/>
      <c r="F160" s="233"/>
      <c r="G160" s="233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</row>
    <row r="161">
      <c r="A161" s="233"/>
      <c r="B161" s="233"/>
      <c r="C161" s="233"/>
      <c r="D161" s="233"/>
      <c r="E161" s="233"/>
      <c r="F161" s="233"/>
      <c r="G161" s="233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</row>
    <row r="162">
      <c r="A162" s="233"/>
      <c r="B162" s="233"/>
      <c r="C162" s="233"/>
      <c r="D162" s="233"/>
      <c r="E162" s="233"/>
      <c r="F162" s="233"/>
      <c r="G162" s="233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</row>
    <row r="163">
      <c r="A163" s="233"/>
      <c r="B163" s="233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</row>
    <row r="164">
      <c r="A164" s="233"/>
      <c r="B164" s="233"/>
      <c r="C164" s="233"/>
      <c r="D164" s="233"/>
      <c r="E164" s="233"/>
      <c r="F164" s="233"/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</row>
    <row r="165">
      <c r="A165" s="233"/>
      <c r="B165" s="233"/>
      <c r="C165" s="233"/>
      <c r="D165" s="233"/>
      <c r="E165" s="233"/>
      <c r="F165" s="233"/>
      <c r="G165" s="233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</row>
    <row r="166">
      <c r="A166" s="233"/>
      <c r="B166" s="233"/>
      <c r="C166" s="233"/>
      <c r="D166" s="233"/>
      <c r="E166" s="233"/>
      <c r="F166" s="233"/>
      <c r="G166" s="233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</row>
    <row r="167">
      <c r="A167" s="233"/>
      <c r="B167" s="233"/>
      <c r="C167" s="233"/>
      <c r="D167" s="233"/>
      <c r="E167" s="233"/>
      <c r="F167" s="233"/>
      <c r="G167" s="233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</row>
    <row r="168">
      <c r="A168" s="233"/>
      <c r="B168" s="233"/>
      <c r="C168" s="233"/>
      <c r="D168" s="233"/>
      <c r="E168" s="233"/>
      <c r="F168" s="233"/>
      <c r="G168" s="233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</row>
    <row r="169">
      <c r="A169" s="233"/>
      <c r="B169" s="233"/>
      <c r="C169" s="233"/>
      <c r="D169" s="233"/>
      <c r="E169" s="233"/>
      <c r="F169" s="233"/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</row>
    <row r="170">
      <c r="A170" s="233"/>
      <c r="B170" s="233"/>
      <c r="C170" s="233"/>
      <c r="D170" s="233"/>
      <c r="E170" s="233"/>
      <c r="F170" s="233"/>
      <c r="G170" s="233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</row>
    <row r="171">
      <c r="A171" s="233"/>
      <c r="B171" s="233"/>
      <c r="C171" s="233"/>
      <c r="D171" s="233"/>
      <c r="E171" s="233"/>
      <c r="F171" s="233"/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</row>
    <row r="172">
      <c r="A172" s="233"/>
      <c r="B172" s="233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</row>
    <row r="173">
      <c r="A173" s="233"/>
      <c r="B173" s="233"/>
      <c r="C173" s="233"/>
      <c r="D173" s="233"/>
      <c r="E173" s="233"/>
      <c r="F173" s="233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</row>
    <row r="174">
      <c r="A174" s="233"/>
      <c r="B174" s="233"/>
      <c r="C174" s="233"/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</row>
    <row r="175">
      <c r="A175" s="233"/>
      <c r="B175" s="233"/>
      <c r="C175" s="233"/>
      <c r="D175" s="233"/>
      <c r="E175" s="233"/>
      <c r="F175" s="233"/>
      <c r="G175" s="233"/>
      <c r="H175" s="233"/>
      <c r="I175" s="233"/>
      <c r="J175" s="233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</row>
    <row r="176">
      <c r="A176" s="233"/>
      <c r="B176" s="233"/>
      <c r="C176" s="233"/>
      <c r="D176" s="233"/>
      <c r="E176" s="233"/>
      <c r="F176" s="233"/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</row>
    <row r="177">
      <c r="A177" s="233"/>
      <c r="B177" s="233"/>
      <c r="C177" s="233"/>
      <c r="D177" s="233"/>
      <c r="E177" s="233"/>
      <c r="F177" s="233"/>
      <c r="G177" s="233"/>
      <c r="H177" s="233"/>
      <c r="I177" s="233"/>
      <c r="J177" s="233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</row>
    <row r="178">
      <c r="A178" s="233"/>
      <c r="B178" s="233"/>
      <c r="C178" s="233"/>
      <c r="D178" s="233"/>
      <c r="E178" s="233"/>
      <c r="F178" s="233"/>
      <c r="G178" s="233"/>
      <c r="H178" s="233"/>
      <c r="I178" s="233"/>
      <c r="J178" s="233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</row>
    <row r="179">
      <c r="A179" s="233"/>
      <c r="B179" s="233"/>
      <c r="C179" s="233"/>
      <c r="D179" s="233"/>
      <c r="E179" s="233"/>
      <c r="F179" s="233"/>
      <c r="G179" s="233"/>
      <c r="H179" s="233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</row>
    <row r="180">
      <c r="A180" s="233"/>
      <c r="B180" s="233"/>
      <c r="C180" s="233"/>
      <c r="D180" s="233"/>
      <c r="E180" s="233"/>
      <c r="F180" s="233"/>
      <c r="G180" s="233"/>
      <c r="H180" s="233"/>
      <c r="I180" s="233"/>
      <c r="J180" s="233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</row>
    <row r="181">
      <c r="A181" s="233"/>
      <c r="B181" s="233"/>
      <c r="C181" s="233"/>
      <c r="D181" s="233"/>
      <c r="E181" s="233"/>
      <c r="F181" s="233"/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</row>
    <row r="182">
      <c r="A182" s="233"/>
      <c r="B182" s="233"/>
      <c r="C182" s="233"/>
      <c r="D182" s="233"/>
      <c r="E182" s="233"/>
      <c r="F182" s="233"/>
      <c r="G182" s="233"/>
      <c r="H182" s="233"/>
      <c r="I182" s="233"/>
      <c r="J182" s="233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</row>
    <row r="183">
      <c r="A183" s="233"/>
      <c r="B183" s="233"/>
      <c r="C183" s="233"/>
      <c r="D183" s="233"/>
      <c r="E183" s="233"/>
      <c r="F183" s="233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</row>
    <row r="184">
      <c r="A184" s="233"/>
      <c r="B184" s="233"/>
      <c r="C184" s="233"/>
      <c r="D184" s="233"/>
      <c r="E184" s="233"/>
      <c r="F184" s="233"/>
      <c r="G184" s="233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</row>
    <row r="185">
      <c r="A185" s="233"/>
      <c r="B185" s="233"/>
      <c r="C185" s="233"/>
      <c r="D185" s="233"/>
      <c r="E185" s="233"/>
      <c r="F185" s="233"/>
      <c r="G185" s="233"/>
      <c r="H185" s="233"/>
      <c r="I185" s="233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</row>
    <row r="186">
      <c r="A186" s="233"/>
      <c r="B186" s="233"/>
      <c r="C186" s="233"/>
      <c r="D186" s="233"/>
      <c r="E186" s="233"/>
      <c r="F186" s="233"/>
      <c r="G186" s="233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</row>
    <row r="187">
      <c r="A187" s="233"/>
      <c r="B187" s="233"/>
      <c r="C187" s="233"/>
      <c r="D187" s="233"/>
      <c r="E187" s="233"/>
      <c r="F187" s="233"/>
      <c r="G187" s="233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</row>
    <row r="188">
      <c r="A188" s="233"/>
      <c r="B188" s="233"/>
      <c r="C188" s="233"/>
      <c r="D188" s="233"/>
      <c r="E188" s="233"/>
      <c r="F188" s="233"/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</row>
    <row r="189">
      <c r="A189" s="233"/>
      <c r="B189" s="233"/>
      <c r="C189" s="233"/>
      <c r="D189" s="233"/>
      <c r="E189" s="233"/>
      <c r="F189" s="233"/>
      <c r="G189" s="233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</row>
    <row r="190">
      <c r="A190" s="233"/>
      <c r="B190" s="233"/>
      <c r="C190" s="233"/>
      <c r="D190" s="233"/>
      <c r="E190" s="233"/>
      <c r="F190" s="233"/>
      <c r="G190" s="233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</row>
    <row r="191">
      <c r="A191" s="233"/>
      <c r="B191" s="233"/>
      <c r="C191" s="233"/>
      <c r="D191" s="233"/>
      <c r="E191" s="233"/>
      <c r="F191" s="233"/>
      <c r="G191" s="233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</row>
    <row r="192">
      <c r="A192" s="233"/>
      <c r="B192" s="233"/>
      <c r="C192" s="233"/>
      <c r="D192" s="233"/>
      <c r="E192" s="233"/>
      <c r="F192" s="233"/>
      <c r="G192" s="233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</row>
    <row r="193">
      <c r="A193" s="233"/>
      <c r="B193" s="233"/>
      <c r="C193" s="233"/>
      <c r="D193" s="233"/>
      <c r="E193" s="233"/>
      <c r="F193" s="233"/>
      <c r="G193" s="233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</row>
    <row r="194">
      <c r="A194" s="233"/>
      <c r="B194" s="233"/>
      <c r="C194" s="233"/>
      <c r="D194" s="233"/>
      <c r="E194" s="233"/>
      <c r="F194" s="233"/>
      <c r="G194" s="233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</row>
    <row r="195">
      <c r="A195" s="233"/>
      <c r="B195" s="233"/>
      <c r="C195" s="233"/>
      <c r="D195" s="233"/>
      <c r="E195" s="233"/>
      <c r="F195" s="233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</row>
    <row r="196">
      <c r="A196" s="233"/>
      <c r="B196" s="233"/>
      <c r="C196" s="233"/>
      <c r="D196" s="233"/>
      <c r="E196" s="233"/>
      <c r="F196" s="233"/>
      <c r="G196" s="233"/>
      <c r="H196" s="233"/>
      <c r="I196" s="233"/>
      <c r="J196" s="233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</row>
    <row r="197">
      <c r="A197" s="233"/>
      <c r="B197" s="233"/>
      <c r="C197" s="233"/>
      <c r="D197" s="233"/>
      <c r="E197" s="233"/>
      <c r="F197" s="233"/>
      <c r="G197" s="233"/>
      <c r="H197" s="233"/>
      <c r="I197" s="233"/>
      <c r="J197" s="233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</row>
    <row r="198">
      <c r="A198" s="233"/>
      <c r="B198" s="233"/>
      <c r="C198" s="233"/>
      <c r="D198" s="233"/>
      <c r="E198" s="233"/>
      <c r="F198" s="233"/>
      <c r="G198" s="233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</row>
    <row r="199">
      <c r="A199" s="233"/>
      <c r="B199" s="233"/>
      <c r="C199" s="233"/>
      <c r="D199" s="233"/>
      <c r="E199" s="233"/>
      <c r="F199" s="233"/>
      <c r="G199" s="233"/>
      <c r="H199" s="233"/>
      <c r="I199" s="233"/>
      <c r="J199" s="233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</row>
    <row r="200">
      <c r="A200" s="233"/>
      <c r="B200" s="233"/>
      <c r="C200" s="233"/>
      <c r="D200" s="233"/>
      <c r="E200" s="233"/>
      <c r="F200" s="233"/>
      <c r="G200" s="233"/>
      <c r="H200" s="233"/>
      <c r="I200" s="233"/>
      <c r="J200" s="233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</row>
    <row r="201">
      <c r="A201" s="233"/>
      <c r="B201" s="233"/>
      <c r="C201" s="233"/>
      <c r="D201" s="233"/>
      <c r="E201" s="233"/>
      <c r="F201" s="233"/>
      <c r="G201" s="233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</row>
    <row r="202">
      <c r="A202" s="233"/>
      <c r="B202" s="233"/>
      <c r="C202" s="233"/>
      <c r="D202" s="233"/>
      <c r="E202" s="233"/>
      <c r="F202" s="233"/>
      <c r="G202" s="233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</row>
    <row r="203">
      <c r="A203" s="233"/>
      <c r="B203" s="233"/>
      <c r="C203" s="233"/>
      <c r="D203" s="233"/>
      <c r="E203" s="233"/>
      <c r="F203" s="233"/>
      <c r="G203" s="233"/>
      <c r="H203" s="233"/>
      <c r="I203" s="233"/>
      <c r="J203" s="233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</row>
    <row r="204">
      <c r="A204" s="233"/>
      <c r="B204" s="233"/>
      <c r="C204" s="233"/>
      <c r="D204" s="233"/>
      <c r="E204" s="233"/>
      <c r="F204" s="233"/>
      <c r="G204" s="233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</row>
    <row r="205">
      <c r="A205" s="233"/>
      <c r="B205" s="233"/>
      <c r="C205" s="233"/>
      <c r="D205" s="233"/>
      <c r="E205" s="233"/>
      <c r="F205" s="233"/>
      <c r="G205" s="233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</row>
    <row r="206">
      <c r="A206" s="233"/>
      <c r="B206" s="233"/>
      <c r="C206" s="233"/>
      <c r="D206" s="233"/>
      <c r="E206" s="233"/>
      <c r="F206" s="233"/>
      <c r="G206" s="233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</row>
    <row r="207">
      <c r="A207" s="233"/>
      <c r="B207" s="233"/>
      <c r="C207" s="233"/>
      <c r="D207" s="233"/>
      <c r="E207" s="233"/>
      <c r="F207" s="23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</row>
    <row r="208">
      <c r="A208" s="233"/>
      <c r="B208" s="233"/>
      <c r="C208" s="233"/>
      <c r="D208" s="233"/>
      <c r="E208" s="233"/>
      <c r="F208" s="233"/>
      <c r="G208" s="233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</row>
    <row r="209">
      <c r="A209" s="233"/>
      <c r="B209" s="233"/>
      <c r="C209" s="233"/>
      <c r="D209" s="233"/>
      <c r="E209" s="233"/>
      <c r="F209" s="233"/>
      <c r="G209" s="233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</row>
    <row r="210">
      <c r="A210" s="233"/>
      <c r="B210" s="233"/>
      <c r="C210" s="233"/>
      <c r="D210" s="233"/>
      <c r="E210" s="233"/>
      <c r="F210" s="233"/>
      <c r="G210" s="233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</row>
    <row r="211">
      <c r="A211" s="233"/>
      <c r="B211" s="233"/>
      <c r="C211" s="233"/>
      <c r="D211" s="233"/>
      <c r="E211" s="233"/>
      <c r="F211" s="233"/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</row>
    <row r="212">
      <c r="A212" s="233"/>
      <c r="B212" s="233"/>
      <c r="C212" s="233"/>
      <c r="D212" s="233"/>
      <c r="E212" s="233"/>
      <c r="F212" s="233"/>
      <c r="G212" s="233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</row>
    <row r="213">
      <c r="A213" s="233"/>
      <c r="B213" s="233"/>
      <c r="C213" s="233"/>
      <c r="D213" s="233"/>
      <c r="E213" s="233"/>
      <c r="F213" s="233"/>
      <c r="G213" s="233"/>
      <c r="H213" s="233"/>
      <c r="I213" s="233"/>
      <c r="J213" s="233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</row>
    <row r="214">
      <c r="A214" s="233"/>
      <c r="B214" s="233"/>
      <c r="C214" s="233"/>
      <c r="D214" s="233"/>
      <c r="E214" s="233"/>
      <c r="F214" s="233"/>
      <c r="G214" s="233"/>
      <c r="H214" s="233"/>
      <c r="I214" s="233"/>
      <c r="J214" s="233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</row>
    <row r="215">
      <c r="A215" s="233"/>
      <c r="B215" s="233"/>
      <c r="C215" s="233"/>
      <c r="D215" s="233"/>
      <c r="E215" s="233"/>
      <c r="F215" s="233"/>
      <c r="G215" s="233"/>
      <c r="H215" s="233"/>
      <c r="I215" s="233"/>
      <c r="J215" s="233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</row>
    <row r="216">
      <c r="A216" s="233"/>
      <c r="B216" s="233"/>
      <c r="C216" s="233"/>
      <c r="D216" s="233"/>
      <c r="E216" s="233"/>
      <c r="F216" s="233"/>
      <c r="G216" s="233"/>
      <c r="H216" s="233"/>
      <c r="I216" s="233"/>
      <c r="J216" s="233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</row>
    <row r="217">
      <c r="A217" s="233"/>
      <c r="B217" s="233"/>
      <c r="C217" s="233"/>
      <c r="D217" s="233"/>
      <c r="E217" s="233"/>
      <c r="F217" s="233"/>
      <c r="G217" s="233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</row>
    <row r="218">
      <c r="A218" s="233"/>
      <c r="B218" s="233"/>
      <c r="C218" s="233"/>
      <c r="D218" s="233"/>
      <c r="E218" s="233"/>
      <c r="F218" s="233"/>
      <c r="G218" s="233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</row>
    <row r="219">
      <c r="A219" s="233"/>
      <c r="B219" s="233"/>
      <c r="C219" s="233"/>
      <c r="D219" s="233"/>
      <c r="E219" s="233"/>
      <c r="F219" s="233"/>
      <c r="G219" s="233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</row>
    <row r="220">
      <c r="A220" s="233"/>
      <c r="B220" s="233"/>
      <c r="C220" s="233"/>
      <c r="D220" s="233"/>
      <c r="E220" s="233"/>
      <c r="F220" s="233"/>
      <c r="G220" s="233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</row>
    <row r="221">
      <c r="A221" s="233"/>
      <c r="B221" s="233"/>
      <c r="C221" s="233"/>
      <c r="D221" s="233"/>
      <c r="E221" s="233"/>
      <c r="F221" s="233"/>
      <c r="G221" s="233"/>
      <c r="H221" s="233"/>
      <c r="I221" s="233"/>
      <c r="J221" s="233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</row>
    <row r="222">
      <c r="A222" s="233"/>
      <c r="B222" s="233"/>
      <c r="C222" s="233"/>
      <c r="D222" s="233"/>
      <c r="E222" s="233"/>
      <c r="F222" s="233"/>
      <c r="G222" s="233"/>
      <c r="H222" s="233"/>
      <c r="I222" s="233"/>
      <c r="J222" s="233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</row>
    <row r="223">
      <c r="A223" s="233"/>
      <c r="B223" s="233"/>
      <c r="C223" s="233"/>
      <c r="D223" s="233"/>
      <c r="E223" s="233"/>
      <c r="F223" s="233"/>
      <c r="G223" s="233"/>
      <c r="H223" s="233"/>
      <c r="I223" s="233"/>
      <c r="J223" s="233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</row>
    <row r="224">
      <c r="A224" s="233"/>
      <c r="B224" s="233"/>
      <c r="C224" s="233"/>
      <c r="D224" s="233"/>
      <c r="E224" s="233"/>
      <c r="F224" s="233"/>
      <c r="G224" s="233"/>
      <c r="H224" s="233"/>
      <c r="I224" s="233"/>
      <c r="J224" s="233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</row>
    <row r="225">
      <c r="A225" s="233"/>
      <c r="B225" s="233"/>
      <c r="C225" s="233"/>
      <c r="D225" s="233"/>
      <c r="E225" s="233"/>
      <c r="F225" s="233"/>
      <c r="G225" s="233"/>
      <c r="H225" s="233"/>
      <c r="I225" s="233"/>
      <c r="J225" s="233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</row>
    <row r="226">
      <c r="A226" s="233"/>
      <c r="B226" s="233"/>
      <c r="C226" s="233"/>
      <c r="D226" s="233"/>
      <c r="E226" s="233"/>
      <c r="F226" s="233"/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</row>
    <row r="227">
      <c r="A227" s="233"/>
      <c r="B227" s="233"/>
      <c r="C227" s="233"/>
      <c r="D227" s="233"/>
      <c r="E227" s="233"/>
      <c r="F227" s="233"/>
      <c r="G227" s="233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</row>
    <row r="228">
      <c r="A228" s="233"/>
      <c r="B228" s="233"/>
      <c r="C228" s="233"/>
      <c r="D228" s="233"/>
      <c r="E228" s="233"/>
      <c r="F228" s="233"/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</row>
    <row r="229">
      <c r="A229" s="233"/>
      <c r="B229" s="233"/>
      <c r="C229" s="233"/>
      <c r="D229" s="233"/>
      <c r="E229" s="233"/>
      <c r="F229" s="233"/>
      <c r="G229" s="233"/>
      <c r="H229" s="233"/>
      <c r="I229" s="233"/>
      <c r="J229" s="233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</row>
    <row r="230">
      <c r="A230" s="233"/>
      <c r="B230" s="233"/>
      <c r="C230" s="233"/>
      <c r="D230" s="233"/>
      <c r="E230" s="233"/>
      <c r="F230" s="233"/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</row>
    <row r="231">
      <c r="A231" s="233"/>
      <c r="B231" s="233"/>
      <c r="C231" s="233"/>
      <c r="D231" s="233"/>
      <c r="E231" s="233"/>
      <c r="F231" s="233"/>
      <c r="G231" s="233"/>
      <c r="H231" s="233"/>
      <c r="I231" s="233"/>
      <c r="J231" s="233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</row>
    <row r="232">
      <c r="A232" s="233"/>
      <c r="B232" s="233"/>
      <c r="C232" s="233"/>
      <c r="D232" s="233"/>
      <c r="E232" s="233"/>
      <c r="F232" s="233"/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</row>
    <row r="233">
      <c r="A233" s="233"/>
      <c r="B233" s="233"/>
      <c r="C233" s="233"/>
      <c r="D233" s="233"/>
      <c r="E233" s="233"/>
      <c r="F233" s="233"/>
      <c r="G233" s="233"/>
      <c r="H233" s="233"/>
      <c r="I233" s="233"/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</row>
    <row r="234">
      <c r="A234" s="233"/>
      <c r="B234" s="233"/>
      <c r="C234" s="233"/>
      <c r="D234" s="233"/>
      <c r="E234" s="233"/>
      <c r="F234" s="233"/>
      <c r="G234" s="233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</row>
    <row r="235">
      <c r="A235" s="233"/>
      <c r="B235" s="233"/>
      <c r="C235" s="233"/>
      <c r="D235" s="233"/>
      <c r="E235" s="233"/>
      <c r="F235" s="233"/>
      <c r="G235" s="233"/>
      <c r="H235" s="233"/>
      <c r="I235" s="233"/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</row>
    <row r="236">
      <c r="A236" s="233"/>
      <c r="B236" s="233"/>
      <c r="C236" s="233"/>
      <c r="D236" s="233"/>
      <c r="E236" s="233"/>
      <c r="F236" s="233"/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</row>
    <row r="237">
      <c r="A237" s="233"/>
      <c r="B237" s="233"/>
      <c r="C237" s="233"/>
      <c r="D237" s="233"/>
      <c r="E237" s="233"/>
      <c r="F237" s="233"/>
      <c r="G237" s="233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</row>
    <row r="238">
      <c r="A238" s="233"/>
      <c r="B238" s="233"/>
      <c r="C238" s="233"/>
      <c r="D238" s="233"/>
      <c r="E238" s="233"/>
      <c r="F238" s="233"/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</row>
    <row r="239">
      <c r="A239" s="233"/>
      <c r="B239" s="233"/>
      <c r="C239" s="233"/>
      <c r="D239" s="233"/>
      <c r="E239" s="233"/>
      <c r="F239" s="233"/>
      <c r="G239" s="233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</row>
    <row r="240">
      <c r="A240" s="233"/>
      <c r="B240" s="233"/>
      <c r="C240" s="233"/>
      <c r="D240" s="233"/>
      <c r="E240" s="233"/>
      <c r="F240" s="233"/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</row>
    <row r="241">
      <c r="A241" s="233"/>
      <c r="B241" s="233"/>
      <c r="C241" s="233"/>
      <c r="D241" s="233"/>
      <c r="E241" s="233"/>
      <c r="F241" s="233"/>
      <c r="G241" s="233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</row>
    <row r="242">
      <c r="A242" s="233"/>
      <c r="B242" s="233"/>
      <c r="C242" s="233"/>
      <c r="D242" s="233"/>
      <c r="E242" s="233"/>
      <c r="F242" s="233"/>
      <c r="G242" s="233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</row>
    <row r="243">
      <c r="A243" s="233"/>
      <c r="B243" s="233"/>
      <c r="C243" s="233"/>
      <c r="D243" s="233"/>
      <c r="E243" s="233"/>
      <c r="F243" s="233"/>
      <c r="G243" s="233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</row>
    <row r="244">
      <c r="A244" s="233"/>
      <c r="B244" s="233"/>
      <c r="C244" s="233"/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</row>
    <row r="245">
      <c r="A245" s="233"/>
      <c r="B245" s="233"/>
      <c r="C245" s="233"/>
      <c r="D245" s="233"/>
      <c r="E245" s="233"/>
      <c r="F245" s="233"/>
      <c r="G245" s="233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</row>
    <row r="246">
      <c r="A246" s="233"/>
      <c r="B246" s="233"/>
      <c r="C246" s="233"/>
      <c r="D246" s="233"/>
      <c r="E246" s="233"/>
      <c r="F246" s="233"/>
      <c r="G246" s="233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</row>
    <row r="247">
      <c r="A247" s="233"/>
      <c r="B247" s="233"/>
      <c r="C247" s="233"/>
      <c r="D247" s="233"/>
      <c r="E247" s="233"/>
      <c r="F247" s="233"/>
      <c r="G247" s="233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</row>
    <row r="248">
      <c r="A248" s="233"/>
      <c r="B248" s="233"/>
      <c r="C248" s="233"/>
      <c r="D248" s="233"/>
      <c r="E248" s="233"/>
      <c r="F248" s="233"/>
      <c r="G248" s="233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</row>
    <row r="249">
      <c r="A249" s="233"/>
      <c r="B249" s="233"/>
      <c r="C249" s="233"/>
      <c r="D249" s="233"/>
      <c r="E249" s="233"/>
      <c r="F249" s="233"/>
      <c r="G249" s="233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</row>
    <row r="250">
      <c r="A250" s="233"/>
      <c r="B250" s="233"/>
      <c r="C250" s="233"/>
      <c r="D250" s="233"/>
      <c r="E250" s="233"/>
      <c r="F250" s="233"/>
      <c r="G250" s="233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</row>
    <row r="251">
      <c r="A251" s="233"/>
      <c r="B251" s="233"/>
      <c r="C251" s="233"/>
      <c r="D251" s="233"/>
      <c r="E251" s="233"/>
      <c r="F251" s="233"/>
      <c r="G251" s="233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</row>
    <row r="252">
      <c r="A252" s="233"/>
      <c r="B252" s="233"/>
      <c r="C252" s="233"/>
      <c r="D252" s="233"/>
      <c r="E252" s="233"/>
      <c r="F252" s="233"/>
      <c r="G252" s="233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</row>
    <row r="253">
      <c r="A253" s="233"/>
      <c r="B253" s="233"/>
      <c r="C253" s="233"/>
      <c r="D253" s="233"/>
      <c r="E253" s="233"/>
      <c r="F253" s="233"/>
      <c r="G253" s="233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</row>
    <row r="254">
      <c r="A254" s="233"/>
      <c r="B254" s="233"/>
      <c r="C254" s="233"/>
      <c r="D254" s="233"/>
      <c r="E254" s="233"/>
      <c r="F254" s="233"/>
      <c r="G254" s="233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</row>
    <row r="255">
      <c r="A255" s="233"/>
      <c r="B255" s="233"/>
      <c r="C255" s="233"/>
      <c r="D255" s="233"/>
      <c r="E255" s="233"/>
      <c r="F255" s="233"/>
      <c r="G255" s="233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</row>
    <row r="256">
      <c r="A256" s="233"/>
      <c r="B256" s="233"/>
      <c r="C256" s="233"/>
      <c r="D256" s="233"/>
      <c r="E256" s="233"/>
      <c r="F256" s="233"/>
      <c r="G256" s="233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</row>
    <row r="257">
      <c r="A257" s="233"/>
      <c r="B257" s="233"/>
      <c r="C257" s="233"/>
      <c r="D257" s="233"/>
      <c r="E257" s="233"/>
      <c r="F257" s="233"/>
      <c r="G257" s="233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</row>
    <row r="258">
      <c r="A258" s="233"/>
      <c r="B258" s="233"/>
      <c r="C258" s="233"/>
      <c r="D258" s="233"/>
      <c r="E258" s="233"/>
      <c r="F258" s="233"/>
      <c r="G258" s="233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</row>
    <row r="259">
      <c r="A259" s="233"/>
      <c r="B259" s="233"/>
      <c r="C259" s="233"/>
      <c r="D259" s="233"/>
      <c r="E259" s="233"/>
      <c r="F259" s="233"/>
      <c r="G259" s="233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</row>
    <row r="260">
      <c r="A260" s="233"/>
      <c r="B260" s="233"/>
      <c r="C260" s="233"/>
      <c r="D260" s="233"/>
      <c r="E260" s="233"/>
      <c r="F260" s="233"/>
      <c r="G260" s="233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</row>
    <row r="261">
      <c r="A261" s="233"/>
      <c r="B261" s="233"/>
      <c r="C261" s="233"/>
      <c r="D261" s="233"/>
      <c r="E261" s="233"/>
      <c r="F261" s="233"/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</row>
    <row r="262">
      <c r="A262" s="233"/>
      <c r="B262" s="233"/>
      <c r="C262" s="233"/>
      <c r="D262" s="233"/>
      <c r="E262" s="233"/>
      <c r="F262" s="233"/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</row>
    <row r="263">
      <c r="A263" s="233"/>
      <c r="B263" s="233"/>
      <c r="C263" s="233"/>
      <c r="D263" s="233"/>
      <c r="E263" s="233"/>
      <c r="F263" s="233"/>
      <c r="G263" s="233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</row>
    <row r="264">
      <c r="A264" s="233"/>
      <c r="B264" s="233"/>
      <c r="C264" s="233"/>
      <c r="D264" s="233"/>
      <c r="E264" s="233"/>
      <c r="F264" s="233"/>
      <c r="G264" s="233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</row>
    <row r="265">
      <c r="A265" s="233"/>
      <c r="B265" s="233"/>
      <c r="C265" s="233"/>
      <c r="D265" s="233"/>
      <c r="E265" s="233"/>
      <c r="F265" s="233"/>
      <c r="G265" s="233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</row>
    <row r="266">
      <c r="A266" s="233"/>
      <c r="B266" s="233"/>
      <c r="C266" s="233"/>
      <c r="D266" s="233"/>
      <c r="E266" s="233"/>
      <c r="F266" s="233"/>
      <c r="G266" s="233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</row>
    <row r="267">
      <c r="A267" s="233"/>
      <c r="B267" s="233"/>
      <c r="C267" s="233"/>
      <c r="D267" s="233"/>
      <c r="E267" s="233"/>
      <c r="F267" s="233"/>
      <c r="G267" s="233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</row>
    <row r="268">
      <c r="A268" s="233"/>
      <c r="B268" s="233"/>
      <c r="C268" s="233"/>
      <c r="D268" s="233"/>
      <c r="E268" s="233"/>
      <c r="F268" s="233"/>
      <c r="G268" s="233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</row>
    <row r="269">
      <c r="A269" s="233"/>
      <c r="B269" s="233"/>
      <c r="C269" s="233"/>
      <c r="D269" s="233"/>
      <c r="E269" s="233"/>
      <c r="F269" s="233"/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</row>
    <row r="270">
      <c r="A270" s="233"/>
      <c r="B270" s="233"/>
      <c r="C270" s="233"/>
      <c r="D270" s="233"/>
      <c r="E270" s="233"/>
      <c r="F270" s="233"/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</row>
    <row r="271">
      <c r="A271" s="233"/>
      <c r="B271" s="233"/>
      <c r="C271" s="233"/>
      <c r="D271" s="233"/>
      <c r="E271" s="233"/>
      <c r="F271" s="233"/>
      <c r="G271" s="233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</row>
    <row r="272">
      <c r="A272" s="233"/>
      <c r="B272" s="233"/>
      <c r="C272" s="233"/>
      <c r="D272" s="233"/>
      <c r="E272" s="233"/>
      <c r="F272" s="233"/>
      <c r="G272" s="233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</row>
    <row r="273">
      <c r="A273" s="233"/>
      <c r="B273" s="233"/>
      <c r="C273" s="233"/>
      <c r="D273" s="233"/>
      <c r="E273" s="233"/>
      <c r="F273" s="233"/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</row>
    <row r="274">
      <c r="A274" s="233"/>
      <c r="B274" s="233"/>
      <c r="C274" s="233"/>
      <c r="D274" s="233"/>
      <c r="E274" s="233"/>
      <c r="F274" s="233"/>
      <c r="G274" s="233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</row>
    <row r="275">
      <c r="A275" s="233"/>
      <c r="B275" s="233"/>
      <c r="C275" s="233"/>
      <c r="D275" s="233"/>
      <c r="E275" s="233"/>
      <c r="F275" s="233"/>
      <c r="G275" s="233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</row>
    <row r="276">
      <c r="A276" s="233"/>
      <c r="B276" s="233"/>
      <c r="C276" s="233"/>
      <c r="D276" s="233"/>
      <c r="E276" s="233"/>
      <c r="F276" s="233"/>
      <c r="G276" s="233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</row>
    <row r="277">
      <c r="A277" s="233"/>
      <c r="B277" s="233"/>
      <c r="C277" s="233"/>
      <c r="D277" s="233"/>
      <c r="E277" s="233"/>
      <c r="F277" s="233"/>
      <c r="G277" s="233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</row>
    <row r="278">
      <c r="A278" s="233"/>
      <c r="B278" s="233"/>
      <c r="C278" s="233"/>
      <c r="D278" s="233"/>
      <c r="E278" s="233"/>
      <c r="F278" s="233"/>
      <c r="G278" s="233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</row>
    <row r="279">
      <c r="A279" s="233"/>
      <c r="B279" s="233"/>
      <c r="C279" s="233"/>
      <c r="D279" s="233"/>
      <c r="E279" s="233"/>
      <c r="F279" s="233"/>
      <c r="G279" s="233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</row>
    <row r="280">
      <c r="A280" s="233"/>
      <c r="B280" s="233"/>
      <c r="C280" s="233"/>
      <c r="D280" s="233"/>
      <c r="E280" s="233"/>
      <c r="F280" s="233"/>
      <c r="G280" s="233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</row>
    <row r="281">
      <c r="A281" s="233"/>
      <c r="B281" s="233"/>
      <c r="C281" s="233"/>
      <c r="D281" s="233"/>
      <c r="E281" s="233"/>
      <c r="F281" s="233"/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</row>
    <row r="282">
      <c r="A282" s="233"/>
      <c r="B282" s="233"/>
      <c r="C282" s="233"/>
      <c r="D282" s="233"/>
      <c r="E282" s="233"/>
      <c r="F282" s="233"/>
      <c r="G282" s="233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</row>
    <row r="283">
      <c r="A283" s="233"/>
      <c r="B283" s="233"/>
      <c r="C283" s="233"/>
      <c r="D283" s="233"/>
      <c r="E283" s="233"/>
      <c r="F283" s="233"/>
      <c r="G283" s="233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</row>
    <row r="284">
      <c r="A284" s="233"/>
      <c r="B284" s="233"/>
      <c r="C284" s="233"/>
      <c r="D284" s="233"/>
      <c r="E284" s="233"/>
      <c r="F284" s="233"/>
      <c r="G284" s="233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</row>
    <row r="285">
      <c r="A285" s="233"/>
      <c r="B285" s="233"/>
      <c r="C285" s="233"/>
      <c r="D285" s="233"/>
      <c r="E285" s="233"/>
      <c r="F285" s="233"/>
      <c r="G285" s="233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</row>
    <row r="286">
      <c r="A286" s="233"/>
      <c r="B286" s="233"/>
      <c r="C286" s="233"/>
      <c r="D286" s="233"/>
      <c r="E286" s="233"/>
      <c r="F286" s="233"/>
      <c r="G286" s="233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</row>
    <row r="287">
      <c r="A287" s="233"/>
      <c r="B287" s="233"/>
      <c r="C287" s="233"/>
      <c r="D287" s="233"/>
      <c r="E287" s="233"/>
      <c r="F287" s="233"/>
      <c r="G287" s="233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</row>
    <row r="288">
      <c r="A288" s="233"/>
      <c r="B288" s="233"/>
      <c r="C288" s="233"/>
      <c r="D288" s="233"/>
      <c r="E288" s="233"/>
      <c r="F288" s="233"/>
      <c r="G288" s="233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</row>
    <row r="289">
      <c r="A289" s="233"/>
      <c r="B289" s="233"/>
      <c r="C289" s="233"/>
      <c r="D289" s="233"/>
      <c r="E289" s="233"/>
      <c r="F289" s="233"/>
      <c r="G289" s="233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</row>
    <row r="290">
      <c r="A290" s="233"/>
      <c r="B290" s="233"/>
      <c r="C290" s="233"/>
      <c r="D290" s="233"/>
      <c r="E290" s="233"/>
      <c r="F290" s="233"/>
      <c r="G290" s="233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</row>
    <row r="291">
      <c r="A291" s="233"/>
      <c r="B291" s="233"/>
      <c r="C291" s="233"/>
      <c r="D291" s="233"/>
      <c r="E291" s="233"/>
      <c r="F291" s="233"/>
      <c r="G291" s="233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</row>
    <row r="292">
      <c r="A292" s="233"/>
      <c r="B292" s="233"/>
      <c r="C292" s="233"/>
      <c r="D292" s="233"/>
      <c r="E292" s="233"/>
      <c r="F292" s="233"/>
      <c r="G292" s="233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</row>
    <row r="293">
      <c r="A293" s="233"/>
      <c r="B293" s="233"/>
      <c r="C293" s="233"/>
      <c r="D293" s="233"/>
      <c r="E293" s="233"/>
      <c r="F293" s="233"/>
      <c r="G293" s="233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</row>
    <row r="294">
      <c r="A294" s="233"/>
      <c r="B294" s="233"/>
      <c r="C294" s="233"/>
      <c r="D294" s="233"/>
      <c r="E294" s="233"/>
      <c r="F294" s="233"/>
      <c r="G294" s="233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</row>
    <row r="295">
      <c r="A295" s="233"/>
      <c r="B295" s="233"/>
      <c r="C295" s="233"/>
      <c r="D295" s="233"/>
      <c r="E295" s="233"/>
      <c r="F295" s="233"/>
      <c r="G295" s="233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</row>
    <row r="296">
      <c r="A296" s="233"/>
      <c r="B296" s="233"/>
      <c r="C296" s="233"/>
      <c r="D296" s="233"/>
      <c r="E296" s="233"/>
      <c r="F296" s="233"/>
      <c r="G296" s="233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</row>
    <row r="297">
      <c r="A297" s="233"/>
      <c r="B297" s="233"/>
      <c r="C297" s="233"/>
      <c r="D297" s="233"/>
      <c r="E297" s="233"/>
      <c r="F297" s="233"/>
      <c r="G297" s="233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</row>
    <row r="298">
      <c r="A298" s="233"/>
      <c r="B298" s="233"/>
      <c r="C298" s="233"/>
      <c r="D298" s="233"/>
      <c r="E298" s="233"/>
      <c r="F298" s="233"/>
      <c r="G298" s="233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</row>
    <row r="299">
      <c r="A299" s="233"/>
      <c r="B299" s="233"/>
      <c r="C299" s="233"/>
      <c r="D299" s="233"/>
      <c r="E299" s="233"/>
      <c r="F299" s="233"/>
      <c r="G299" s="233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</row>
    <row r="300">
      <c r="A300" s="233"/>
      <c r="B300" s="233"/>
      <c r="C300" s="233"/>
      <c r="D300" s="233"/>
      <c r="E300" s="233"/>
      <c r="F300" s="233"/>
      <c r="G300" s="233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</row>
    <row r="301">
      <c r="A301" s="233"/>
      <c r="B301" s="233"/>
      <c r="C301" s="233"/>
      <c r="D301" s="233"/>
      <c r="E301" s="233"/>
      <c r="F301" s="233"/>
      <c r="G301" s="233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</row>
    <row r="302">
      <c r="A302" s="233"/>
      <c r="B302" s="233"/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</row>
    <row r="303">
      <c r="A303" s="233"/>
      <c r="B303" s="233"/>
      <c r="C303" s="233"/>
      <c r="D303" s="233"/>
      <c r="E303" s="233"/>
      <c r="F303" s="233"/>
      <c r="G303" s="233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</row>
    <row r="304">
      <c r="A304" s="233"/>
      <c r="B304" s="233"/>
      <c r="C304" s="233"/>
      <c r="D304" s="233"/>
      <c r="E304" s="233"/>
      <c r="F304" s="233"/>
      <c r="G304" s="233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</row>
    <row r="305">
      <c r="A305" s="233"/>
      <c r="B305" s="233"/>
      <c r="C305" s="233"/>
      <c r="D305" s="233"/>
      <c r="E305" s="233"/>
      <c r="F305" s="233"/>
      <c r="G305" s="233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</row>
    <row r="306">
      <c r="A306" s="233"/>
      <c r="B306" s="233"/>
      <c r="C306" s="233"/>
      <c r="D306" s="233"/>
      <c r="E306" s="233"/>
      <c r="F306" s="233"/>
      <c r="G306" s="233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</row>
    <row r="307">
      <c r="A307" s="233"/>
      <c r="B307" s="233"/>
      <c r="C307" s="233"/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</row>
    <row r="308">
      <c r="A308" s="233"/>
      <c r="B308" s="233"/>
      <c r="C308" s="233"/>
      <c r="D308" s="233"/>
      <c r="E308" s="233"/>
      <c r="F308" s="233"/>
      <c r="G308" s="233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</row>
    <row r="309">
      <c r="A309" s="233"/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</row>
    <row r="310">
      <c r="A310" s="233"/>
      <c r="B310" s="233"/>
      <c r="C310" s="233"/>
      <c r="D310" s="233"/>
      <c r="E310" s="233"/>
      <c r="F310" s="233"/>
      <c r="G310" s="233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</row>
    <row r="311">
      <c r="A311" s="233"/>
      <c r="B311" s="233"/>
      <c r="C311" s="233"/>
      <c r="D311" s="233"/>
      <c r="E311" s="233"/>
      <c r="F311" s="233"/>
      <c r="G311" s="233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</row>
    <row r="312">
      <c r="A312" s="233"/>
      <c r="B312" s="233"/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</row>
    <row r="313">
      <c r="A313" s="233"/>
      <c r="B313" s="233"/>
      <c r="C313" s="233"/>
      <c r="D313" s="233"/>
      <c r="E313" s="233"/>
      <c r="F313" s="233"/>
      <c r="G313" s="233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</row>
    <row r="314">
      <c r="A314" s="233"/>
      <c r="B314" s="233"/>
      <c r="C314" s="233"/>
      <c r="D314" s="23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</row>
    <row r="315">
      <c r="A315" s="233"/>
      <c r="B315" s="233"/>
      <c r="C315" s="233"/>
      <c r="D315" s="233"/>
      <c r="E315" s="233"/>
      <c r="F315" s="233"/>
      <c r="G315" s="233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</row>
    <row r="316">
      <c r="A316" s="233"/>
      <c r="B316" s="233"/>
      <c r="C316" s="233"/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</row>
    <row r="317">
      <c r="A317" s="233"/>
      <c r="B317" s="233"/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</row>
    <row r="318">
      <c r="A318" s="233"/>
      <c r="B318" s="233"/>
      <c r="C318" s="233"/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</row>
    <row r="319">
      <c r="A319" s="233"/>
      <c r="B319" s="233"/>
      <c r="C319" s="233"/>
      <c r="D319" s="233"/>
      <c r="E319" s="233"/>
      <c r="F319" s="233"/>
      <c r="G319" s="233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</row>
    <row r="320">
      <c r="A320" s="233"/>
      <c r="B320" s="233"/>
      <c r="C320" s="233"/>
      <c r="D320" s="233"/>
      <c r="E320" s="233"/>
      <c r="F320" s="233"/>
      <c r="G320" s="233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</row>
    <row r="321">
      <c r="A321" s="233"/>
      <c r="B321" s="233"/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</row>
    <row r="322">
      <c r="A322" s="233"/>
      <c r="B322" s="233"/>
      <c r="C322" s="233"/>
      <c r="D322" s="233"/>
      <c r="E322" s="233"/>
      <c r="F322" s="233"/>
      <c r="G322" s="233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</row>
    <row r="323">
      <c r="A323" s="233"/>
      <c r="B323" s="233"/>
      <c r="C323" s="233"/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</row>
    <row r="324">
      <c r="A324" s="233"/>
      <c r="B324" s="233"/>
      <c r="C324" s="233"/>
      <c r="D324" s="233"/>
      <c r="E324" s="233"/>
      <c r="F324" s="233"/>
      <c r="G324" s="233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</row>
    <row r="325">
      <c r="A325" s="233"/>
      <c r="B325" s="233"/>
      <c r="C325" s="233"/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</row>
    <row r="326">
      <c r="A326" s="233"/>
      <c r="B326" s="233"/>
      <c r="C326" s="233"/>
      <c r="D326" s="233"/>
      <c r="E326" s="233"/>
      <c r="F326" s="233"/>
      <c r="G326" s="233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</row>
    <row r="327">
      <c r="A327" s="233"/>
      <c r="B327" s="233"/>
      <c r="C327" s="233"/>
      <c r="D327" s="233"/>
      <c r="E327" s="233"/>
      <c r="F327" s="233"/>
      <c r="G327" s="233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</row>
    <row r="328">
      <c r="A328" s="233"/>
      <c r="B328" s="233"/>
      <c r="C328" s="233"/>
      <c r="D328" s="233"/>
      <c r="E328" s="233"/>
      <c r="F328" s="233"/>
      <c r="G328" s="233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</row>
    <row r="329">
      <c r="A329" s="233"/>
      <c r="B329" s="233"/>
      <c r="C329" s="233"/>
      <c r="D329" s="233"/>
      <c r="E329" s="233"/>
      <c r="F329" s="233"/>
      <c r="G329" s="233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</row>
    <row r="330">
      <c r="A330" s="233"/>
      <c r="B330" s="233"/>
      <c r="C330" s="233"/>
      <c r="D330" s="233"/>
      <c r="E330" s="233"/>
      <c r="F330" s="233"/>
      <c r="G330" s="233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</row>
    <row r="331">
      <c r="A331" s="233"/>
      <c r="B331" s="233"/>
      <c r="C331" s="233"/>
      <c r="D331" s="233"/>
      <c r="E331" s="233"/>
      <c r="F331" s="233"/>
      <c r="G331" s="233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</row>
    <row r="332">
      <c r="A332" s="233"/>
      <c r="B332" s="233"/>
      <c r="C332" s="233"/>
      <c r="D332" s="233"/>
      <c r="E332" s="233"/>
      <c r="F332" s="233"/>
      <c r="G332" s="233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</row>
    <row r="333">
      <c r="A333" s="233"/>
      <c r="B333" s="233"/>
      <c r="C333" s="233"/>
      <c r="D333" s="233"/>
      <c r="E333" s="233"/>
      <c r="F333" s="233"/>
      <c r="G333" s="233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</row>
    <row r="334">
      <c r="A334" s="233"/>
      <c r="B334" s="233"/>
      <c r="C334" s="233"/>
      <c r="D334" s="233"/>
      <c r="E334" s="233"/>
      <c r="F334" s="233"/>
      <c r="G334" s="233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</row>
    <row r="335">
      <c r="A335" s="233"/>
      <c r="B335" s="233"/>
      <c r="C335" s="233"/>
      <c r="D335" s="233"/>
      <c r="E335" s="233"/>
      <c r="F335" s="233"/>
      <c r="G335" s="233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</row>
    <row r="336">
      <c r="A336" s="233"/>
      <c r="B336" s="233"/>
      <c r="C336" s="233"/>
      <c r="D336" s="233"/>
      <c r="E336" s="233"/>
      <c r="F336" s="233"/>
      <c r="G336" s="233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</row>
    <row r="337">
      <c r="A337" s="233"/>
      <c r="B337" s="233"/>
      <c r="C337" s="233"/>
      <c r="D337" s="233"/>
      <c r="E337" s="233"/>
      <c r="F337" s="233"/>
      <c r="G337" s="233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</row>
    <row r="338">
      <c r="A338" s="233"/>
      <c r="B338" s="233"/>
      <c r="C338" s="233"/>
      <c r="D338" s="233"/>
      <c r="E338" s="233"/>
      <c r="F338" s="233"/>
      <c r="G338" s="233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</row>
    <row r="339">
      <c r="A339" s="233"/>
      <c r="B339" s="233"/>
      <c r="C339" s="233"/>
      <c r="D339" s="233"/>
      <c r="E339" s="233"/>
      <c r="F339" s="233"/>
      <c r="G339" s="233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</row>
    <row r="340">
      <c r="A340" s="233"/>
      <c r="B340" s="233"/>
      <c r="C340" s="233"/>
      <c r="D340" s="233"/>
      <c r="E340" s="233"/>
      <c r="F340" s="233"/>
      <c r="G340" s="233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</row>
    <row r="341">
      <c r="A341" s="233"/>
      <c r="B341" s="233"/>
      <c r="C341" s="233"/>
      <c r="D341" s="233"/>
      <c r="E341" s="233"/>
      <c r="F341" s="233"/>
      <c r="G341" s="233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</row>
    <row r="342">
      <c r="A342" s="233"/>
      <c r="B342" s="233"/>
      <c r="C342" s="233"/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</row>
    <row r="343">
      <c r="A343" s="233"/>
      <c r="B343" s="233"/>
      <c r="C343" s="233"/>
      <c r="D343" s="233"/>
      <c r="E343" s="233"/>
      <c r="F343" s="233"/>
      <c r="G343" s="233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</row>
    <row r="344">
      <c r="A344" s="233"/>
      <c r="B344" s="233"/>
      <c r="C344" s="233"/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</row>
    <row r="345">
      <c r="A345" s="233"/>
      <c r="B345" s="233"/>
      <c r="C345" s="233"/>
      <c r="D345" s="233"/>
      <c r="E345" s="233"/>
      <c r="F345" s="233"/>
      <c r="G345" s="233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</row>
    <row r="346">
      <c r="A346" s="233"/>
      <c r="B346" s="233"/>
      <c r="C346" s="233"/>
      <c r="D346" s="233"/>
      <c r="E346" s="233"/>
      <c r="F346" s="233"/>
      <c r="G346" s="233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</row>
    <row r="347">
      <c r="A347" s="233"/>
      <c r="B347" s="233"/>
      <c r="C347" s="233"/>
      <c r="D347" s="233"/>
      <c r="E347" s="233"/>
      <c r="F347" s="233"/>
      <c r="G347" s="233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</row>
    <row r="348">
      <c r="A348" s="233"/>
      <c r="B348" s="233"/>
      <c r="C348" s="233"/>
      <c r="D348" s="233"/>
      <c r="E348" s="233"/>
      <c r="F348" s="233"/>
      <c r="G348" s="233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</row>
    <row r="349">
      <c r="A349" s="233"/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</row>
    <row r="350">
      <c r="A350" s="233"/>
      <c r="B350" s="233"/>
      <c r="C350" s="233"/>
      <c r="D350" s="233"/>
      <c r="E350" s="233"/>
      <c r="F350" s="233"/>
      <c r="G350" s="233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</row>
    <row r="351">
      <c r="A351" s="233"/>
      <c r="B351" s="233"/>
      <c r="C351" s="233"/>
      <c r="D351" s="233"/>
      <c r="E351" s="233"/>
      <c r="F351" s="233"/>
      <c r="G351" s="233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</row>
    <row r="352">
      <c r="A352" s="233"/>
      <c r="B352" s="233"/>
      <c r="C352" s="233"/>
      <c r="D352" s="233"/>
      <c r="E352" s="233"/>
      <c r="F352" s="233"/>
      <c r="G352" s="233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</row>
    <row r="353">
      <c r="A353" s="233"/>
      <c r="B353" s="233"/>
      <c r="C353" s="233"/>
      <c r="D353" s="233"/>
      <c r="E353" s="233"/>
      <c r="F353" s="233"/>
      <c r="G353" s="233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</row>
    <row r="354">
      <c r="A354" s="233"/>
      <c r="B354" s="233"/>
      <c r="C354" s="233"/>
      <c r="D354" s="233"/>
      <c r="E354" s="233"/>
      <c r="F354" s="233"/>
      <c r="G354" s="233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</row>
    <row r="355">
      <c r="A355" s="233"/>
      <c r="B355" s="233"/>
      <c r="C355" s="233"/>
      <c r="D355" s="233"/>
      <c r="E355" s="233"/>
      <c r="F355" s="233"/>
      <c r="G355" s="233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</row>
    <row r="356">
      <c r="A356" s="233"/>
      <c r="B356" s="233"/>
      <c r="C356" s="233"/>
      <c r="D356" s="233"/>
      <c r="E356" s="233"/>
      <c r="F356" s="233"/>
      <c r="G356" s="233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</row>
    <row r="357">
      <c r="A357" s="233"/>
      <c r="B357" s="233"/>
      <c r="C357" s="233"/>
      <c r="D357" s="233"/>
      <c r="E357" s="233"/>
      <c r="F357" s="233"/>
      <c r="G357" s="233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</row>
    <row r="358">
      <c r="A358" s="233"/>
      <c r="B358" s="233"/>
      <c r="C358" s="233"/>
      <c r="D358" s="233"/>
      <c r="E358" s="233"/>
      <c r="F358" s="233"/>
      <c r="G358" s="233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</row>
    <row r="359">
      <c r="A359" s="233"/>
      <c r="B359" s="233"/>
      <c r="C359" s="233"/>
      <c r="D359" s="233"/>
      <c r="E359" s="233"/>
      <c r="F359" s="233"/>
      <c r="G359" s="233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</row>
    <row r="360">
      <c r="A360" s="233"/>
      <c r="B360" s="233"/>
      <c r="C360" s="233"/>
      <c r="D360" s="233"/>
      <c r="E360" s="233"/>
      <c r="F360" s="233"/>
      <c r="G360" s="233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</row>
    <row r="361">
      <c r="A361" s="233"/>
      <c r="B361" s="233"/>
      <c r="C361" s="233"/>
      <c r="D361" s="233"/>
      <c r="E361" s="233"/>
      <c r="F361" s="233"/>
      <c r="G361" s="233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</row>
    <row r="362">
      <c r="A362" s="233"/>
      <c r="B362" s="233"/>
      <c r="C362" s="233"/>
      <c r="D362" s="233"/>
      <c r="E362" s="233"/>
      <c r="F362" s="233"/>
      <c r="G362" s="233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</row>
    <row r="363">
      <c r="A363" s="233"/>
      <c r="B363" s="233"/>
      <c r="C363" s="233"/>
      <c r="D363" s="233"/>
      <c r="E363" s="233"/>
      <c r="F363" s="233"/>
      <c r="G363" s="233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</row>
    <row r="364">
      <c r="A364" s="233"/>
      <c r="B364" s="233"/>
      <c r="C364" s="233"/>
      <c r="D364" s="233"/>
      <c r="E364" s="233"/>
      <c r="F364" s="233"/>
      <c r="G364" s="233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</row>
    <row r="365">
      <c r="A365" s="233"/>
      <c r="B365" s="233"/>
      <c r="C365" s="233"/>
      <c r="D365" s="233"/>
      <c r="E365" s="233"/>
      <c r="F365" s="233"/>
      <c r="G365" s="233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</row>
    <row r="366">
      <c r="A366" s="233"/>
      <c r="B366" s="233"/>
      <c r="C366" s="233"/>
      <c r="D366" s="233"/>
      <c r="E366" s="233"/>
      <c r="F366" s="233"/>
      <c r="G366" s="233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</row>
    <row r="367">
      <c r="A367" s="233"/>
      <c r="B367" s="233"/>
      <c r="C367" s="233"/>
      <c r="D367" s="233"/>
      <c r="E367" s="233"/>
      <c r="F367" s="233"/>
      <c r="G367" s="233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</row>
    <row r="368">
      <c r="A368" s="233"/>
      <c r="B368" s="233"/>
      <c r="C368" s="233"/>
      <c r="D368" s="233"/>
      <c r="E368" s="233"/>
      <c r="F368" s="233"/>
      <c r="G368" s="233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</row>
    <row r="369">
      <c r="A369" s="233"/>
      <c r="B369" s="233"/>
      <c r="C369" s="233"/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</row>
    <row r="370">
      <c r="A370" s="233"/>
      <c r="B370" s="233"/>
      <c r="C370" s="233"/>
      <c r="D370" s="233"/>
      <c r="E370" s="233"/>
      <c r="F370" s="233"/>
      <c r="G370" s="233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</row>
    <row r="371">
      <c r="A371" s="233"/>
      <c r="B371" s="233"/>
      <c r="C371" s="233"/>
      <c r="D371" s="233"/>
      <c r="E371" s="233"/>
      <c r="F371" s="233"/>
      <c r="G371" s="233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</row>
    <row r="372">
      <c r="A372" s="233"/>
      <c r="B372" s="233"/>
      <c r="C372" s="233"/>
      <c r="D372" s="233"/>
      <c r="E372" s="233"/>
      <c r="F372" s="233"/>
      <c r="G372" s="233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</row>
    <row r="373">
      <c r="A373" s="233"/>
      <c r="B373" s="233"/>
      <c r="C373" s="233"/>
      <c r="D373" s="233"/>
      <c r="E373" s="233"/>
      <c r="F373" s="233"/>
      <c r="G373" s="233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</row>
    <row r="374">
      <c r="A374" s="233"/>
      <c r="B374" s="233"/>
      <c r="C374" s="233"/>
      <c r="D374" s="233"/>
      <c r="E374" s="233"/>
      <c r="F374" s="233"/>
      <c r="G374" s="233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</row>
    <row r="375">
      <c r="A375" s="233"/>
      <c r="B375" s="233"/>
      <c r="C375" s="233"/>
      <c r="D375" s="233"/>
      <c r="E375" s="233"/>
      <c r="F375" s="233"/>
      <c r="G375" s="233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</row>
    <row r="376">
      <c r="A376" s="233"/>
      <c r="B376" s="233"/>
      <c r="C376" s="233"/>
      <c r="D376" s="233"/>
      <c r="E376" s="233"/>
      <c r="F376" s="233"/>
      <c r="G376" s="233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</row>
    <row r="377">
      <c r="A377" s="233"/>
      <c r="B377" s="233"/>
      <c r="C377" s="233"/>
      <c r="D377" s="233"/>
      <c r="E377" s="233"/>
      <c r="F377" s="233"/>
      <c r="G377" s="233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</row>
    <row r="378">
      <c r="A378" s="233"/>
      <c r="B378" s="233"/>
      <c r="C378" s="233"/>
      <c r="D378" s="233"/>
      <c r="E378" s="233"/>
      <c r="F378" s="233"/>
      <c r="G378" s="233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</row>
    <row r="379">
      <c r="A379" s="233"/>
      <c r="B379" s="233"/>
      <c r="C379" s="233"/>
      <c r="D379" s="233"/>
      <c r="E379" s="233"/>
      <c r="F379" s="233"/>
      <c r="G379" s="233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</row>
    <row r="380">
      <c r="A380" s="233"/>
      <c r="B380" s="233"/>
      <c r="C380" s="233"/>
      <c r="D380" s="233"/>
      <c r="E380" s="233"/>
      <c r="F380" s="233"/>
      <c r="G380" s="233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</row>
    <row r="381">
      <c r="A381" s="233"/>
      <c r="B381" s="233"/>
      <c r="C381" s="233"/>
      <c r="D381" s="233"/>
      <c r="E381" s="233"/>
      <c r="F381" s="233"/>
      <c r="G381" s="233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</row>
    <row r="382">
      <c r="A382" s="233"/>
      <c r="B382" s="233"/>
      <c r="C382" s="233"/>
      <c r="D382" s="233"/>
      <c r="E382" s="233"/>
      <c r="F382" s="233"/>
      <c r="G382" s="233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</row>
    <row r="383">
      <c r="A383" s="233"/>
      <c r="B383" s="233"/>
      <c r="C383" s="233"/>
      <c r="D383" s="233"/>
      <c r="E383" s="233"/>
      <c r="F383" s="233"/>
      <c r="G383" s="233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</row>
    <row r="384">
      <c r="A384" s="233"/>
      <c r="B384" s="233"/>
      <c r="C384" s="233"/>
      <c r="D384" s="233"/>
      <c r="E384" s="233"/>
      <c r="F384" s="233"/>
      <c r="G384" s="233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</row>
    <row r="385">
      <c r="A385" s="233"/>
      <c r="B385" s="233"/>
      <c r="C385" s="233"/>
      <c r="D385" s="233"/>
      <c r="E385" s="233"/>
      <c r="F385" s="233"/>
      <c r="G385" s="233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</row>
    <row r="386">
      <c r="A386" s="233"/>
      <c r="B386" s="233"/>
      <c r="C386" s="233"/>
      <c r="D386" s="233"/>
      <c r="E386" s="233"/>
      <c r="F386" s="233"/>
      <c r="G386" s="233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</row>
    <row r="387">
      <c r="A387" s="233"/>
      <c r="B387" s="233"/>
      <c r="C387" s="233"/>
      <c r="D387" s="233"/>
      <c r="E387" s="233"/>
      <c r="F387" s="233"/>
      <c r="G387" s="233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</row>
    <row r="388">
      <c r="A388" s="233"/>
      <c r="B388" s="233"/>
      <c r="C388" s="233"/>
      <c r="D388" s="233"/>
      <c r="E388" s="233"/>
      <c r="F388" s="233"/>
      <c r="G388" s="233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</row>
    <row r="389">
      <c r="A389" s="233"/>
      <c r="B389" s="233"/>
      <c r="C389" s="233"/>
      <c r="D389" s="233"/>
      <c r="E389" s="233"/>
      <c r="F389" s="233"/>
      <c r="G389" s="233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</row>
    <row r="390">
      <c r="A390" s="233"/>
      <c r="B390" s="233"/>
      <c r="C390" s="233"/>
      <c r="D390" s="233"/>
      <c r="E390" s="233"/>
      <c r="F390" s="233"/>
      <c r="G390" s="233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</row>
    <row r="391">
      <c r="A391" s="233"/>
      <c r="B391" s="233"/>
      <c r="C391" s="233"/>
      <c r="D391" s="233"/>
      <c r="E391" s="233"/>
      <c r="F391" s="233"/>
      <c r="G391" s="233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</row>
    <row r="392">
      <c r="A392" s="233"/>
      <c r="B392" s="233"/>
      <c r="C392" s="233"/>
      <c r="D392" s="233"/>
      <c r="E392" s="233"/>
      <c r="F392" s="233"/>
      <c r="G392" s="233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</row>
    <row r="393">
      <c r="A393" s="233"/>
      <c r="B393" s="233"/>
      <c r="C393" s="233"/>
      <c r="D393" s="233"/>
      <c r="E393" s="233"/>
      <c r="F393" s="233"/>
      <c r="G393" s="233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</row>
    <row r="394">
      <c r="A394" s="233"/>
      <c r="B394" s="233"/>
      <c r="C394" s="233"/>
      <c r="D394" s="233"/>
      <c r="E394" s="233"/>
      <c r="F394" s="233"/>
      <c r="G394" s="233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</row>
    <row r="395">
      <c r="A395" s="233"/>
      <c r="B395" s="233"/>
      <c r="C395" s="233"/>
      <c r="D395" s="233"/>
      <c r="E395" s="233"/>
      <c r="F395" s="233"/>
      <c r="G395" s="233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</row>
    <row r="396">
      <c r="A396" s="233"/>
      <c r="B396" s="233"/>
      <c r="C396" s="233"/>
      <c r="D396" s="233"/>
      <c r="E396" s="233"/>
      <c r="F396" s="233"/>
      <c r="G396" s="233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</row>
    <row r="397">
      <c r="A397" s="233"/>
      <c r="B397" s="233"/>
      <c r="C397" s="233"/>
      <c r="D397" s="233"/>
      <c r="E397" s="233"/>
      <c r="F397" s="233"/>
      <c r="G397" s="233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</row>
    <row r="398">
      <c r="A398" s="233"/>
      <c r="B398" s="233"/>
      <c r="C398" s="233"/>
      <c r="D398" s="233"/>
      <c r="E398" s="233"/>
      <c r="F398" s="233"/>
      <c r="G398" s="233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</row>
    <row r="399">
      <c r="A399" s="233"/>
      <c r="B399" s="233"/>
      <c r="C399" s="233"/>
      <c r="D399" s="233"/>
      <c r="E399" s="233"/>
      <c r="F399" s="233"/>
      <c r="G399" s="233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</row>
    <row r="400">
      <c r="A400" s="233"/>
      <c r="B400" s="233"/>
      <c r="C400" s="233"/>
      <c r="D400" s="233"/>
      <c r="E400" s="233"/>
      <c r="F400" s="233"/>
      <c r="G400" s="233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</row>
    <row r="401">
      <c r="A401" s="233"/>
      <c r="B401" s="233"/>
      <c r="C401" s="233"/>
      <c r="D401" s="233"/>
      <c r="E401" s="233"/>
      <c r="F401" s="233"/>
      <c r="G401" s="233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</row>
    <row r="402">
      <c r="A402" s="233"/>
      <c r="B402" s="233"/>
      <c r="C402" s="233"/>
      <c r="D402" s="233"/>
      <c r="E402" s="233"/>
      <c r="F402" s="233"/>
      <c r="G402" s="233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</row>
    <row r="403">
      <c r="A403" s="233"/>
      <c r="B403" s="233"/>
      <c r="C403" s="233"/>
      <c r="D403" s="233"/>
      <c r="E403" s="233"/>
      <c r="F403" s="233"/>
      <c r="G403" s="233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</row>
    <row r="404">
      <c r="A404" s="233"/>
      <c r="B404" s="233"/>
      <c r="C404" s="233"/>
      <c r="D404" s="233"/>
      <c r="E404" s="233"/>
      <c r="F404" s="233"/>
      <c r="G404" s="233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</row>
    <row r="405">
      <c r="A405" s="233"/>
      <c r="B405" s="233"/>
      <c r="C405" s="233"/>
      <c r="D405" s="233"/>
      <c r="E405" s="233"/>
      <c r="F405" s="233"/>
      <c r="G405" s="233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</row>
    <row r="406">
      <c r="A406" s="233"/>
      <c r="B406" s="233"/>
      <c r="C406" s="233"/>
      <c r="D406" s="233"/>
      <c r="E406" s="233"/>
      <c r="F406" s="233"/>
      <c r="G406" s="233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</row>
    <row r="407">
      <c r="A407" s="233"/>
      <c r="B407" s="233"/>
      <c r="C407" s="233"/>
      <c r="D407" s="233"/>
      <c r="E407" s="233"/>
      <c r="F407" s="233"/>
      <c r="G407" s="233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</row>
    <row r="408">
      <c r="A408" s="233"/>
      <c r="B408" s="233"/>
      <c r="C408" s="233"/>
      <c r="D408" s="233"/>
      <c r="E408" s="233"/>
      <c r="F408" s="233"/>
      <c r="G408" s="233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</row>
    <row r="409">
      <c r="A409" s="233"/>
      <c r="B409" s="233"/>
      <c r="C409" s="233"/>
      <c r="D409" s="233"/>
      <c r="E409" s="233"/>
      <c r="F409" s="233"/>
      <c r="G409" s="233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</row>
    <row r="410">
      <c r="A410" s="233"/>
      <c r="B410" s="233"/>
      <c r="C410" s="233"/>
      <c r="D410" s="233"/>
      <c r="E410" s="233"/>
      <c r="F410" s="233"/>
      <c r="G410" s="233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</row>
    <row r="411">
      <c r="A411" s="233"/>
      <c r="B411" s="233"/>
      <c r="C411" s="233"/>
      <c r="D411" s="233"/>
      <c r="E411" s="233"/>
      <c r="F411" s="233"/>
      <c r="G411" s="233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</row>
    <row r="412">
      <c r="A412" s="233"/>
      <c r="B412" s="233"/>
      <c r="C412" s="233"/>
      <c r="D412" s="233"/>
      <c r="E412" s="233"/>
      <c r="F412" s="233"/>
      <c r="G412" s="233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</row>
    <row r="413">
      <c r="A413" s="233"/>
      <c r="B413" s="233"/>
      <c r="C413" s="233"/>
      <c r="D413" s="233"/>
      <c r="E413" s="233"/>
      <c r="F413" s="233"/>
      <c r="G413" s="233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</row>
    <row r="414">
      <c r="A414" s="233"/>
      <c r="B414" s="233"/>
      <c r="C414" s="233"/>
      <c r="D414" s="233"/>
      <c r="E414" s="233"/>
      <c r="F414" s="233"/>
      <c r="G414" s="233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</row>
    <row r="415">
      <c r="A415" s="233"/>
      <c r="B415" s="233"/>
      <c r="C415" s="233"/>
      <c r="D415" s="233"/>
      <c r="E415" s="233"/>
      <c r="F415" s="233"/>
      <c r="G415" s="233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</row>
    <row r="416">
      <c r="A416" s="233"/>
      <c r="B416" s="233"/>
      <c r="C416" s="233"/>
      <c r="D416" s="233"/>
      <c r="E416" s="233"/>
      <c r="F416" s="233"/>
      <c r="G416" s="233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</row>
    <row r="417">
      <c r="A417" s="233"/>
      <c r="B417" s="233"/>
      <c r="C417" s="233"/>
      <c r="D417" s="233"/>
      <c r="E417" s="233"/>
      <c r="F417" s="233"/>
      <c r="G417" s="233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</row>
    <row r="418">
      <c r="A418" s="233"/>
      <c r="B418" s="233"/>
      <c r="C418" s="233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</row>
    <row r="419">
      <c r="A419" s="233"/>
      <c r="B419" s="233"/>
      <c r="C419" s="233"/>
      <c r="D419" s="233"/>
      <c r="E419" s="233"/>
      <c r="F419" s="233"/>
      <c r="G419" s="233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</row>
    <row r="420">
      <c r="A420" s="233"/>
      <c r="B420" s="233"/>
      <c r="C420" s="233"/>
      <c r="D420" s="233"/>
      <c r="E420" s="233"/>
      <c r="F420" s="233"/>
      <c r="G420" s="233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</row>
    <row r="421">
      <c r="A421" s="233"/>
      <c r="B421" s="233"/>
      <c r="C421" s="233"/>
      <c r="D421" s="233"/>
      <c r="E421" s="233"/>
      <c r="F421" s="233"/>
      <c r="G421" s="233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</row>
    <row r="422">
      <c r="A422" s="233"/>
      <c r="B422" s="233"/>
      <c r="C422" s="233"/>
      <c r="D422" s="233"/>
      <c r="E422" s="233"/>
      <c r="F422" s="233"/>
      <c r="G422" s="233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</row>
    <row r="423">
      <c r="A423" s="233"/>
      <c r="B423" s="233"/>
      <c r="C423" s="233"/>
      <c r="D423" s="233"/>
      <c r="E423" s="233"/>
      <c r="F423" s="233"/>
      <c r="G423" s="233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</row>
    <row r="424">
      <c r="A424" s="233"/>
      <c r="B424" s="233"/>
      <c r="C424" s="233"/>
      <c r="D424" s="233"/>
      <c r="E424" s="233"/>
      <c r="F424" s="233"/>
      <c r="G424" s="233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</row>
    <row r="425">
      <c r="A425" s="233"/>
      <c r="B425" s="233"/>
      <c r="C425" s="233"/>
      <c r="D425" s="233"/>
      <c r="E425" s="233"/>
      <c r="F425" s="233"/>
      <c r="G425" s="233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</row>
    <row r="426">
      <c r="A426" s="233"/>
      <c r="B426" s="233"/>
      <c r="C426" s="233"/>
      <c r="D426" s="233"/>
      <c r="E426" s="233"/>
      <c r="F426" s="233"/>
      <c r="G426" s="233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</row>
    <row r="427">
      <c r="A427" s="233"/>
      <c r="B427" s="233"/>
      <c r="C427" s="233"/>
      <c r="D427" s="233"/>
      <c r="E427" s="233"/>
      <c r="F427" s="233"/>
      <c r="G427" s="233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</row>
    <row r="428">
      <c r="A428" s="233"/>
      <c r="B428" s="233"/>
      <c r="C428" s="233"/>
      <c r="D428" s="233"/>
      <c r="E428" s="233"/>
      <c r="F428" s="233"/>
      <c r="G428" s="233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</row>
    <row r="429">
      <c r="A429" s="233"/>
      <c r="B429" s="233"/>
      <c r="C429" s="233"/>
      <c r="D429" s="233"/>
      <c r="E429" s="233"/>
      <c r="F429" s="233"/>
      <c r="G429" s="233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</row>
    <row r="430">
      <c r="A430" s="233"/>
      <c r="B430" s="233"/>
      <c r="C430" s="233"/>
      <c r="D430" s="233"/>
      <c r="E430" s="233"/>
      <c r="F430" s="233"/>
      <c r="G430" s="233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</row>
    <row r="431">
      <c r="A431" s="233"/>
      <c r="B431" s="233"/>
      <c r="C431" s="233"/>
      <c r="D431" s="233"/>
      <c r="E431" s="233"/>
      <c r="F431" s="233"/>
      <c r="G431" s="233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</row>
    <row r="432">
      <c r="A432" s="233"/>
      <c r="B432" s="233"/>
      <c r="C432" s="233"/>
      <c r="D432" s="233"/>
      <c r="E432" s="233"/>
      <c r="F432" s="233"/>
      <c r="G432" s="233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</row>
    <row r="433">
      <c r="A433" s="233"/>
      <c r="B433" s="233"/>
      <c r="C433" s="233"/>
      <c r="D433" s="233"/>
      <c r="E433" s="233"/>
      <c r="F433" s="233"/>
      <c r="G433" s="233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</row>
    <row r="434">
      <c r="A434" s="233"/>
      <c r="B434" s="233"/>
      <c r="C434" s="233"/>
      <c r="D434" s="233"/>
      <c r="E434" s="233"/>
      <c r="F434" s="233"/>
      <c r="G434" s="233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</row>
    <row r="435">
      <c r="A435" s="233"/>
      <c r="B435" s="233"/>
      <c r="C435" s="233"/>
      <c r="D435" s="233"/>
      <c r="E435" s="233"/>
      <c r="F435" s="233"/>
      <c r="G435" s="233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</row>
    <row r="436">
      <c r="A436" s="233"/>
      <c r="B436" s="233"/>
      <c r="C436" s="233"/>
      <c r="D436" s="233"/>
      <c r="E436" s="233"/>
      <c r="F436" s="233"/>
      <c r="G436" s="233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</row>
    <row r="437">
      <c r="A437" s="233"/>
      <c r="B437" s="233"/>
      <c r="C437" s="233"/>
      <c r="D437" s="233"/>
      <c r="E437" s="233"/>
      <c r="F437" s="233"/>
      <c r="G437" s="233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</row>
    <row r="438">
      <c r="A438" s="233"/>
      <c r="B438" s="233"/>
      <c r="C438" s="233"/>
      <c r="D438" s="233"/>
      <c r="E438" s="233"/>
      <c r="F438" s="233"/>
      <c r="G438" s="233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</row>
    <row r="439">
      <c r="A439" s="233"/>
      <c r="B439" s="233"/>
      <c r="C439" s="233"/>
      <c r="D439" s="233"/>
      <c r="E439" s="233"/>
      <c r="F439" s="233"/>
      <c r="G439" s="233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</row>
    <row r="440">
      <c r="A440" s="233"/>
      <c r="B440" s="233"/>
      <c r="C440" s="233"/>
      <c r="D440" s="233"/>
      <c r="E440" s="233"/>
      <c r="F440" s="233"/>
      <c r="G440" s="233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</row>
    <row r="441">
      <c r="A441" s="233"/>
      <c r="B441" s="233"/>
      <c r="C441" s="233"/>
      <c r="D441" s="233"/>
      <c r="E441" s="233"/>
      <c r="F441" s="233"/>
      <c r="G441" s="233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</row>
    <row r="442">
      <c r="A442" s="233"/>
      <c r="B442" s="233"/>
      <c r="C442" s="233"/>
      <c r="D442" s="233"/>
      <c r="E442" s="233"/>
      <c r="F442" s="233"/>
      <c r="G442" s="233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</row>
    <row r="443">
      <c r="A443" s="233"/>
      <c r="B443" s="233"/>
      <c r="C443" s="233"/>
      <c r="D443" s="233"/>
      <c r="E443" s="233"/>
      <c r="F443" s="233"/>
      <c r="G443" s="233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</row>
    <row r="444">
      <c r="A444" s="233"/>
      <c r="B444" s="233"/>
      <c r="C444" s="233"/>
      <c r="D444" s="233"/>
      <c r="E444" s="233"/>
      <c r="F444" s="233"/>
      <c r="G444" s="233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</row>
    <row r="445">
      <c r="A445" s="233"/>
      <c r="B445" s="233"/>
      <c r="C445" s="233"/>
      <c r="D445" s="233"/>
      <c r="E445" s="233"/>
      <c r="F445" s="233"/>
      <c r="G445" s="233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</row>
    <row r="446">
      <c r="A446" s="233"/>
      <c r="B446" s="233"/>
      <c r="C446" s="233"/>
      <c r="D446" s="233"/>
      <c r="E446" s="233"/>
      <c r="F446" s="233"/>
      <c r="G446" s="233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</row>
    <row r="447">
      <c r="A447" s="233"/>
      <c r="B447" s="233"/>
      <c r="C447" s="233"/>
      <c r="D447" s="233"/>
      <c r="E447" s="233"/>
      <c r="F447" s="233"/>
      <c r="G447" s="233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</row>
    <row r="448">
      <c r="A448" s="233"/>
      <c r="B448" s="233"/>
      <c r="C448" s="233"/>
      <c r="D448" s="233"/>
      <c r="E448" s="233"/>
      <c r="F448" s="233"/>
      <c r="G448" s="233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</row>
    <row r="449">
      <c r="A449" s="233"/>
      <c r="B449" s="233"/>
      <c r="C449" s="233"/>
      <c r="D449" s="233"/>
      <c r="E449" s="233"/>
      <c r="F449" s="233"/>
      <c r="G449" s="233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</row>
    <row r="450">
      <c r="A450" s="233"/>
      <c r="B450" s="233"/>
      <c r="C450" s="233"/>
      <c r="D450" s="233"/>
      <c r="E450" s="233"/>
      <c r="F450" s="233"/>
      <c r="G450" s="233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</row>
    <row r="451">
      <c r="A451" s="233"/>
      <c r="B451" s="233"/>
      <c r="C451" s="233"/>
      <c r="D451" s="233"/>
      <c r="E451" s="233"/>
      <c r="F451" s="233"/>
      <c r="G451" s="233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</row>
    <row r="452">
      <c r="A452" s="233"/>
      <c r="B452" s="233"/>
      <c r="C452" s="233"/>
      <c r="D452" s="233"/>
      <c r="E452" s="233"/>
      <c r="F452" s="233"/>
      <c r="G452" s="233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</row>
    <row r="453">
      <c r="A453" s="233"/>
      <c r="B453" s="233"/>
      <c r="C453" s="23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</row>
    <row r="454">
      <c r="A454" s="233"/>
      <c r="B454" s="233"/>
      <c r="C454" s="233"/>
      <c r="D454" s="233"/>
      <c r="E454" s="233"/>
      <c r="F454" s="233"/>
      <c r="G454" s="233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</row>
    <row r="455">
      <c r="A455" s="233"/>
      <c r="B455" s="233"/>
      <c r="C455" s="233"/>
      <c r="D455" s="233"/>
      <c r="E455" s="233"/>
      <c r="F455" s="233"/>
      <c r="G455" s="233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</row>
    <row r="456">
      <c r="A456" s="233"/>
      <c r="B456" s="233"/>
      <c r="C456" s="233"/>
      <c r="D456" s="233"/>
      <c r="E456" s="233"/>
      <c r="F456" s="233"/>
      <c r="G456" s="233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</row>
    <row r="457">
      <c r="A457" s="233"/>
      <c r="B457" s="233"/>
      <c r="C457" s="233"/>
      <c r="D457" s="233"/>
      <c r="E457" s="233"/>
      <c r="F457" s="233"/>
      <c r="G457" s="233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</row>
    <row r="458">
      <c r="A458" s="233"/>
      <c r="B458" s="233"/>
      <c r="C458" s="233"/>
      <c r="D458" s="233"/>
      <c r="E458" s="233"/>
      <c r="F458" s="233"/>
      <c r="G458" s="233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</row>
    <row r="459">
      <c r="A459" s="233"/>
      <c r="B459" s="233"/>
      <c r="C459" s="233"/>
      <c r="D459" s="233"/>
      <c r="E459" s="233"/>
      <c r="F459" s="233"/>
      <c r="G459" s="233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</row>
    <row r="460">
      <c r="A460" s="233"/>
      <c r="B460" s="233"/>
      <c r="C460" s="233"/>
      <c r="D460" s="233"/>
      <c r="E460" s="233"/>
      <c r="F460" s="233"/>
      <c r="G460" s="233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</row>
    <row r="461">
      <c r="A461" s="233"/>
      <c r="B461" s="233"/>
      <c r="C461" s="233"/>
      <c r="D461" s="233"/>
      <c r="E461" s="233"/>
      <c r="F461" s="233"/>
      <c r="G461" s="233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</row>
    <row r="462">
      <c r="A462" s="233"/>
      <c r="B462" s="233"/>
      <c r="C462" s="233"/>
      <c r="D462" s="233"/>
      <c r="E462" s="233"/>
      <c r="F462" s="233"/>
      <c r="G462" s="233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</row>
    <row r="463">
      <c r="A463" s="233"/>
      <c r="B463" s="233"/>
      <c r="C463" s="233"/>
      <c r="D463" s="233"/>
      <c r="E463" s="233"/>
      <c r="F463" s="233"/>
      <c r="G463" s="233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</row>
    <row r="464">
      <c r="A464" s="233"/>
      <c r="B464" s="233"/>
      <c r="C464" s="233"/>
      <c r="D464" s="233"/>
      <c r="E464" s="233"/>
      <c r="F464" s="233"/>
      <c r="G464" s="233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</row>
    <row r="465">
      <c r="A465" s="233"/>
      <c r="B465" s="233"/>
      <c r="C465" s="233"/>
      <c r="D465" s="233"/>
      <c r="E465" s="233"/>
      <c r="F465" s="233"/>
      <c r="G465" s="233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</row>
    <row r="466">
      <c r="A466" s="233"/>
      <c r="B466" s="233"/>
      <c r="C466" s="233"/>
      <c r="D466" s="233"/>
      <c r="E466" s="233"/>
      <c r="F466" s="233"/>
      <c r="G466" s="233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</row>
    <row r="467">
      <c r="A467" s="233"/>
      <c r="B467" s="233"/>
      <c r="C467" s="233"/>
      <c r="D467" s="233"/>
      <c r="E467" s="233"/>
      <c r="F467" s="233"/>
      <c r="G467" s="233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</row>
    <row r="468">
      <c r="A468" s="233"/>
      <c r="B468" s="233"/>
      <c r="C468" s="233"/>
      <c r="D468" s="233"/>
      <c r="E468" s="233"/>
      <c r="F468" s="233"/>
      <c r="G468" s="233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</row>
    <row r="469">
      <c r="A469" s="233"/>
      <c r="B469" s="233"/>
      <c r="C469" s="233"/>
      <c r="D469" s="233"/>
      <c r="E469" s="233"/>
      <c r="F469" s="233"/>
      <c r="G469" s="233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</row>
    <row r="470">
      <c r="A470" s="233"/>
      <c r="B470" s="233"/>
      <c r="C470" s="233"/>
      <c r="D470" s="233"/>
      <c r="E470" s="233"/>
      <c r="F470" s="233"/>
      <c r="G470" s="233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</row>
    <row r="471">
      <c r="A471" s="233"/>
      <c r="B471" s="233"/>
      <c r="C471" s="233"/>
      <c r="D471" s="233"/>
      <c r="E471" s="233"/>
      <c r="F471" s="233"/>
      <c r="G471" s="233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</row>
    <row r="472">
      <c r="A472" s="233"/>
      <c r="B472" s="233"/>
      <c r="C472" s="233"/>
      <c r="D472" s="233"/>
      <c r="E472" s="233"/>
      <c r="F472" s="233"/>
      <c r="G472" s="233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</row>
    <row r="473">
      <c r="A473" s="233"/>
      <c r="B473" s="233"/>
      <c r="C473" s="233"/>
      <c r="D473" s="233"/>
      <c r="E473" s="233"/>
      <c r="F473" s="233"/>
      <c r="G473" s="233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</row>
    <row r="474">
      <c r="A474" s="233"/>
      <c r="B474" s="233"/>
      <c r="C474" s="233"/>
      <c r="D474" s="233"/>
      <c r="E474" s="233"/>
      <c r="F474" s="233"/>
      <c r="G474" s="233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</row>
    <row r="475">
      <c r="A475" s="233"/>
      <c r="B475" s="233"/>
      <c r="C475" s="233"/>
      <c r="D475" s="233"/>
      <c r="E475" s="233"/>
      <c r="F475" s="233"/>
      <c r="G475" s="233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</row>
    <row r="476">
      <c r="A476" s="233"/>
      <c r="B476" s="233"/>
      <c r="C476" s="233"/>
      <c r="D476" s="233"/>
      <c r="E476" s="233"/>
      <c r="F476" s="233"/>
      <c r="G476" s="233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</row>
    <row r="477">
      <c r="A477" s="233"/>
      <c r="B477" s="233"/>
      <c r="C477" s="233"/>
      <c r="D477" s="233"/>
      <c r="E477" s="233"/>
      <c r="F477" s="233"/>
      <c r="G477" s="233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</row>
    <row r="478">
      <c r="A478" s="233"/>
      <c r="B478" s="233"/>
      <c r="C478" s="233"/>
      <c r="D478" s="233"/>
      <c r="E478" s="233"/>
      <c r="F478" s="233"/>
      <c r="G478" s="233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</row>
    <row r="479">
      <c r="A479" s="233"/>
      <c r="B479" s="233"/>
      <c r="C479" s="233"/>
      <c r="D479" s="233"/>
      <c r="E479" s="233"/>
      <c r="F479" s="233"/>
      <c r="G479" s="233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</row>
    <row r="480">
      <c r="A480" s="233"/>
      <c r="B480" s="233"/>
      <c r="C480" s="233"/>
      <c r="D480" s="233"/>
      <c r="E480" s="233"/>
      <c r="F480" s="233"/>
      <c r="G480" s="233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</row>
    <row r="481">
      <c r="A481" s="233"/>
      <c r="B481" s="233"/>
      <c r="C481" s="233"/>
      <c r="D481" s="233"/>
      <c r="E481" s="233"/>
      <c r="F481" s="233"/>
      <c r="G481" s="233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</row>
    <row r="482">
      <c r="A482" s="233"/>
      <c r="B482" s="233"/>
      <c r="C482" s="233"/>
      <c r="D482" s="233"/>
      <c r="E482" s="233"/>
      <c r="F482" s="233"/>
      <c r="G482" s="233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</row>
    <row r="483">
      <c r="A483" s="233"/>
      <c r="B483" s="233"/>
      <c r="C483" s="233"/>
      <c r="D483" s="233"/>
      <c r="E483" s="233"/>
      <c r="F483" s="233"/>
      <c r="G483" s="233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</row>
    <row r="484">
      <c r="A484" s="233"/>
      <c r="B484" s="233"/>
      <c r="C484" s="233"/>
      <c r="D484" s="233"/>
      <c r="E484" s="233"/>
      <c r="F484" s="233"/>
      <c r="G484" s="233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</row>
    <row r="485">
      <c r="A485" s="233"/>
      <c r="B485" s="233"/>
      <c r="C485" s="233"/>
      <c r="D485" s="233"/>
      <c r="E485" s="233"/>
      <c r="F485" s="233"/>
      <c r="G485" s="233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</row>
    <row r="486">
      <c r="A486" s="233"/>
      <c r="B486" s="233"/>
      <c r="C486" s="233"/>
      <c r="D486" s="233"/>
      <c r="E486" s="233"/>
      <c r="F486" s="233"/>
      <c r="G486" s="233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</row>
    <row r="487">
      <c r="A487" s="233"/>
      <c r="B487" s="233"/>
      <c r="C487" s="233"/>
      <c r="D487" s="233"/>
      <c r="E487" s="233"/>
      <c r="F487" s="233"/>
      <c r="G487" s="233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</row>
    <row r="488">
      <c r="A488" s="233"/>
      <c r="B488" s="233"/>
      <c r="C488" s="233"/>
      <c r="D488" s="233"/>
      <c r="E488" s="233"/>
      <c r="F488" s="233"/>
      <c r="G488" s="233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</row>
    <row r="489">
      <c r="A489" s="233"/>
      <c r="B489" s="233"/>
      <c r="C489" s="233"/>
      <c r="D489" s="233"/>
      <c r="E489" s="233"/>
      <c r="F489" s="233"/>
      <c r="G489" s="233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</row>
    <row r="490">
      <c r="A490" s="233"/>
      <c r="B490" s="233"/>
      <c r="C490" s="233"/>
      <c r="D490" s="233"/>
      <c r="E490" s="233"/>
      <c r="F490" s="233"/>
      <c r="G490" s="233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</row>
    <row r="491">
      <c r="A491" s="233"/>
      <c r="B491" s="233"/>
      <c r="C491" s="233"/>
      <c r="D491" s="233"/>
      <c r="E491" s="233"/>
      <c r="F491" s="233"/>
      <c r="G491" s="233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</row>
    <row r="492">
      <c r="A492" s="233"/>
      <c r="B492" s="233"/>
      <c r="C492" s="233"/>
      <c r="D492" s="233"/>
      <c r="E492" s="233"/>
      <c r="F492" s="233"/>
      <c r="G492" s="233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</row>
    <row r="493">
      <c r="A493" s="233"/>
      <c r="B493" s="233"/>
      <c r="C493" s="233"/>
      <c r="D493" s="233"/>
      <c r="E493" s="233"/>
      <c r="F493" s="233"/>
      <c r="G493" s="233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</row>
    <row r="494">
      <c r="A494" s="233"/>
      <c r="B494" s="233"/>
      <c r="C494" s="233"/>
      <c r="D494" s="233"/>
      <c r="E494" s="233"/>
      <c r="F494" s="233"/>
      <c r="G494" s="233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</row>
    <row r="495">
      <c r="A495" s="233"/>
      <c r="B495" s="233"/>
      <c r="C495" s="233"/>
      <c r="D495" s="233"/>
      <c r="E495" s="233"/>
      <c r="F495" s="233"/>
      <c r="G495" s="233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</row>
    <row r="496">
      <c r="A496" s="233"/>
      <c r="B496" s="233"/>
      <c r="C496" s="233"/>
      <c r="D496" s="233"/>
      <c r="E496" s="233"/>
      <c r="F496" s="233"/>
      <c r="G496" s="233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</row>
    <row r="497">
      <c r="A497" s="233"/>
      <c r="B497" s="233"/>
      <c r="C497" s="233"/>
      <c r="D497" s="233"/>
      <c r="E497" s="233"/>
      <c r="F497" s="233"/>
      <c r="G497" s="233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</row>
    <row r="498">
      <c r="A498" s="233"/>
      <c r="B498" s="233"/>
      <c r="C498" s="233"/>
      <c r="D498" s="233"/>
      <c r="E498" s="233"/>
      <c r="F498" s="233"/>
      <c r="G498" s="233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</row>
    <row r="499">
      <c r="A499" s="233"/>
      <c r="B499" s="233"/>
      <c r="C499" s="233"/>
      <c r="D499" s="233"/>
      <c r="E499" s="233"/>
      <c r="F499" s="233"/>
      <c r="G499" s="233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</row>
    <row r="500">
      <c r="A500" s="233"/>
      <c r="B500" s="233"/>
      <c r="C500" s="233"/>
      <c r="D500" s="233"/>
      <c r="E500" s="233"/>
      <c r="F500" s="233"/>
      <c r="G500" s="233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</row>
    <row r="501">
      <c r="A501" s="233"/>
      <c r="B501" s="233"/>
      <c r="C501" s="233"/>
      <c r="D501" s="233"/>
      <c r="E501" s="233"/>
      <c r="F501" s="233"/>
      <c r="G501" s="233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</row>
    <row r="502">
      <c r="A502" s="233"/>
      <c r="B502" s="233"/>
      <c r="C502" s="233"/>
      <c r="D502" s="233"/>
      <c r="E502" s="233"/>
      <c r="F502" s="233"/>
      <c r="G502" s="233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</row>
    <row r="503">
      <c r="A503" s="233"/>
      <c r="B503" s="233"/>
      <c r="C503" s="233"/>
      <c r="D503" s="233"/>
      <c r="E503" s="233"/>
      <c r="F503" s="233"/>
      <c r="G503" s="233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</row>
    <row r="504">
      <c r="A504" s="233"/>
      <c r="B504" s="233"/>
      <c r="C504" s="233"/>
      <c r="D504" s="233"/>
      <c r="E504" s="233"/>
      <c r="F504" s="233"/>
      <c r="G504" s="233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</row>
    <row r="505">
      <c r="A505" s="233"/>
      <c r="B505" s="233"/>
      <c r="C505" s="233"/>
      <c r="D505" s="233"/>
      <c r="E505" s="233"/>
      <c r="F505" s="233"/>
      <c r="G505" s="233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</row>
    <row r="506">
      <c r="A506" s="233"/>
      <c r="B506" s="233"/>
      <c r="C506" s="233"/>
      <c r="D506" s="233"/>
      <c r="E506" s="233"/>
      <c r="F506" s="233"/>
      <c r="G506" s="233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</row>
    <row r="507">
      <c r="A507" s="233"/>
      <c r="B507" s="233"/>
      <c r="C507" s="233"/>
      <c r="D507" s="233"/>
      <c r="E507" s="233"/>
      <c r="F507" s="233"/>
      <c r="G507" s="233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</row>
    <row r="508">
      <c r="A508" s="233"/>
      <c r="B508" s="233"/>
      <c r="C508" s="233"/>
      <c r="D508" s="233"/>
      <c r="E508" s="233"/>
      <c r="F508" s="233"/>
      <c r="G508" s="233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</row>
    <row r="509">
      <c r="A509" s="233"/>
      <c r="B509" s="233"/>
      <c r="C509" s="233"/>
      <c r="D509" s="233"/>
      <c r="E509" s="233"/>
      <c r="F509" s="233"/>
      <c r="G509" s="233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</row>
    <row r="510">
      <c r="A510" s="233"/>
      <c r="B510" s="233"/>
      <c r="C510" s="233"/>
      <c r="D510" s="233"/>
      <c r="E510" s="233"/>
      <c r="F510" s="233"/>
      <c r="G510" s="233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</row>
    <row r="511">
      <c r="A511" s="233"/>
      <c r="B511" s="233"/>
      <c r="C511" s="233"/>
      <c r="D511" s="233"/>
      <c r="E511" s="233"/>
      <c r="F511" s="233"/>
      <c r="G511" s="233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</row>
    <row r="512">
      <c r="A512" s="233"/>
      <c r="B512" s="233"/>
      <c r="C512" s="233"/>
      <c r="D512" s="233"/>
      <c r="E512" s="233"/>
      <c r="F512" s="233"/>
      <c r="G512" s="233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</row>
    <row r="513">
      <c r="A513" s="233"/>
      <c r="B513" s="233"/>
      <c r="C513" s="233"/>
      <c r="D513" s="233"/>
      <c r="E513" s="233"/>
      <c r="F513" s="233"/>
      <c r="G513" s="233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</row>
    <row r="514">
      <c r="A514" s="233"/>
      <c r="B514" s="233"/>
      <c r="C514" s="233"/>
      <c r="D514" s="233"/>
      <c r="E514" s="233"/>
      <c r="F514" s="233"/>
      <c r="G514" s="233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</row>
    <row r="515">
      <c r="A515" s="233"/>
      <c r="B515" s="233"/>
      <c r="C515" s="233"/>
      <c r="D515" s="233"/>
      <c r="E515" s="233"/>
      <c r="F515" s="233"/>
      <c r="G515" s="233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</row>
    <row r="516">
      <c r="A516" s="233"/>
      <c r="B516" s="233"/>
      <c r="C516" s="233"/>
      <c r="D516" s="233"/>
      <c r="E516" s="233"/>
      <c r="F516" s="233"/>
      <c r="G516" s="233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</row>
    <row r="517">
      <c r="A517" s="233"/>
      <c r="B517" s="233"/>
      <c r="C517" s="233"/>
      <c r="D517" s="233"/>
      <c r="E517" s="233"/>
      <c r="F517" s="233"/>
      <c r="G517" s="233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</row>
    <row r="518">
      <c r="A518" s="233"/>
      <c r="B518" s="233"/>
      <c r="C518" s="233"/>
      <c r="D518" s="233"/>
      <c r="E518" s="233"/>
      <c r="F518" s="233"/>
      <c r="G518" s="233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</row>
    <row r="519">
      <c r="A519" s="233"/>
      <c r="B519" s="233"/>
      <c r="C519" s="233"/>
      <c r="D519" s="233"/>
      <c r="E519" s="233"/>
      <c r="F519" s="233"/>
      <c r="G519" s="233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</row>
    <row r="520">
      <c r="A520" s="233"/>
      <c r="B520" s="233"/>
      <c r="C520" s="233"/>
      <c r="D520" s="233"/>
      <c r="E520" s="233"/>
      <c r="F520" s="233"/>
      <c r="G520" s="233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</row>
    <row r="521">
      <c r="A521" s="233"/>
      <c r="B521" s="233"/>
      <c r="C521" s="233"/>
      <c r="D521" s="233"/>
      <c r="E521" s="233"/>
      <c r="F521" s="233"/>
      <c r="G521" s="233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</row>
    <row r="522">
      <c r="A522" s="233"/>
      <c r="B522" s="233"/>
      <c r="C522" s="233"/>
      <c r="D522" s="233"/>
      <c r="E522" s="233"/>
      <c r="F522" s="233"/>
      <c r="G522" s="233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</row>
    <row r="523">
      <c r="A523" s="233"/>
      <c r="B523" s="233"/>
      <c r="C523" s="233"/>
      <c r="D523" s="233"/>
      <c r="E523" s="233"/>
      <c r="F523" s="233"/>
      <c r="G523" s="233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</row>
    <row r="524">
      <c r="A524" s="233"/>
      <c r="B524" s="233"/>
      <c r="C524" s="233"/>
      <c r="D524" s="233"/>
      <c r="E524" s="233"/>
      <c r="F524" s="233"/>
      <c r="G524" s="233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</row>
    <row r="525">
      <c r="A525" s="233"/>
      <c r="B525" s="233"/>
      <c r="C525" s="233"/>
      <c r="D525" s="233"/>
      <c r="E525" s="233"/>
      <c r="F525" s="233"/>
      <c r="G525" s="233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</row>
    <row r="526">
      <c r="A526" s="233"/>
      <c r="B526" s="233"/>
      <c r="C526" s="233"/>
      <c r="D526" s="233"/>
      <c r="E526" s="233"/>
      <c r="F526" s="233"/>
      <c r="G526" s="233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</row>
    <row r="527">
      <c r="A527" s="233"/>
      <c r="B527" s="233"/>
      <c r="C527" s="233"/>
      <c r="D527" s="233"/>
      <c r="E527" s="233"/>
      <c r="F527" s="233"/>
      <c r="G527" s="233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</row>
    <row r="528">
      <c r="A528" s="233"/>
      <c r="B528" s="233"/>
      <c r="C528" s="233"/>
      <c r="D528" s="233"/>
      <c r="E528" s="233"/>
      <c r="F528" s="233"/>
      <c r="G528" s="233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</row>
    <row r="529">
      <c r="A529" s="233"/>
      <c r="B529" s="233"/>
      <c r="C529" s="233"/>
      <c r="D529" s="233"/>
      <c r="E529" s="233"/>
      <c r="F529" s="233"/>
      <c r="G529" s="233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</row>
    <row r="530">
      <c r="A530" s="233"/>
      <c r="B530" s="233"/>
      <c r="C530" s="233"/>
      <c r="D530" s="233"/>
      <c r="E530" s="233"/>
      <c r="F530" s="233"/>
      <c r="G530" s="233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</row>
    <row r="531">
      <c r="A531" s="233"/>
      <c r="B531" s="233"/>
      <c r="C531" s="233"/>
      <c r="D531" s="233"/>
      <c r="E531" s="233"/>
      <c r="F531" s="233"/>
      <c r="G531" s="233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</row>
    <row r="532">
      <c r="A532" s="233"/>
      <c r="B532" s="233"/>
      <c r="C532" s="233"/>
      <c r="D532" s="233"/>
      <c r="E532" s="233"/>
      <c r="F532" s="233"/>
      <c r="G532" s="233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</row>
    <row r="533">
      <c r="A533" s="233"/>
      <c r="B533" s="233"/>
      <c r="C533" s="233"/>
      <c r="D533" s="233"/>
      <c r="E533" s="233"/>
      <c r="F533" s="233"/>
      <c r="G533" s="233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</row>
    <row r="534">
      <c r="A534" s="233"/>
      <c r="B534" s="233"/>
      <c r="C534" s="233"/>
      <c r="D534" s="233"/>
      <c r="E534" s="233"/>
      <c r="F534" s="233"/>
      <c r="G534" s="233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</row>
    <row r="535">
      <c r="A535" s="233"/>
      <c r="B535" s="233"/>
      <c r="C535" s="233"/>
      <c r="D535" s="233"/>
      <c r="E535" s="233"/>
      <c r="F535" s="233"/>
      <c r="G535" s="233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</row>
    <row r="536">
      <c r="A536" s="233"/>
      <c r="B536" s="233"/>
      <c r="C536" s="233"/>
      <c r="D536" s="233"/>
      <c r="E536" s="233"/>
      <c r="F536" s="233"/>
      <c r="G536" s="233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</row>
    <row r="537">
      <c r="A537" s="233"/>
      <c r="B537" s="233"/>
      <c r="C537" s="233"/>
      <c r="D537" s="233"/>
      <c r="E537" s="233"/>
      <c r="F537" s="233"/>
      <c r="G537" s="233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</row>
    <row r="538">
      <c r="A538" s="233"/>
      <c r="B538" s="233"/>
      <c r="C538" s="233"/>
      <c r="D538" s="233"/>
      <c r="E538" s="233"/>
      <c r="F538" s="233"/>
      <c r="G538" s="233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</row>
    <row r="539">
      <c r="A539" s="233"/>
      <c r="B539" s="233"/>
      <c r="C539" s="233"/>
      <c r="D539" s="233"/>
      <c r="E539" s="233"/>
      <c r="F539" s="233"/>
      <c r="G539" s="233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</row>
    <row r="540">
      <c r="A540" s="233"/>
      <c r="B540" s="233"/>
      <c r="C540" s="233"/>
      <c r="D540" s="233"/>
      <c r="E540" s="233"/>
      <c r="F540" s="233"/>
      <c r="G540" s="233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</row>
    <row r="541">
      <c r="A541" s="233"/>
      <c r="B541" s="233"/>
      <c r="C541" s="233"/>
      <c r="D541" s="233"/>
      <c r="E541" s="233"/>
      <c r="F541" s="233"/>
      <c r="G541" s="233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</row>
    <row r="542">
      <c r="A542" s="233"/>
      <c r="B542" s="233"/>
      <c r="C542" s="233"/>
      <c r="D542" s="233"/>
      <c r="E542" s="233"/>
      <c r="F542" s="233"/>
      <c r="G542" s="233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</row>
    <row r="543">
      <c r="A543" s="233"/>
      <c r="B543" s="233"/>
      <c r="C543" s="233"/>
      <c r="D543" s="233"/>
      <c r="E543" s="233"/>
      <c r="F543" s="233"/>
      <c r="G543" s="233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</row>
    <row r="544">
      <c r="A544" s="233"/>
      <c r="B544" s="233"/>
      <c r="C544" s="233"/>
      <c r="D544" s="233"/>
      <c r="E544" s="233"/>
      <c r="F544" s="233"/>
      <c r="G544" s="233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</row>
    <row r="545">
      <c r="A545" s="233"/>
      <c r="B545" s="233"/>
      <c r="C545" s="233"/>
      <c r="D545" s="233"/>
      <c r="E545" s="233"/>
      <c r="F545" s="233"/>
      <c r="G545" s="233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</row>
    <row r="546">
      <c r="A546" s="233"/>
      <c r="B546" s="233"/>
      <c r="C546" s="233"/>
      <c r="D546" s="233"/>
      <c r="E546" s="233"/>
      <c r="F546" s="233"/>
      <c r="G546" s="233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</row>
    <row r="547">
      <c r="A547" s="233"/>
      <c r="B547" s="233"/>
      <c r="C547" s="233"/>
      <c r="D547" s="233"/>
      <c r="E547" s="233"/>
      <c r="F547" s="233"/>
      <c r="G547" s="233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</row>
    <row r="548">
      <c r="A548" s="233"/>
      <c r="B548" s="233"/>
      <c r="C548" s="233"/>
      <c r="D548" s="233"/>
      <c r="E548" s="233"/>
      <c r="F548" s="233"/>
      <c r="G548" s="233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</row>
    <row r="549">
      <c r="A549" s="233"/>
      <c r="B549" s="233"/>
      <c r="C549" s="233"/>
      <c r="D549" s="233"/>
      <c r="E549" s="233"/>
      <c r="F549" s="233"/>
      <c r="G549" s="233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</row>
    <row r="550">
      <c r="A550" s="233"/>
      <c r="B550" s="233"/>
      <c r="C550" s="233"/>
      <c r="D550" s="233"/>
      <c r="E550" s="233"/>
      <c r="F550" s="233"/>
      <c r="G550" s="233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</row>
    <row r="551">
      <c r="A551" s="233"/>
      <c r="B551" s="233"/>
      <c r="C551" s="233"/>
      <c r="D551" s="233"/>
      <c r="E551" s="233"/>
      <c r="F551" s="233"/>
      <c r="G551" s="233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</row>
    <row r="552">
      <c r="A552" s="233"/>
      <c r="B552" s="233"/>
      <c r="C552" s="233"/>
      <c r="D552" s="233"/>
      <c r="E552" s="233"/>
      <c r="F552" s="233"/>
      <c r="G552" s="233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</row>
    <row r="553">
      <c r="A553" s="233"/>
      <c r="B553" s="233"/>
      <c r="C553" s="233"/>
      <c r="D553" s="233"/>
      <c r="E553" s="233"/>
      <c r="F553" s="233"/>
      <c r="G553" s="233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</row>
    <row r="554">
      <c r="A554" s="233"/>
      <c r="B554" s="233"/>
      <c r="C554" s="233"/>
      <c r="D554" s="233"/>
      <c r="E554" s="233"/>
      <c r="F554" s="233"/>
      <c r="G554" s="233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</row>
    <row r="555">
      <c r="A555" s="233"/>
      <c r="B555" s="233"/>
      <c r="C555" s="233"/>
      <c r="D555" s="233"/>
      <c r="E555" s="233"/>
      <c r="F555" s="233"/>
      <c r="G555" s="233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</row>
    <row r="556">
      <c r="A556" s="233"/>
      <c r="B556" s="233"/>
      <c r="C556" s="233"/>
      <c r="D556" s="233"/>
      <c r="E556" s="233"/>
      <c r="F556" s="233"/>
      <c r="G556" s="233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</row>
    <row r="557">
      <c r="A557" s="233"/>
      <c r="B557" s="233"/>
      <c r="C557" s="233"/>
      <c r="D557" s="233"/>
      <c r="E557" s="233"/>
      <c r="F557" s="233"/>
      <c r="G557" s="233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</row>
    <row r="558">
      <c r="A558" s="233"/>
      <c r="B558" s="233"/>
      <c r="C558" s="233"/>
      <c r="D558" s="233"/>
      <c r="E558" s="233"/>
      <c r="F558" s="233"/>
      <c r="G558" s="233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</row>
    <row r="559">
      <c r="A559" s="233"/>
      <c r="B559" s="233"/>
      <c r="C559" s="233"/>
      <c r="D559" s="233"/>
      <c r="E559" s="233"/>
      <c r="F559" s="233"/>
      <c r="G559" s="233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</row>
    <row r="560">
      <c r="A560" s="233"/>
      <c r="B560" s="233"/>
      <c r="C560" s="233"/>
      <c r="D560" s="233"/>
      <c r="E560" s="233"/>
      <c r="F560" s="233"/>
      <c r="G560" s="233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</row>
    <row r="561">
      <c r="A561" s="233"/>
      <c r="B561" s="233"/>
      <c r="C561" s="233"/>
      <c r="D561" s="233"/>
      <c r="E561" s="233"/>
      <c r="F561" s="233"/>
      <c r="G561" s="233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</row>
    <row r="562">
      <c r="A562" s="233"/>
      <c r="B562" s="233"/>
      <c r="C562" s="233"/>
      <c r="D562" s="233"/>
      <c r="E562" s="233"/>
      <c r="F562" s="233"/>
      <c r="G562" s="233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</row>
    <row r="563">
      <c r="A563" s="233"/>
      <c r="B563" s="233"/>
      <c r="C563" s="233"/>
      <c r="D563" s="233"/>
      <c r="E563" s="233"/>
      <c r="F563" s="233"/>
      <c r="G563" s="233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</row>
    <row r="564">
      <c r="A564" s="233"/>
      <c r="B564" s="233"/>
      <c r="C564" s="233"/>
      <c r="D564" s="233"/>
      <c r="E564" s="233"/>
      <c r="F564" s="233"/>
      <c r="G564" s="233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</row>
    <row r="565">
      <c r="A565" s="233"/>
      <c r="B565" s="233"/>
      <c r="C565" s="233"/>
      <c r="D565" s="233"/>
      <c r="E565" s="233"/>
      <c r="F565" s="233"/>
      <c r="G565" s="233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</row>
    <row r="566">
      <c r="A566" s="233"/>
      <c r="B566" s="233"/>
      <c r="C566" s="233"/>
      <c r="D566" s="233"/>
      <c r="E566" s="233"/>
      <c r="F566" s="233"/>
      <c r="G566" s="233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</row>
    <row r="567">
      <c r="A567" s="233"/>
      <c r="B567" s="233"/>
      <c r="C567" s="233"/>
      <c r="D567" s="233"/>
      <c r="E567" s="233"/>
      <c r="F567" s="233"/>
      <c r="G567" s="233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</row>
    <row r="568">
      <c r="A568" s="233"/>
      <c r="B568" s="233"/>
      <c r="C568" s="233"/>
      <c r="D568" s="233"/>
      <c r="E568" s="233"/>
      <c r="F568" s="233"/>
      <c r="G568" s="233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</row>
    <row r="569">
      <c r="A569" s="233"/>
      <c r="B569" s="233"/>
      <c r="C569" s="233"/>
      <c r="D569" s="233"/>
      <c r="E569" s="233"/>
      <c r="F569" s="233"/>
      <c r="G569" s="233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</row>
    <row r="570">
      <c r="A570" s="233"/>
      <c r="B570" s="233"/>
      <c r="C570" s="233"/>
      <c r="D570" s="233"/>
      <c r="E570" s="233"/>
      <c r="F570" s="233"/>
      <c r="G570" s="233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</row>
    <row r="571">
      <c r="A571" s="233"/>
      <c r="B571" s="233"/>
      <c r="C571" s="233"/>
      <c r="D571" s="233"/>
      <c r="E571" s="233"/>
      <c r="F571" s="233"/>
      <c r="G571" s="233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</row>
    <row r="572">
      <c r="A572" s="233"/>
      <c r="B572" s="233"/>
      <c r="C572" s="233"/>
      <c r="D572" s="233"/>
      <c r="E572" s="233"/>
      <c r="F572" s="233"/>
      <c r="G572" s="233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</row>
    <row r="573">
      <c r="A573" s="233"/>
      <c r="B573" s="233"/>
      <c r="C573" s="233"/>
      <c r="D573" s="233"/>
      <c r="E573" s="233"/>
      <c r="F573" s="233"/>
      <c r="G573" s="233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</row>
    <row r="574">
      <c r="A574" s="233"/>
      <c r="B574" s="233"/>
      <c r="C574" s="233"/>
      <c r="D574" s="233"/>
      <c r="E574" s="233"/>
      <c r="F574" s="233"/>
      <c r="G574" s="233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</row>
    <row r="575">
      <c r="A575" s="233"/>
      <c r="B575" s="233"/>
      <c r="C575" s="233"/>
      <c r="D575" s="233"/>
      <c r="E575" s="233"/>
      <c r="F575" s="233"/>
      <c r="G575" s="233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</row>
    <row r="576">
      <c r="A576" s="233"/>
      <c r="B576" s="233"/>
      <c r="C576" s="233"/>
      <c r="D576" s="233"/>
      <c r="E576" s="233"/>
      <c r="F576" s="233"/>
      <c r="G576" s="233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</row>
    <row r="577">
      <c r="A577" s="233"/>
      <c r="B577" s="233"/>
      <c r="C577" s="233"/>
      <c r="D577" s="233"/>
      <c r="E577" s="233"/>
      <c r="F577" s="233"/>
      <c r="G577" s="233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</row>
    <row r="578">
      <c r="A578" s="233"/>
      <c r="B578" s="233"/>
      <c r="C578" s="233"/>
      <c r="D578" s="233"/>
      <c r="E578" s="233"/>
      <c r="F578" s="233"/>
      <c r="G578" s="233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</row>
    <row r="579">
      <c r="A579" s="233"/>
      <c r="B579" s="233"/>
      <c r="C579" s="233"/>
      <c r="D579" s="233"/>
      <c r="E579" s="233"/>
      <c r="F579" s="233"/>
      <c r="G579" s="233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</row>
    <row r="580">
      <c r="A580" s="233"/>
      <c r="B580" s="233"/>
      <c r="C580" s="233"/>
      <c r="D580" s="233"/>
      <c r="E580" s="233"/>
      <c r="F580" s="233"/>
      <c r="G580" s="233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</row>
    <row r="581">
      <c r="A581" s="233"/>
      <c r="B581" s="233"/>
      <c r="C581" s="233"/>
      <c r="D581" s="233"/>
      <c r="E581" s="233"/>
      <c r="F581" s="233"/>
      <c r="G581" s="233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</row>
    <row r="582">
      <c r="A582" s="233"/>
      <c r="B582" s="233"/>
      <c r="C582" s="233"/>
      <c r="D582" s="233"/>
      <c r="E582" s="233"/>
      <c r="F582" s="233"/>
      <c r="G582" s="233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</row>
    <row r="583">
      <c r="A583" s="233"/>
      <c r="B583" s="233"/>
      <c r="C583" s="233"/>
      <c r="D583" s="233"/>
      <c r="E583" s="233"/>
      <c r="F583" s="233"/>
      <c r="G583" s="233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</row>
    <row r="584">
      <c r="A584" s="233"/>
      <c r="B584" s="233"/>
      <c r="C584" s="233"/>
      <c r="D584" s="233"/>
      <c r="E584" s="233"/>
      <c r="F584" s="233"/>
      <c r="G584" s="233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</row>
    <row r="585">
      <c r="A585" s="233"/>
      <c r="B585" s="233"/>
      <c r="C585" s="233"/>
      <c r="D585" s="233"/>
      <c r="E585" s="233"/>
      <c r="F585" s="233"/>
      <c r="G585" s="233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</row>
    <row r="586">
      <c r="A586" s="233"/>
      <c r="B586" s="233"/>
      <c r="C586" s="233"/>
      <c r="D586" s="233"/>
      <c r="E586" s="233"/>
      <c r="F586" s="233"/>
      <c r="G586" s="233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</row>
    <row r="587">
      <c r="A587" s="233"/>
      <c r="B587" s="233"/>
      <c r="C587" s="233"/>
      <c r="D587" s="233"/>
      <c r="E587" s="233"/>
      <c r="F587" s="233"/>
      <c r="G587" s="233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</row>
    <row r="588">
      <c r="A588" s="233"/>
      <c r="B588" s="233"/>
      <c r="C588" s="233"/>
      <c r="D588" s="233"/>
      <c r="E588" s="233"/>
      <c r="F588" s="233"/>
      <c r="G588" s="233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</row>
    <row r="589">
      <c r="A589" s="233"/>
      <c r="B589" s="233"/>
      <c r="C589" s="233"/>
      <c r="D589" s="233"/>
      <c r="E589" s="233"/>
      <c r="F589" s="233"/>
      <c r="G589" s="233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</row>
    <row r="590">
      <c r="A590" s="233"/>
      <c r="B590" s="233"/>
      <c r="C590" s="233"/>
      <c r="D590" s="233"/>
      <c r="E590" s="233"/>
      <c r="F590" s="233"/>
      <c r="G590" s="233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</row>
    <row r="591">
      <c r="A591" s="233"/>
      <c r="B591" s="233"/>
      <c r="C591" s="233"/>
      <c r="D591" s="233"/>
      <c r="E591" s="233"/>
      <c r="F591" s="233"/>
      <c r="G591" s="233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</row>
    <row r="592">
      <c r="A592" s="233"/>
      <c r="B592" s="233"/>
      <c r="C592" s="233"/>
      <c r="D592" s="233"/>
      <c r="E592" s="233"/>
      <c r="F592" s="233"/>
      <c r="G592" s="233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</row>
    <row r="593">
      <c r="A593" s="233"/>
      <c r="B593" s="233"/>
      <c r="C593" s="233"/>
      <c r="D593" s="233"/>
      <c r="E593" s="233"/>
      <c r="F593" s="233"/>
      <c r="G593" s="233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</row>
    <row r="594">
      <c r="A594" s="233"/>
      <c r="B594" s="233"/>
      <c r="C594" s="233"/>
      <c r="D594" s="233"/>
      <c r="E594" s="233"/>
      <c r="F594" s="233"/>
      <c r="G594" s="233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</row>
    <row r="595">
      <c r="A595" s="233"/>
      <c r="B595" s="233"/>
      <c r="C595" s="233"/>
      <c r="D595" s="233"/>
      <c r="E595" s="233"/>
      <c r="F595" s="233"/>
      <c r="G595" s="233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</row>
    <row r="596">
      <c r="A596" s="233"/>
      <c r="B596" s="233"/>
      <c r="C596" s="233"/>
      <c r="D596" s="233"/>
      <c r="E596" s="233"/>
      <c r="F596" s="233"/>
      <c r="G596" s="233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</row>
    <row r="597">
      <c r="A597" s="233"/>
      <c r="B597" s="233"/>
      <c r="C597" s="233"/>
      <c r="D597" s="233"/>
      <c r="E597" s="233"/>
      <c r="F597" s="233"/>
      <c r="G597" s="233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</row>
    <row r="598">
      <c r="A598" s="233"/>
      <c r="B598" s="233"/>
      <c r="C598" s="233"/>
      <c r="D598" s="233"/>
      <c r="E598" s="233"/>
      <c r="F598" s="233"/>
      <c r="G598" s="233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</row>
    <row r="599">
      <c r="A599" s="233"/>
      <c r="B599" s="233"/>
      <c r="C599" s="233"/>
      <c r="D599" s="233"/>
      <c r="E599" s="233"/>
      <c r="F599" s="233"/>
      <c r="G599" s="233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</row>
    <row r="600">
      <c r="A600" s="233"/>
      <c r="B600" s="233"/>
      <c r="C600" s="233"/>
      <c r="D600" s="233"/>
      <c r="E600" s="233"/>
      <c r="F600" s="233"/>
      <c r="G600" s="233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</row>
    <row r="601">
      <c r="A601" s="233"/>
      <c r="B601" s="233"/>
      <c r="C601" s="233"/>
      <c r="D601" s="233"/>
      <c r="E601" s="233"/>
      <c r="F601" s="233"/>
      <c r="G601" s="233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</row>
    <row r="602">
      <c r="A602" s="233"/>
      <c r="B602" s="233"/>
      <c r="C602" s="233"/>
      <c r="D602" s="233"/>
      <c r="E602" s="233"/>
      <c r="F602" s="233"/>
      <c r="G602" s="233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</row>
    <row r="603">
      <c r="A603" s="233"/>
      <c r="B603" s="233"/>
      <c r="C603" s="233"/>
      <c r="D603" s="233"/>
      <c r="E603" s="233"/>
      <c r="F603" s="233"/>
      <c r="G603" s="233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</row>
    <row r="604">
      <c r="A604" s="233"/>
      <c r="B604" s="233"/>
      <c r="C604" s="233"/>
      <c r="D604" s="233"/>
      <c r="E604" s="233"/>
      <c r="F604" s="233"/>
      <c r="G604" s="233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</row>
    <row r="605">
      <c r="A605" s="233"/>
      <c r="B605" s="233"/>
      <c r="C605" s="233"/>
      <c r="D605" s="233"/>
      <c r="E605" s="233"/>
      <c r="F605" s="233"/>
      <c r="G605" s="233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</row>
    <row r="606">
      <c r="A606" s="233"/>
      <c r="B606" s="233"/>
      <c r="C606" s="233"/>
      <c r="D606" s="233"/>
      <c r="E606" s="233"/>
      <c r="F606" s="233"/>
      <c r="G606" s="233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</row>
    <row r="607">
      <c r="A607" s="233"/>
      <c r="B607" s="233"/>
      <c r="C607" s="233"/>
      <c r="D607" s="233"/>
      <c r="E607" s="233"/>
      <c r="F607" s="233"/>
      <c r="G607" s="233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</row>
    <row r="608">
      <c r="A608" s="233"/>
      <c r="B608" s="233"/>
      <c r="C608" s="233"/>
      <c r="D608" s="233"/>
      <c r="E608" s="233"/>
      <c r="F608" s="233"/>
      <c r="G608" s="233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</row>
    <row r="609">
      <c r="A609" s="233"/>
      <c r="B609" s="233"/>
      <c r="C609" s="233"/>
      <c r="D609" s="233"/>
      <c r="E609" s="233"/>
      <c r="F609" s="233"/>
      <c r="G609" s="233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</row>
    <row r="610">
      <c r="A610" s="233"/>
      <c r="B610" s="233"/>
      <c r="C610" s="233"/>
      <c r="D610" s="233"/>
      <c r="E610" s="233"/>
      <c r="F610" s="233"/>
      <c r="G610" s="233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</row>
    <row r="611">
      <c r="A611" s="233"/>
      <c r="B611" s="233"/>
      <c r="C611" s="233"/>
      <c r="D611" s="233"/>
      <c r="E611" s="233"/>
      <c r="F611" s="233"/>
      <c r="G611" s="233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</row>
    <row r="612">
      <c r="A612" s="233"/>
      <c r="B612" s="233"/>
      <c r="C612" s="233"/>
      <c r="D612" s="233"/>
      <c r="E612" s="233"/>
      <c r="F612" s="233"/>
      <c r="G612" s="233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</row>
    <row r="613">
      <c r="A613" s="233"/>
      <c r="B613" s="233"/>
      <c r="C613" s="233"/>
      <c r="D613" s="233"/>
      <c r="E613" s="233"/>
      <c r="F613" s="233"/>
      <c r="G613" s="233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</row>
    <row r="614">
      <c r="A614" s="233"/>
      <c r="B614" s="233"/>
      <c r="C614" s="233"/>
      <c r="D614" s="233"/>
      <c r="E614" s="233"/>
      <c r="F614" s="233"/>
      <c r="G614" s="233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</row>
    <row r="615">
      <c r="A615" s="233"/>
      <c r="B615" s="233"/>
      <c r="C615" s="233"/>
      <c r="D615" s="233"/>
      <c r="E615" s="233"/>
      <c r="F615" s="233"/>
      <c r="G615" s="233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</row>
    <row r="616">
      <c r="A616" s="233"/>
      <c r="B616" s="233"/>
      <c r="C616" s="233"/>
      <c r="D616" s="233"/>
      <c r="E616" s="233"/>
      <c r="F616" s="233"/>
      <c r="G616" s="233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</row>
    <row r="617">
      <c r="A617" s="233"/>
      <c r="B617" s="233"/>
      <c r="C617" s="233"/>
      <c r="D617" s="233"/>
      <c r="E617" s="233"/>
      <c r="F617" s="233"/>
      <c r="G617" s="233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</row>
    <row r="618">
      <c r="A618" s="233"/>
      <c r="B618" s="233"/>
      <c r="C618" s="233"/>
      <c r="D618" s="233"/>
      <c r="E618" s="233"/>
      <c r="F618" s="233"/>
      <c r="G618" s="233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</row>
    <row r="619">
      <c r="A619" s="233"/>
      <c r="B619" s="233"/>
      <c r="C619" s="233"/>
      <c r="D619" s="233"/>
      <c r="E619" s="233"/>
      <c r="F619" s="233"/>
      <c r="G619" s="233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</row>
    <row r="620">
      <c r="A620" s="233"/>
      <c r="B620" s="233"/>
      <c r="C620" s="233"/>
      <c r="D620" s="233"/>
      <c r="E620" s="233"/>
      <c r="F620" s="233"/>
      <c r="G620" s="233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</row>
    <row r="621">
      <c r="A621" s="233"/>
      <c r="B621" s="233"/>
      <c r="C621" s="233"/>
      <c r="D621" s="233"/>
      <c r="E621" s="233"/>
      <c r="F621" s="233"/>
      <c r="G621" s="233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</row>
    <row r="622">
      <c r="A622" s="233"/>
      <c r="B622" s="233"/>
      <c r="C622" s="233"/>
      <c r="D622" s="233"/>
      <c r="E622" s="233"/>
      <c r="F622" s="233"/>
      <c r="G622" s="233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</row>
    <row r="623">
      <c r="A623" s="233"/>
      <c r="B623" s="233"/>
      <c r="C623" s="233"/>
      <c r="D623" s="233"/>
      <c r="E623" s="233"/>
      <c r="F623" s="233"/>
      <c r="G623" s="233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</row>
    <row r="624">
      <c r="A624" s="233"/>
      <c r="B624" s="233"/>
      <c r="C624" s="233"/>
      <c r="D624" s="233"/>
      <c r="E624" s="233"/>
      <c r="F624" s="233"/>
      <c r="G624" s="233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</row>
    <row r="625">
      <c r="A625" s="233"/>
      <c r="B625" s="233"/>
      <c r="C625" s="233"/>
      <c r="D625" s="233"/>
      <c r="E625" s="233"/>
      <c r="F625" s="233"/>
      <c r="G625" s="233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</row>
    <row r="626">
      <c r="A626" s="233"/>
      <c r="B626" s="233"/>
      <c r="C626" s="233"/>
      <c r="D626" s="233"/>
      <c r="E626" s="233"/>
      <c r="F626" s="233"/>
      <c r="G626" s="233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</row>
    <row r="627">
      <c r="A627" s="233"/>
      <c r="B627" s="233"/>
      <c r="C627" s="233"/>
      <c r="D627" s="233"/>
      <c r="E627" s="233"/>
      <c r="F627" s="233"/>
      <c r="G627" s="233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</row>
    <row r="628">
      <c r="A628" s="233"/>
      <c r="B628" s="233"/>
      <c r="C628" s="233"/>
      <c r="D628" s="233"/>
      <c r="E628" s="233"/>
      <c r="F628" s="233"/>
      <c r="G628" s="233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</row>
    <row r="629">
      <c r="A629" s="233"/>
      <c r="B629" s="233"/>
      <c r="C629" s="233"/>
      <c r="D629" s="233"/>
      <c r="E629" s="233"/>
      <c r="F629" s="233"/>
      <c r="G629" s="233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</row>
    <row r="630">
      <c r="A630" s="233"/>
      <c r="B630" s="233"/>
      <c r="C630" s="233"/>
      <c r="D630" s="233"/>
      <c r="E630" s="233"/>
      <c r="F630" s="233"/>
      <c r="G630" s="233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</row>
    <row r="631">
      <c r="A631" s="233"/>
      <c r="B631" s="233"/>
      <c r="C631" s="233"/>
      <c r="D631" s="233"/>
      <c r="E631" s="233"/>
      <c r="F631" s="233"/>
      <c r="G631" s="233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</row>
    <row r="632">
      <c r="A632" s="233"/>
      <c r="B632" s="233"/>
      <c r="C632" s="233"/>
      <c r="D632" s="233"/>
      <c r="E632" s="233"/>
      <c r="F632" s="233"/>
      <c r="G632" s="233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</row>
    <row r="633">
      <c r="A633" s="233"/>
      <c r="B633" s="233"/>
      <c r="C633" s="233"/>
      <c r="D633" s="233"/>
      <c r="E633" s="233"/>
      <c r="F633" s="233"/>
      <c r="G633" s="233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</row>
    <row r="634">
      <c r="A634" s="233"/>
      <c r="B634" s="233"/>
      <c r="C634" s="233"/>
      <c r="D634" s="233"/>
      <c r="E634" s="233"/>
      <c r="F634" s="233"/>
      <c r="G634" s="233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</row>
    <row r="635">
      <c r="A635" s="233"/>
      <c r="B635" s="233"/>
      <c r="C635" s="233"/>
      <c r="D635" s="233"/>
      <c r="E635" s="233"/>
      <c r="F635" s="233"/>
      <c r="G635" s="233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</row>
    <row r="636">
      <c r="A636" s="233"/>
      <c r="B636" s="233"/>
      <c r="C636" s="233"/>
      <c r="D636" s="233"/>
      <c r="E636" s="233"/>
      <c r="F636" s="233"/>
      <c r="G636" s="233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</row>
    <row r="637">
      <c r="A637" s="233"/>
      <c r="B637" s="233"/>
      <c r="C637" s="233"/>
      <c r="D637" s="233"/>
      <c r="E637" s="233"/>
      <c r="F637" s="233"/>
      <c r="G637" s="233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</row>
    <row r="638">
      <c r="A638" s="233"/>
      <c r="B638" s="233"/>
      <c r="C638" s="233"/>
      <c r="D638" s="233"/>
      <c r="E638" s="233"/>
      <c r="F638" s="233"/>
      <c r="G638" s="233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</row>
    <row r="639">
      <c r="A639" s="233"/>
      <c r="B639" s="233"/>
      <c r="C639" s="233"/>
      <c r="D639" s="233"/>
      <c r="E639" s="233"/>
      <c r="F639" s="233"/>
      <c r="G639" s="233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</row>
    <row r="640">
      <c r="A640" s="233"/>
      <c r="B640" s="233"/>
      <c r="C640" s="233"/>
      <c r="D640" s="233"/>
      <c r="E640" s="233"/>
      <c r="F640" s="233"/>
      <c r="G640" s="233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</row>
    <row r="641">
      <c r="A641" s="233"/>
      <c r="B641" s="233"/>
      <c r="C641" s="233"/>
      <c r="D641" s="233"/>
      <c r="E641" s="233"/>
      <c r="F641" s="233"/>
      <c r="G641" s="233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</row>
    <row r="642">
      <c r="A642" s="233"/>
      <c r="B642" s="233"/>
      <c r="C642" s="233"/>
      <c r="D642" s="233"/>
      <c r="E642" s="233"/>
      <c r="F642" s="233"/>
      <c r="G642" s="233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</row>
    <row r="643">
      <c r="A643" s="233"/>
      <c r="B643" s="233"/>
      <c r="C643" s="233"/>
      <c r="D643" s="233"/>
      <c r="E643" s="233"/>
      <c r="F643" s="233"/>
      <c r="G643" s="233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</row>
    <row r="644">
      <c r="A644" s="233"/>
      <c r="B644" s="233"/>
      <c r="C644" s="233"/>
      <c r="D644" s="233"/>
      <c r="E644" s="233"/>
      <c r="F644" s="233"/>
      <c r="G644" s="233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</row>
    <row r="645">
      <c r="A645" s="233"/>
      <c r="B645" s="233"/>
      <c r="C645" s="233"/>
      <c r="D645" s="233"/>
      <c r="E645" s="233"/>
      <c r="F645" s="233"/>
      <c r="G645" s="233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</row>
    <row r="646">
      <c r="A646" s="233"/>
      <c r="B646" s="233"/>
      <c r="C646" s="233"/>
      <c r="D646" s="233"/>
      <c r="E646" s="233"/>
      <c r="F646" s="233"/>
      <c r="G646" s="233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</row>
    <row r="647">
      <c r="A647" s="233"/>
      <c r="B647" s="233"/>
      <c r="C647" s="233"/>
      <c r="D647" s="233"/>
      <c r="E647" s="233"/>
      <c r="F647" s="233"/>
      <c r="G647" s="233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</row>
    <row r="648">
      <c r="A648" s="233"/>
      <c r="B648" s="233"/>
      <c r="C648" s="233"/>
      <c r="D648" s="233"/>
      <c r="E648" s="233"/>
      <c r="F648" s="233"/>
      <c r="G648" s="233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</row>
    <row r="649">
      <c r="A649" s="233"/>
      <c r="B649" s="233"/>
      <c r="C649" s="233"/>
      <c r="D649" s="233"/>
      <c r="E649" s="233"/>
      <c r="F649" s="233"/>
      <c r="G649" s="233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</row>
    <row r="650">
      <c r="A650" s="233"/>
      <c r="B650" s="233"/>
      <c r="C650" s="233"/>
      <c r="D650" s="233"/>
      <c r="E650" s="233"/>
      <c r="F650" s="233"/>
      <c r="G650" s="233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</row>
    <row r="651">
      <c r="A651" s="233"/>
      <c r="B651" s="233"/>
      <c r="C651" s="233"/>
      <c r="D651" s="233"/>
      <c r="E651" s="233"/>
      <c r="F651" s="233"/>
      <c r="G651" s="233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</row>
    <row r="652">
      <c r="A652" s="233"/>
      <c r="B652" s="233"/>
      <c r="C652" s="233"/>
      <c r="D652" s="233"/>
      <c r="E652" s="233"/>
      <c r="F652" s="233"/>
      <c r="G652" s="233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</row>
    <row r="653">
      <c r="A653" s="233"/>
      <c r="B653" s="233"/>
      <c r="C653" s="233"/>
      <c r="D653" s="233"/>
      <c r="E653" s="233"/>
      <c r="F653" s="233"/>
      <c r="G653" s="233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</row>
    <row r="654">
      <c r="A654" s="233"/>
      <c r="B654" s="233"/>
      <c r="C654" s="233"/>
      <c r="D654" s="233"/>
      <c r="E654" s="233"/>
      <c r="F654" s="233"/>
      <c r="G654" s="233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</row>
    <row r="655">
      <c r="A655" s="233"/>
      <c r="B655" s="233"/>
      <c r="C655" s="233"/>
      <c r="D655" s="233"/>
      <c r="E655" s="233"/>
      <c r="F655" s="233"/>
      <c r="G655" s="233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</row>
    <row r="656">
      <c r="A656" s="233"/>
      <c r="B656" s="233"/>
      <c r="C656" s="233"/>
      <c r="D656" s="233"/>
      <c r="E656" s="233"/>
      <c r="F656" s="233"/>
      <c r="G656" s="233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</row>
    <row r="657">
      <c r="A657" s="233"/>
      <c r="B657" s="233"/>
      <c r="C657" s="233"/>
      <c r="D657" s="233"/>
      <c r="E657" s="233"/>
      <c r="F657" s="233"/>
      <c r="G657" s="233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</row>
    <row r="658">
      <c r="A658" s="233"/>
      <c r="B658" s="233"/>
      <c r="C658" s="233"/>
      <c r="D658" s="233"/>
      <c r="E658" s="233"/>
      <c r="F658" s="233"/>
      <c r="G658" s="233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</row>
    <row r="659">
      <c r="A659" s="233"/>
      <c r="B659" s="233"/>
      <c r="C659" s="233"/>
      <c r="D659" s="233"/>
      <c r="E659" s="233"/>
      <c r="F659" s="233"/>
      <c r="G659" s="233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</row>
    <row r="660">
      <c r="A660" s="233"/>
      <c r="B660" s="233"/>
      <c r="C660" s="233"/>
      <c r="D660" s="233"/>
      <c r="E660" s="233"/>
      <c r="F660" s="233"/>
      <c r="G660" s="233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</row>
    <row r="661">
      <c r="A661" s="233"/>
      <c r="B661" s="233"/>
      <c r="C661" s="233"/>
      <c r="D661" s="233"/>
      <c r="E661" s="233"/>
      <c r="F661" s="233"/>
      <c r="G661" s="233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</row>
    <row r="662">
      <c r="A662" s="233"/>
      <c r="B662" s="233"/>
      <c r="C662" s="233"/>
      <c r="D662" s="233"/>
      <c r="E662" s="233"/>
      <c r="F662" s="233"/>
      <c r="G662" s="233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</row>
    <row r="663">
      <c r="A663" s="233"/>
      <c r="B663" s="233"/>
      <c r="C663" s="233"/>
      <c r="D663" s="233"/>
      <c r="E663" s="233"/>
      <c r="F663" s="233"/>
      <c r="G663" s="233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</row>
    <row r="664">
      <c r="A664" s="233"/>
      <c r="B664" s="233"/>
      <c r="C664" s="233"/>
      <c r="D664" s="233"/>
      <c r="E664" s="233"/>
      <c r="F664" s="233"/>
      <c r="G664" s="233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</row>
    <row r="665">
      <c r="A665" s="233"/>
      <c r="B665" s="233"/>
      <c r="C665" s="233"/>
      <c r="D665" s="233"/>
      <c r="E665" s="233"/>
      <c r="F665" s="233"/>
      <c r="G665" s="233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</row>
    <row r="666">
      <c r="A666" s="233"/>
      <c r="B666" s="233"/>
      <c r="C666" s="233"/>
      <c r="D666" s="233"/>
      <c r="E666" s="233"/>
      <c r="F666" s="233"/>
      <c r="G666" s="233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</row>
    <row r="667">
      <c r="A667" s="233"/>
      <c r="B667" s="233"/>
      <c r="C667" s="233"/>
      <c r="D667" s="233"/>
      <c r="E667" s="233"/>
      <c r="F667" s="233"/>
      <c r="G667" s="233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</row>
    <row r="668">
      <c r="A668" s="233"/>
      <c r="B668" s="233"/>
      <c r="C668" s="233"/>
      <c r="D668" s="233"/>
      <c r="E668" s="233"/>
      <c r="F668" s="233"/>
      <c r="G668" s="233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</row>
    <row r="669">
      <c r="A669" s="233"/>
      <c r="B669" s="233"/>
      <c r="C669" s="233"/>
      <c r="D669" s="233"/>
      <c r="E669" s="233"/>
      <c r="F669" s="233"/>
      <c r="G669" s="233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</row>
    <row r="670">
      <c r="A670" s="233"/>
      <c r="B670" s="233"/>
      <c r="C670" s="233"/>
      <c r="D670" s="233"/>
      <c r="E670" s="233"/>
      <c r="F670" s="233"/>
      <c r="G670" s="233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</row>
    <row r="671">
      <c r="A671" s="233"/>
      <c r="B671" s="233"/>
      <c r="C671" s="233"/>
      <c r="D671" s="233"/>
      <c r="E671" s="233"/>
      <c r="F671" s="233"/>
      <c r="G671" s="233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</row>
    <row r="672">
      <c r="A672" s="233"/>
      <c r="B672" s="233"/>
      <c r="C672" s="233"/>
      <c r="D672" s="233"/>
      <c r="E672" s="233"/>
      <c r="F672" s="233"/>
      <c r="G672" s="233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</row>
    <row r="673">
      <c r="A673" s="233"/>
      <c r="B673" s="233"/>
      <c r="C673" s="233"/>
      <c r="D673" s="233"/>
      <c r="E673" s="233"/>
      <c r="F673" s="233"/>
      <c r="G673" s="233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</row>
    <row r="674">
      <c r="A674" s="233"/>
      <c r="B674" s="233"/>
      <c r="C674" s="233"/>
      <c r="D674" s="233"/>
      <c r="E674" s="233"/>
      <c r="F674" s="233"/>
      <c r="G674" s="233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</row>
    <row r="675">
      <c r="A675" s="233"/>
      <c r="B675" s="233"/>
      <c r="C675" s="233"/>
      <c r="D675" s="233"/>
      <c r="E675" s="233"/>
      <c r="F675" s="233"/>
      <c r="G675" s="233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</row>
    <row r="676">
      <c r="A676" s="233"/>
      <c r="B676" s="233"/>
      <c r="C676" s="233"/>
      <c r="D676" s="233"/>
      <c r="E676" s="233"/>
      <c r="F676" s="233"/>
      <c r="G676" s="233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</row>
    <row r="677">
      <c r="A677" s="233"/>
      <c r="B677" s="233"/>
      <c r="C677" s="233"/>
      <c r="D677" s="233"/>
      <c r="E677" s="233"/>
      <c r="F677" s="233"/>
      <c r="G677" s="233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</row>
    <row r="678">
      <c r="A678" s="233"/>
      <c r="B678" s="233"/>
      <c r="C678" s="233"/>
      <c r="D678" s="233"/>
      <c r="E678" s="233"/>
      <c r="F678" s="233"/>
      <c r="G678" s="233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</row>
    <row r="679">
      <c r="A679" s="233"/>
      <c r="B679" s="233"/>
      <c r="C679" s="233"/>
      <c r="D679" s="233"/>
      <c r="E679" s="233"/>
      <c r="F679" s="233"/>
      <c r="G679" s="233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</row>
    <row r="680">
      <c r="A680" s="233"/>
      <c r="B680" s="233"/>
      <c r="C680" s="233"/>
      <c r="D680" s="233"/>
      <c r="E680" s="233"/>
      <c r="F680" s="233"/>
      <c r="G680" s="233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</row>
    <row r="681">
      <c r="A681" s="233"/>
      <c r="B681" s="233"/>
      <c r="C681" s="233"/>
      <c r="D681" s="233"/>
      <c r="E681" s="233"/>
      <c r="F681" s="233"/>
      <c r="G681" s="233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</row>
    <row r="682">
      <c r="A682" s="233"/>
      <c r="B682" s="233"/>
      <c r="C682" s="233"/>
      <c r="D682" s="233"/>
      <c r="E682" s="233"/>
      <c r="F682" s="233"/>
      <c r="G682" s="233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</row>
    <row r="683">
      <c r="A683" s="233"/>
      <c r="B683" s="233"/>
      <c r="C683" s="233"/>
      <c r="D683" s="233"/>
      <c r="E683" s="233"/>
      <c r="F683" s="233"/>
      <c r="G683" s="233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</row>
    <row r="684">
      <c r="A684" s="233"/>
      <c r="B684" s="233"/>
      <c r="C684" s="233"/>
      <c r="D684" s="233"/>
      <c r="E684" s="233"/>
      <c r="F684" s="233"/>
      <c r="G684" s="233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</row>
    <row r="685">
      <c r="A685" s="233"/>
      <c r="B685" s="233"/>
      <c r="C685" s="233"/>
      <c r="D685" s="233"/>
      <c r="E685" s="233"/>
      <c r="F685" s="233"/>
      <c r="G685" s="233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</row>
    <row r="686">
      <c r="A686" s="233"/>
      <c r="B686" s="233"/>
      <c r="C686" s="233"/>
      <c r="D686" s="233"/>
      <c r="E686" s="233"/>
      <c r="F686" s="233"/>
      <c r="G686" s="233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</row>
    <row r="687">
      <c r="A687" s="233"/>
      <c r="B687" s="233"/>
      <c r="C687" s="233"/>
      <c r="D687" s="233"/>
      <c r="E687" s="233"/>
      <c r="F687" s="233"/>
      <c r="G687" s="233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</row>
    <row r="688">
      <c r="A688" s="233"/>
      <c r="B688" s="233"/>
      <c r="C688" s="233"/>
      <c r="D688" s="233"/>
      <c r="E688" s="233"/>
      <c r="F688" s="233"/>
      <c r="G688" s="233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</row>
    <row r="689">
      <c r="A689" s="233"/>
      <c r="B689" s="233"/>
      <c r="C689" s="233"/>
      <c r="D689" s="233"/>
      <c r="E689" s="233"/>
      <c r="F689" s="233"/>
      <c r="G689" s="233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</row>
    <row r="690">
      <c r="A690" s="233"/>
      <c r="B690" s="233"/>
      <c r="C690" s="233"/>
      <c r="D690" s="233"/>
      <c r="E690" s="233"/>
      <c r="F690" s="233"/>
      <c r="G690" s="233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</row>
    <row r="691">
      <c r="A691" s="233"/>
      <c r="B691" s="233"/>
      <c r="C691" s="233"/>
      <c r="D691" s="233"/>
      <c r="E691" s="233"/>
      <c r="F691" s="233"/>
      <c r="G691" s="233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</row>
    <row r="692">
      <c r="A692" s="233"/>
      <c r="B692" s="233"/>
      <c r="C692" s="233"/>
      <c r="D692" s="233"/>
      <c r="E692" s="233"/>
      <c r="F692" s="233"/>
      <c r="G692" s="233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</row>
    <row r="693">
      <c r="A693" s="233"/>
      <c r="B693" s="233"/>
      <c r="C693" s="233"/>
      <c r="D693" s="233"/>
      <c r="E693" s="233"/>
      <c r="F693" s="233"/>
      <c r="G693" s="233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</row>
    <row r="694">
      <c r="A694" s="233"/>
      <c r="B694" s="233"/>
      <c r="C694" s="233"/>
      <c r="D694" s="233"/>
      <c r="E694" s="233"/>
      <c r="F694" s="233"/>
      <c r="G694" s="233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</row>
    <row r="695">
      <c r="A695" s="233"/>
      <c r="B695" s="233"/>
      <c r="C695" s="233"/>
      <c r="D695" s="233"/>
      <c r="E695" s="233"/>
      <c r="F695" s="233"/>
      <c r="G695" s="233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</row>
    <row r="696">
      <c r="A696" s="233"/>
      <c r="B696" s="233"/>
      <c r="C696" s="233"/>
      <c r="D696" s="233"/>
      <c r="E696" s="233"/>
      <c r="F696" s="233"/>
      <c r="G696" s="233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</row>
    <row r="697">
      <c r="A697" s="233"/>
      <c r="B697" s="233"/>
      <c r="C697" s="233"/>
      <c r="D697" s="233"/>
      <c r="E697" s="233"/>
      <c r="F697" s="233"/>
      <c r="G697" s="233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</row>
    <row r="698">
      <c r="A698" s="233"/>
      <c r="B698" s="233"/>
      <c r="C698" s="233"/>
      <c r="D698" s="233"/>
      <c r="E698" s="233"/>
      <c r="F698" s="233"/>
      <c r="G698" s="233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</row>
    <row r="699">
      <c r="A699" s="233"/>
      <c r="B699" s="233"/>
      <c r="C699" s="233"/>
      <c r="D699" s="233"/>
      <c r="E699" s="233"/>
      <c r="F699" s="233"/>
      <c r="G699" s="233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</row>
    <row r="700">
      <c r="A700" s="233"/>
      <c r="B700" s="233"/>
      <c r="C700" s="233"/>
      <c r="D700" s="233"/>
      <c r="E700" s="233"/>
      <c r="F700" s="233"/>
      <c r="G700" s="233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</row>
    <row r="701">
      <c r="A701" s="233"/>
      <c r="B701" s="233"/>
      <c r="C701" s="233"/>
      <c r="D701" s="233"/>
      <c r="E701" s="233"/>
      <c r="F701" s="233"/>
      <c r="G701" s="233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</row>
    <row r="702">
      <c r="A702" s="233"/>
      <c r="B702" s="233"/>
      <c r="C702" s="233"/>
      <c r="D702" s="233"/>
      <c r="E702" s="233"/>
      <c r="F702" s="233"/>
      <c r="G702" s="233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</row>
    <row r="703">
      <c r="A703" s="233"/>
      <c r="B703" s="233"/>
      <c r="C703" s="233"/>
      <c r="D703" s="233"/>
      <c r="E703" s="233"/>
      <c r="F703" s="233"/>
      <c r="G703" s="233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</row>
    <row r="704">
      <c r="A704" s="233"/>
      <c r="B704" s="233"/>
      <c r="C704" s="233"/>
      <c r="D704" s="233"/>
      <c r="E704" s="233"/>
      <c r="F704" s="233"/>
      <c r="G704" s="233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</row>
    <row r="705">
      <c r="A705" s="233"/>
      <c r="B705" s="233"/>
      <c r="C705" s="233"/>
      <c r="D705" s="233"/>
      <c r="E705" s="233"/>
      <c r="F705" s="233"/>
      <c r="G705" s="233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</row>
    <row r="706">
      <c r="A706" s="233"/>
      <c r="B706" s="233"/>
      <c r="C706" s="233"/>
      <c r="D706" s="233"/>
      <c r="E706" s="233"/>
      <c r="F706" s="233"/>
      <c r="G706" s="233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</row>
    <row r="707">
      <c r="A707" s="233"/>
      <c r="B707" s="233"/>
      <c r="C707" s="233"/>
      <c r="D707" s="233"/>
      <c r="E707" s="233"/>
      <c r="F707" s="233"/>
      <c r="G707" s="233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</row>
    <row r="708">
      <c r="A708" s="233"/>
      <c r="B708" s="233"/>
      <c r="C708" s="233"/>
      <c r="D708" s="233"/>
      <c r="E708" s="233"/>
      <c r="F708" s="233"/>
      <c r="G708" s="233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</row>
    <row r="709">
      <c r="A709" s="233"/>
      <c r="B709" s="233"/>
      <c r="C709" s="233"/>
      <c r="D709" s="233"/>
      <c r="E709" s="233"/>
      <c r="F709" s="233"/>
      <c r="G709" s="233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</row>
    <row r="710">
      <c r="A710" s="233"/>
      <c r="B710" s="233"/>
      <c r="C710" s="233"/>
      <c r="D710" s="233"/>
      <c r="E710" s="233"/>
      <c r="F710" s="233"/>
      <c r="G710" s="233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</row>
    <row r="711">
      <c r="A711" s="233"/>
      <c r="B711" s="233"/>
      <c r="C711" s="233"/>
      <c r="D711" s="233"/>
      <c r="E711" s="233"/>
      <c r="F711" s="233"/>
      <c r="G711" s="233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</row>
    <row r="712">
      <c r="A712" s="233"/>
      <c r="B712" s="233"/>
      <c r="C712" s="233"/>
      <c r="D712" s="233"/>
      <c r="E712" s="233"/>
      <c r="F712" s="233"/>
      <c r="G712" s="233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</row>
    <row r="713">
      <c r="A713" s="233"/>
      <c r="B713" s="233"/>
      <c r="C713" s="233"/>
      <c r="D713" s="233"/>
      <c r="E713" s="233"/>
      <c r="F713" s="233"/>
      <c r="G713" s="233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</row>
    <row r="714">
      <c r="A714" s="233"/>
      <c r="B714" s="233"/>
      <c r="C714" s="233"/>
      <c r="D714" s="233"/>
      <c r="E714" s="233"/>
      <c r="F714" s="233"/>
      <c r="G714" s="233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</row>
    <row r="715">
      <c r="A715" s="233"/>
      <c r="B715" s="233"/>
      <c r="C715" s="233"/>
      <c r="D715" s="233"/>
      <c r="E715" s="233"/>
      <c r="F715" s="233"/>
      <c r="G715" s="233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</row>
    <row r="716">
      <c r="A716" s="233"/>
      <c r="B716" s="233"/>
      <c r="C716" s="233"/>
      <c r="D716" s="233"/>
      <c r="E716" s="233"/>
      <c r="F716" s="233"/>
      <c r="G716" s="233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</row>
    <row r="717">
      <c r="A717" s="233"/>
      <c r="B717" s="233"/>
      <c r="C717" s="233"/>
      <c r="D717" s="233"/>
      <c r="E717" s="233"/>
      <c r="F717" s="233"/>
      <c r="G717" s="233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</row>
    <row r="718">
      <c r="A718" s="233"/>
      <c r="B718" s="233"/>
      <c r="C718" s="233"/>
      <c r="D718" s="233"/>
      <c r="E718" s="233"/>
      <c r="F718" s="233"/>
      <c r="G718" s="233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</row>
    <row r="719">
      <c r="A719" s="233"/>
      <c r="B719" s="233"/>
      <c r="C719" s="233"/>
      <c r="D719" s="233"/>
      <c r="E719" s="233"/>
      <c r="F719" s="233"/>
      <c r="G719" s="233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</row>
    <row r="720">
      <c r="A720" s="233"/>
      <c r="B720" s="233"/>
      <c r="C720" s="233"/>
      <c r="D720" s="233"/>
      <c r="E720" s="233"/>
      <c r="F720" s="233"/>
      <c r="G720" s="233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</row>
    <row r="721">
      <c r="A721" s="233"/>
      <c r="B721" s="233"/>
      <c r="C721" s="233"/>
      <c r="D721" s="233"/>
      <c r="E721" s="233"/>
      <c r="F721" s="233"/>
      <c r="G721" s="233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</row>
    <row r="722">
      <c r="A722" s="233"/>
      <c r="B722" s="233"/>
      <c r="C722" s="233"/>
      <c r="D722" s="233"/>
      <c r="E722" s="233"/>
      <c r="F722" s="233"/>
      <c r="G722" s="233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</row>
    <row r="723">
      <c r="A723" s="233"/>
      <c r="B723" s="233"/>
      <c r="C723" s="233"/>
      <c r="D723" s="233"/>
      <c r="E723" s="233"/>
      <c r="F723" s="233"/>
      <c r="G723" s="233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</row>
    <row r="724">
      <c r="A724" s="233"/>
      <c r="B724" s="233"/>
      <c r="C724" s="233"/>
      <c r="D724" s="233"/>
      <c r="E724" s="233"/>
      <c r="F724" s="233"/>
      <c r="G724" s="233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</row>
    <row r="725">
      <c r="A725" s="233"/>
      <c r="B725" s="233"/>
      <c r="C725" s="233"/>
      <c r="D725" s="233"/>
      <c r="E725" s="233"/>
      <c r="F725" s="233"/>
      <c r="G725" s="233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</row>
    <row r="726">
      <c r="A726" s="233"/>
      <c r="B726" s="233"/>
      <c r="C726" s="233"/>
      <c r="D726" s="233"/>
      <c r="E726" s="233"/>
      <c r="F726" s="233"/>
      <c r="G726" s="233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</row>
    <row r="727">
      <c r="A727" s="233"/>
      <c r="B727" s="233"/>
      <c r="C727" s="233"/>
      <c r="D727" s="233"/>
      <c r="E727" s="233"/>
      <c r="F727" s="233"/>
      <c r="G727" s="233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</row>
    <row r="728">
      <c r="A728" s="233"/>
      <c r="B728" s="233"/>
      <c r="C728" s="233"/>
      <c r="D728" s="233"/>
      <c r="E728" s="233"/>
      <c r="F728" s="233"/>
      <c r="G728" s="233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</row>
    <row r="729">
      <c r="A729" s="233"/>
      <c r="B729" s="233"/>
      <c r="C729" s="233"/>
      <c r="D729" s="233"/>
      <c r="E729" s="233"/>
      <c r="F729" s="233"/>
      <c r="G729" s="233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</row>
    <row r="730">
      <c r="A730" s="233"/>
      <c r="B730" s="233"/>
      <c r="C730" s="233"/>
      <c r="D730" s="233"/>
      <c r="E730" s="233"/>
      <c r="F730" s="233"/>
      <c r="G730" s="233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</row>
    <row r="731">
      <c r="A731" s="233"/>
      <c r="B731" s="233"/>
      <c r="C731" s="233"/>
      <c r="D731" s="233"/>
      <c r="E731" s="233"/>
      <c r="F731" s="233"/>
      <c r="G731" s="233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</row>
    <row r="732">
      <c r="A732" s="233"/>
      <c r="B732" s="233"/>
      <c r="C732" s="233"/>
      <c r="D732" s="233"/>
      <c r="E732" s="233"/>
      <c r="F732" s="233"/>
      <c r="G732" s="233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</row>
    <row r="733">
      <c r="A733" s="233"/>
      <c r="B733" s="233"/>
      <c r="C733" s="233"/>
      <c r="D733" s="233"/>
      <c r="E733" s="233"/>
      <c r="F733" s="233"/>
      <c r="G733" s="233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</row>
    <row r="734">
      <c r="A734" s="233"/>
      <c r="B734" s="233"/>
      <c r="C734" s="233"/>
      <c r="D734" s="233"/>
      <c r="E734" s="233"/>
      <c r="F734" s="233"/>
      <c r="G734" s="233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</row>
    <row r="735">
      <c r="A735" s="233"/>
      <c r="B735" s="233"/>
      <c r="C735" s="233"/>
      <c r="D735" s="233"/>
      <c r="E735" s="233"/>
      <c r="F735" s="233"/>
      <c r="G735" s="233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</row>
    <row r="736">
      <c r="A736" s="233"/>
      <c r="B736" s="233"/>
      <c r="C736" s="233"/>
      <c r="D736" s="233"/>
      <c r="E736" s="233"/>
      <c r="F736" s="233"/>
      <c r="G736" s="233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</row>
    <row r="737">
      <c r="A737" s="233"/>
      <c r="B737" s="233"/>
      <c r="C737" s="233"/>
      <c r="D737" s="233"/>
      <c r="E737" s="233"/>
      <c r="F737" s="233"/>
      <c r="G737" s="233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</row>
    <row r="738">
      <c r="A738" s="233"/>
      <c r="B738" s="233"/>
      <c r="C738" s="233"/>
      <c r="D738" s="233"/>
      <c r="E738" s="233"/>
      <c r="F738" s="233"/>
      <c r="G738" s="233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</row>
    <row r="739">
      <c r="A739" s="233"/>
      <c r="B739" s="233"/>
      <c r="C739" s="233"/>
      <c r="D739" s="233"/>
      <c r="E739" s="233"/>
      <c r="F739" s="233"/>
      <c r="G739" s="233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</row>
    <row r="740">
      <c r="A740" s="233"/>
      <c r="B740" s="233"/>
      <c r="C740" s="233"/>
      <c r="D740" s="233"/>
      <c r="E740" s="233"/>
      <c r="F740" s="233"/>
      <c r="G740" s="233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</row>
    <row r="741">
      <c r="A741" s="233"/>
      <c r="B741" s="233"/>
      <c r="C741" s="233"/>
      <c r="D741" s="233"/>
      <c r="E741" s="233"/>
      <c r="F741" s="233"/>
      <c r="G741" s="233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</row>
    <row r="742">
      <c r="A742" s="233"/>
      <c r="B742" s="233"/>
      <c r="C742" s="233"/>
      <c r="D742" s="233"/>
      <c r="E742" s="233"/>
      <c r="F742" s="233"/>
      <c r="G742" s="233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</row>
    <row r="743">
      <c r="A743" s="233"/>
      <c r="B743" s="233"/>
      <c r="C743" s="233"/>
      <c r="D743" s="233"/>
      <c r="E743" s="233"/>
      <c r="F743" s="233"/>
      <c r="G743" s="233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</row>
    <row r="744">
      <c r="A744" s="233"/>
      <c r="B744" s="233"/>
      <c r="C744" s="233"/>
      <c r="D744" s="233"/>
      <c r="E744" s="233"/>
      <c r="F744" s="233"/>
      <c r="G744" s="233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</row>
    <row r="745">
      <c r="A745" s="233"/>
      <c r="B745" s="233"/>
      <c r="C745" s="233"/>
      <c r="D745" s="233"/>
      <c r="E745" s="233"/>
      <c r="F745" s="233"/>
      <c r="G745" s="233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</row>
    <row r="746">
      <c r="A746" s="233"/>
      <c r="B746" s="233"/>
      <c r="C746" s="233"/>
      <c r="D746" s="233"/>
      <c r="E746" s="233"/>
      <c r="F746" s="233"/>
      <c r="G746" s="233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</row>
    <row r="747">
      <c r="A747" s="233"/>
      <c r="B747" s="233"/>
      <c r="C747" s="233"/>
      <c r="D747" s="233"/>
      <c r="E747" s="233"/>
      <c r="F747" s="233"/>
      <c r="G747" s="233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</row>
    <row r="748">
      <c r="A748" s="233"/>
      <c r="B748" s="233"/>
      <c r="C748" s="233"/>
      <c r="D748" s="233"/>
      <c r="E748" s="233"/>
      <c r="F748" s="233"/>
      <c r="G748" s="233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</row>
    <row r="749">
      <c r="A749" s="233"/>
      <c r="B749" s="233"/>
      <c r="C749" s="233"/>
      <c r="D749" s="233"/>
      <c r="E749" s="233"/>
      <c r="F749" s="233"/>
      <c r="G749" s="233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</row>
    <row r="750">
      <c r="A750" s="233"/>
      <c r="B750" s="233"/>
      <c r="C750" s="233"/>
      <c r="D750" s="233"/>
      <c r="E750" s="233"/>
      <c r="F750" s="233"/>
      <c r="G750" s="233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</row>
    <row r="751">
      <c r="A751" s="233"/>
      <c r="B751" s="233"/>
      <c r="C751" s="233"/>
      <c r="D751" s="233"/>
      <c r="E751" s="233"/>
      <c r="F751" s="233"/>
      <c r="G751" s="233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</row>
    <row r="752">
      <c r="A752" s="233"/>
      <c r="B752" s="233"/>
      <c r="C752" s="233"/>
      <c r="D752" s="233"/>
      <c r="E752" s="233"/>
      <c r="F752" s="233"/>
      <c r="G752" s="233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</row>
    <row r="753">
      <c r="A753" s="233"/>
      <c r="B753" s="233"/>
      <c r="C753" s="233"/>
      <c r="D753" s="233"/>
      <c r="E753" s="233"/>
      <c r="F753" s="233"/>
      <c r="G753" s="233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</row>
    <row r="754">
      <c r="A754" s="233"/>
      <c r="B754" s="233"/>
      <c r="C754" s="233"/>
      <c r="D754" s="233"/>
      <c r="E754" s="233"/>
      <c r="F754" s="233"/>
      <c r="G754" s="233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</row>
    <row r="755">
      <c r="A755" s="233"/>
      <c r="B755" s="233"/>
      <c r="C755" s="233"/>
      <c r="D755" s="233"/>
      <c r="E755" s="233"/>
      <c r="F755" s="233"/>
      <c r="G755" s="233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</row>
    <row r="756">
      <c r="A756" s="233"/>
      <c r="B756" s="233"/>
      <c r="C756" s="233"/>
      <c r="D756" s="233"/>
      <c r="E756" s="233"/>
      <c r="F756" s="233"/>
      <c r="G756" s="233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</row>
    <row r="757">
      <c r="A757" s="233"/>
      <c r="B757" s="233"/>
      <c r="C757" s="233"/>
      <c r="D757" s="233"/>
      <c r="E757" s="233"/>
      <c r="F757" s="233"/>
      <c r="G757" s="233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</row>
    <row r="758">
      <c r="A758" s="233"/>
      <c r="B758" s="233"/>
      <c r="C758" s="233"/>
      <c r="D758" s="233"/>
      <c r="E758" s="233"/>
      <c r="F758" s="233"/>
      <c r="G758" s="233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</row>
    <row r="759">
      <c r="A759" s="233"/>
      <c r="B759" s="233"/>
      <c r="C759" s="233"/>
      <c r="D759" s="233"/>
      <c r="E759" s="233"/>
      <c r="F759" s="233"/>
      <c r="G759" s="233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</row>
    <row r="760">
      <c r="A760" s="233"/>
      <c r="B760" s="233"/>
      <c r="C760" s="233"/>
      <c r="D760" s="233"/>
      <c r="E760" s="233"/>
      <c r="F760" s="233"/>
      <c r="G760" s="233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</row>
    <row r="761">
      <c r="A761" s="233"/>
      <c r="B761" s="233"/>
      <c r="C761" s="233"/>
      <c r="D761" s="233"/>
      <c r="E761" s="233"/>
      <c r="F761" s="233"/>
      <c r="G761" s="233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</row>
    <row r="762">
      <c r="A762" s="233"/>
      <c r="B762" s="233"/>
      <c r="C762" s="233"/>
      <c r="D762" s="233"/>
      <c r="E762" s="233"/>
      <c r="F762" s="233"/>
      <c r="G762" s="233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</row>
    <row r="763">
      <c r="A763" s="233"/>
      <c r="B763" s="233"/>
      <c r="C763" s="233"/>
      <c r="D763" s="233"/>
      <c r="E763" s="233"/>
      <c r="F763" s="233"/>
      <c r="G763" s="233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</row>
    <row r="764">
      <c r="A764" s="233"/>
      <c r="B764" s="233"/>
      <c r="C764" s="233"/>
      <c r="D764" s="233"/>
      <c r="E764" s="233"/>
      <c r="F764" s="233"/>
      <c r="G764" s="233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</row>
    <row r="765">
      <c r="A765" s="233"/>
      <c r="B765" s="233"/>
      <c r="C765" s="233"/>
      <c r="D765" s="233"/>
      <c r="E765" s="233"/>
      <c r="F765" s="233"/>
      <c r="G765" s="233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</row>
    <row r="766">
      <c r="A766" s="233"/>
      <c r="B766" s="233"/>
      <c r="C766" s="233"/>
      <c r="D766" s="233"/>
      <c r="E766" s="233"/>
      <c r="F766" s="233"/>
      <c r="G766" s="233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</row>
    <row r="767">
      <c r="A767" s="233"/>
      <c r="B767" s="233"/>
      <c r="C767" s="233"/>
      <c r="D767" s="233"/>
      <c r="E767" s="233"/>
      <c r="F767" s="233"/>
      <c r="G767" s="233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</row>
    <row r="768">
      <c r="A768" s="233"/>
      <c r="B768" s="233"/>
      <c r="C768" s="233"/>
      <c r="D768" s="233"/>
      <c r="E768" s="233"/>
      <c r="F768" s="233"/>
      <c r="G768" s="233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</row>
    <row r="769">
      <c r="A769" s="233"/>
      <c r="B769" s="233"/>
      <c r="C769" s="233"/>
      <c r="D769" s="233"/>
      <c r="E769" s="233"/>
      <c r="F769" s="233"/>
      <c r="G769" s="233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</row>
    <row r="770">
      <c r="A770" s="233"/>
      <c r="B770" s="233"/>
      <c r="C770" s="233"/>
      <c r="D770" s="233"/>
      <c r="E770" s="233"/>
      <c r="F770" s="233"/>
      <c r="G770" s="233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</row>
    <row r="771">
      <c r="A771" s="233"/>
      <c r="B771" s="233"/>
      <c r="C771" s="233"/>
      <c r="D771" s="233"/>
      <c r="E771" s="233"/>
      <c r="F771" s="233"/>
      <c r="G771" s="233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</row>
    <row r="772">
      <c r="A772" s="233"/>
      <c r="B772" s="233"/>
      <c r="C772" s="233"/>
      <c r="D772" s="233"/>
      <c r="E772" s="233"/>
      <c r="F772" s="233"/>
      <c r="G772" s="233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</row>
    <row r="773">
      <c r="A773" s="233"/>
      <c r="B773" s="233"/>
      <c r="C773" s="233"/>
      <c r="D773" s="233"/>
      <c r="E773" s="233"/>
      <c r="F773" s="233"/>
      <c r="G773" s="233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</row>
    <row r="774">
      <c r="A774" s="233"/>
      <c r="B774" s="233"/>
      <c r="C774" s="233"/>
      <c r="D774" s="233"/>
      <c r="E774" s="233"/>
      <c r="F774" s="233"/>
      <c r="G774" s="233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</row>
    <row r="775">
      <c r="A775" s="233"/>
      <c r="B775" s="233"/>
      <c r="C775" s="233"/>
      <c r="D775" s="233"/>
      <c r="E775" s="233"/>
      <c r="F775" s="233"/>
      <c r="G775" s="233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</row>
    <row r="776">
      <c r="A776" s="233"/>
      <c r="B776" s="233"/>
      <c r="C776" s="233"/>
      <c r="D776" s="233"/>
      <c r="E776" s="233"/>
      <c r="F776" s="233"/>
      <c r="G776" s="233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</row>
    <row r="777">
      <c r="A777" s="233"/>
      <c r="B777" s="233"/>
      <c r="C777" s="233"/>
      <c r="D777" s="233"/>
      <c r="E777" s="233"/>
      <c r="F777" s="233"/>
      <c r="G777" s="233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</row>
    <row r="778">
      <c r="A778" s="233"/>
      <c r="B778" s="233"/>
      <c r="C778" s="233"/>
      <c r="D778" s="233"/>
      <c r="E778" s="233"/>
      <c r="F778" s="233"/>
      <c r="G778" s="233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</row>
    <row r="779">
      <c r="A779" s="233"/>
      <c r="B779" s="233"/>
      <c r="C779" s="233"/>
      <c r="D779" s="233"/>
      <c r="E779" s="233"/>
      <c r="F779" s="233"/>
      <c r="G779" s="233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</row>
    <row r="780">
      <c r="A780" s="233"/>
      <c r="B780" s="233"/>
      <c r="C780" s="233"/>
      <c r="D780" s="233"/>
      <c r="E780" s="233"/>
      <c r="F780" s="233"/>
      <c r="G780" s="233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</row>
    <row r="781">
      <c r="A781" s="233"/>
      <c r="B781" s="233"/>
      <c r="C781" s="233"/>
      <c r="D781" s="233"/>
      <c r="E781" s="233"/>
      <c r="F781" s="233"/>
      <c r="G781" s="233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</row>
    <row r="782">
      <c r="A782" s="233"/>
      <c r="B782" s="233"/>
      <c r="C782" s="233"/>
      <c r="D782" s="233"/>
      <c r="E782" s="233"/>
      <c r="F782" s="233"/>
      <c r="G782" s="233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</row>
    <row r="783">
      <c r="A783" s="233"/>
      <c r="B783" s="233"/>
      <c r="C783" s="233"/>
      <c r="D783" s="233"/>
      <c r="E783" s="233"/>
      <c r="F783" s="233"/>
      <c r="G783" s="233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</row>
    <row r="784">
      <c r="A784" s="233"/>
      <c r="B784" s="233"/>
      <c r="C784" s="233"/>
      <c r="D784" s="233"/>
      <c r="E784" s="233"/>
      <c r="F784" s="233"/>
      <c r="G784" s="233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</row>
    <row r="785">
      <c r="A785" s="233"/>
      <c r="B785" s="233"/>
      <c r="C785" s="233"/>
      <c r="D785" s="233"/>
      <c r="E785" s="233"/>
      <c r="F785" s="233"/>
      <c r="G785" s="233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</row>
    <row r="786">
      <c r="A786" s="233"/>
      <c r="B786" s="233"/>
      <c r="C786" s="233"/>
      <c r="D786" s="233"/>
      <c r="E786" s="233"/>
      <c r="F786" s="233"/>
      <c r="G786" s="233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</row>
    <row r="787">
      <c r="A787" s="233"/>
      <c r="B787" s="233"/>
      <c r="C787" s="233"/>
      <c r="D787" s="233"/>
      <c r="E787" s="233"/>
      <c r="F787" s="233"/>
      <c r="G787" s="233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</row>
    <row r="788">
      <c r="A788" s="233"/>
      <c r="B788" s="233"/>
      <c r="C788" s="233"/>
      <c r="D788" s="233"/>
      <c r="E788" s="233"/>
      <c r="F788" s="233"/>
      <c r="G788" s="233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</row>
    <row r="789">
      <c r="A789" s="233"/>
      <c r="B789" s="233"/>
      <c r="C789" s="233"/>
      <c r="D789" s="233"/>
      <c r="E789" s="233"/>
      <c r="F789" s="233"/>
      <c r="G789" s="233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</row>
    <row r="790">
      <c r="A790" s="233"/>
      <c r="B790" s="233"/>
      <c r="C790" s="233"/>
      <c r="D790" s="233"/>
      <c r="E790" s="233"/>
      <c r="F790" s="233"/>
      <c r="G790" s="233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</row>
    <row r="791">
      <c r="A791" s="233"/>
      <c r="B791" s="233"/>
      <c r="C791" s="233"/>
      <c r="D791" s="233"/>
      <c r="E791" s="233"/>
      <c r="F791" s="233"/>
      <c r="G791" s="233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</row>
    <row r="792">
      <c r="A792" s="233"/>
      <c r="B792" s="233"/>
      <c r="C792" s="233"/>
      <c r="D792" s="233"/>
      <c r="E792" s="233"/>
      <c r="F792" s="233"/>
      <c r="G792" s="233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</row>
    <row r="793">
      <c r="A793" s="233"/>
      <c r="B793" s="233"/>
      <c r="C793" s="233"/>
      <c r="D793" s="233"/>
      <c r="E793" s="233"/>
      <c r="F793" s="233"/>
      <c r="G793" s="233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</row>
    <row r="794">
      <c r="A794" s="233"/>
      <c r="B794" s="233"/>
      <c r="C794" s="233"/>
      <c r="D794" s="233"/>
      <c r="E794" s="233"/>
      <c r="F794" s="233"/>
      <c r="G794" s="233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</row>
    <row r="795">
      <c r="A795" s="233"/>
      <c r="B795" s="233"/>
      <c r="C795" s="233"/>
      <c r="D795" s="233"/>
      <c r="E795" s="233"/>
      <c r="F795" s="233"/>
      <c r="G795" s="233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</row>
    <row r="796">
      <c r="A796" s="233"/>
      <c r="B796" s="233"/>
      <c r="C796" s="233"/>
      <c r="D796" s="233"/>
      <c r="E796" s="233"/>
      <c r="F796" s="233"/>
      <c r="G796" s="233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</row>
    <row r="797">
      <c r="A797" s="233"/>
      <c r="B797" s="233"/>
      <c r="C797" s="233"/>
      <c r="D797" s="233"/>
      <c r="E797" s="233"/>
      <c r="F797" s="233"/>
      <c r="G797" s="233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</row>
    <row r="798">
      <c r="A798" s="233"/>
      <c r="B798" s="233"/>
      <c r="C798" s="233"/>
      <c r="D798" s="233"/>
      <c r="E798" s="233"/>
      <c r="F798" s="233"/>
      <c r="G798" s="233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</row>
    <row r="799">
      <c r="A799" s="233"/>
      <c r="B799" s="233"/>
      <c r="C799" s="233"/>
      <c r="D799" s="233"/>
      <c r="E799" s="233"/>
      <c r="F799" s="233"/>
      <c r="G799" s="233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</row>
    <row r="800">
      <c r="A800" s="233"/>
      <c r="B800" s="233"/>
      <c r="C800" s="233"/>
      <c r="D800" s="233"/>
      <c r="E800" s="233"/>
      <c r="F800" s="233"/>
      <c r="G800" s="233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</row>
    <row r="801">
      <c r="A801" s="233"/>
      <c r="B801" s="233"/>
      <c r="C801" s="233"/>
      <c r="D801" s="233"/>
      <c r="E801" s="233"/>
      <c r="F801" s="233"/>
      <c r="G801" s="233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</row>
    <row r="802">
      <c r="A802" s="233"/>
      <c r="B802" s="233"/>
      <c r="C802" s="233"/>
      <c r="D802" s="233"/>
      <c r="E802" s="233"/>
      <c r="F802" s="233"/>
      <c r="G802" s="233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</row>
    <row r="803">
      <c r="A803" s="233"/>
      <c r="B803" s="233"/>
      <c r="C803" s="233"/>
      <c r="D803" s="233"/>
      <c r="E803" s="233"/>
      <c r="F803" s="233"/>
      <c r="G803" s="233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</row>
    <row r="804">
      <c r="A804" s="233"/>
      <c r="B804" s="233"/>
      <c r="C804" s="233"/>
      <c r="D804" s="233"/>
      <c r="E804" s="233"/>
      <c r="F804" s="233"/>
      <c r="G804" s="233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</row>
    <row r="805">
      <c r="A805" s="233"/>
      <c r="B805" s="233"/>
      <c r="C805" s="233"/>
      <c r="D805" s="233"/>
      <c r="E805" s="233"/>
      <c r="F805" s="233"/>
      <c r="G805" s="233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</row>
    <row r="806">
      <c r="A806" s="233"/>
      <c r="B806" s="233"/>
      <c r="C806" s="233"/>
      <c r="D806" s="233"/>
      <c r="E806" s="233"/>
      <c r="F806" s="233"/>
      <c r="G806" s="233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</row>
    <row r="807">
      <c r="A807" s="233"/>
      <c r="B807" s="233"/>
      <c r="C807" s="233"/>
      <c r="D807" s="233"/>
      <c r="E807" s="233"/>
      <c r="F807" s="233"/>
      <c r="G807" s="233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</row>
    <row r="808">
      <c r="A808" s="233"/>
      <c r="B808" s="233"/>
      <c r="C808" s="233"/>
      <c r="D808" s="233"/>
      <c r="E808" s="233"/>
      <c r="F808" s="233"/>
      <c r="G808" s="233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</row>
    <row r="809">
      <c r="A809" s="233"/>
      <c r="B809" s="233"/>
      <c r="C809" s="233"/>
      <c r="D809" s="233"/>
      <c r="E809" s="233"/>
      <c r="F809" s="233"/>
      <c r="G809" s="233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</row>
    <row r="810">
      <c r="A810" s="233"/>
      <c r="B810" s="233"/>
      <c r="C810" s="233"/>
      <c r="D810" s="233"/>
      <c r="E810" s="233"/>
      <c r="F810" s="233"/>
      <c r="G810" s="233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</row>
    <row r="811">
      <c r="A811" s="233"/>
      <c r="B811" s="233"/>
      <c r="C811" s="233"/>
      <c r="D811" s="233"/>
      <c r="E811" s="233"/>
      <c r="F811" s="233"/>
      <c r="G811" s="233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</row>
    <row r="812">
      <c r="A812" s="233"/>
      <c r="B812" s="233"/>
      <c r="C812" s="233"/>
      <c r="D812" s="233"/>
      <c r="E812" s="233"/>
      <c r="F812" s="233"/>
      <c r="G812" s="233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</row>
    <row r="813">
      <c r="A813" s="233"/>
      <c r="B813" s="233"/>
      <c r="C813" s="233"/>
      <c r="D813" s="233"/>
      <c r="E813" s="233"/>
      <c r="F813" s="233"/>
      <c r="G813" s="233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</row>
    <row r="814">
      <c r="A814" s="233"/>
      <c r="B814" s="233"/>
      <c r="C814" s="233"/>
      <c r="D814" s="233"/>
      <c r="E814" s="233"/>
      <c r="F814" s="233"/>
      <c r="G814" s="233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</row>
    <row r="815">
      <c r="A815" s="233"/>
      <c r="B815" s="233"/>
      <c r="C815" s="233"/>
      <c r="D815" s="233"/>
      <c r="E815" s="233"/>
      <c r="F815" s="233"/>
      <c r="G815" s="233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</row>
    <row r="816">
      <c r="A816" s="233"/>
      <c r="B816" s="233"/>
      <c r="C816" s="233"/>
      <c r="D816" s="233"/>
      <c r="E816" s="233"/>
      <c r="F816" s="233"/>
      <c r="G816" s="233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</row>
    <row r="817">
      <c r="A817" s="233"/>
      <c r="B817" s="233"/>
      <c r="C817" s="233"/>
      <c r="D817" s="233"/>
      <c r="E817" s="233"/>
      <c r="F817" s="233"/>
      <c r="G817" s="233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</row>
    <row r="818">
      <c r="A818" s="233"/>
      <c r="B818" s="233"/>
      <c r="C818" s="233"/>
      <c r="D818" s="233"/>
      <c r="E818" s="233"/>
      <c r="F818" s="233"/>
      <c r="G818" s="233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</row>
    <row r="819">
      <c r="A819" s="233"/>
      <c r="B819" s="233"/>
      <c r="C819" s="233"/>
      <c r="D819" s="233"/>
      <c r="E819" s="233"/>
      <c r="F819" s="233"/>
      <c r="G819" s="233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</row>
    <row r="820">
      <c r="A820" s="233"/>
      <c r="B820" s="233"/>
      <c r="C820" s="233"/>
      <c r="D820" s="233"/>
      <c r="E820" s="233"/>
      <c r="F820" s="233"/>
      <c r="G820" s="233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</row>
    <row r="821">
      <c r="A821" s="233"/>
      <c r="B821" s="233"/>
      <c r="C821" s="233"/>
      <c r="D821" s="233"/>
      <c r="E821" s="233"/>
      <c r="F821" s="233"/>
      <c r="G821" s="233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</row>
    <row r="822">
      <c r="A822" s="233"/>
      <c r="B822" s="233"/>
      <c r="C822" s="233"/>
      <c r="D822" s="233"/>
      <c r="E822" s="233"/>
      <c r="F822" s="233"/>
      <c r="G822" s="233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</row>
    <row r="823">
      <c r="A823" s="233"/>
      <c r="B823" s="233"/>
      <c r="C823" s="233"/>
      <c r="D823" s="233"/>
      <c r="E823" s="233"/>
      <c r="F823" s="233"/>
      <c r="G823" s="233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</row>
    <row r="824">
      <c r="A824" s="233"/>
      <c r="B824" s="233"/>
      <c r="C824" s="233"/>
      <c r="D824" s="233"/>
      <c r="E824" s="233"/>
      <c r="F824" s="233"/>
      <c r="G824" s="233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</row>
    <row r="825">
      <c r="A825" s="233"/>
      <c r="B825" s="233"/>
      <c r="C825" s="233"/>
      <c r="D825" s="233"/>
      <c r="E825" s="233"/>
      <c r="F825" s="233"/>
      <c r="G825" s="233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</row>
    <row r="826">
      <c r="A826" s="233"/>
      <c r="B826" s="233"/>
      <c r="C826" s="233"/>
      <c r="D826" s="233"/>
      <c r="E826" s="233"/>
      <c r="F826" s="233"/>
      <c r="G826" s="233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</row>
    <row r="827">
      <c r="A827" s="233"/>
      <c r="B827" s="233"/>
      <c r="C827" s="233"/>
      <c r="D827" s="233"/>
      <c r="E827" s="233"/>
      <c r="F827" s="233"/>
      <c r="G827" s="233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</row>
    <row r="828">
      <c r="A828" s="233"/>
      <c r="B828" s="233"/>
      <c r="C828" s="233"/>
      <c r="D828" s="233"/>
      <c r="E828" s="233"/>
      <c r="F828" s="233"/>
      <c r="G828" s="233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</row>
    <row r="829">
      <c r="A829" s="233"/>
      <c r="B829" s="233"/>
      <c r="C829" s="233"/>
      <c r="D829" s="233"/>
      <c r="E829" s="233"/>
      <c r="F829" s="233"/>
      <c r="G829" s="233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</row>
    <row r="830">
      <c r="A830" s="233"/>
      <c r="B830" s="233"/>
      <c r="C830" s="233"/>
      <c r="D830" s="233"/>
      <c r="E830" s="233"/>
      <c r="F830" s="233"/>
      <c r="G830" s="233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</row>
    <row r="831">
      <c r="A831" s="233"/>
      <c r="B831" s="233"/>
      <c r="C831" s="233"/>
      <c r="D831" s="233"/>
      <c r="E831" s="233"/>
      <c r="F831" s="233"/>
      <c r="G831" s="233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</row>
    <row r="832">
      <c r="A832" s="233"/>
      <c r="B832" s="233"/>
      <c r="C832" s="233"/>
      <c r="D832" s="233"/>
      <c r="E832" s="233"/>
      <c r="F832" s="233"/>
      <c r="G832" s="233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</row>
    <row r="833">
      <c r="A833" s="233"/>
      <c r="B833" s="233"/>
      <c r="C833" s="233"/>
      <c r="D833" s="233"/>
      <c r="E833" s="233"/>
      <c r="F833" s="233"/>
      <c r="G833" s="233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</row>
    <row r="834">
      <c r="A834" s="233"/>
      <c r="B834" s="233"/>
      <c r="C834" s="233"/>
      <c r="D834" s="233"/>
      <c r="E834" s="233"/>
      <c r="F834" s="233"/>
      <c r="G834" s="233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</row>
    <row r="835">
      <c r="A835" s="233"/>
      <c r="B835" s="233"/>
      <c r="C835" s="233"/>
      <c r="D835" s="233"/>
      <c r="E835" s="233"/>
      <c r="F835" s="233"/>
      <c r="G835" s="233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</row>
    <row r="836">
      <c r="A836" s="233"/>
      <c r="B836" s="233"/>
      <c r="C836" s="233"/>
      <c r="D836" s="233"/>
      <c r="E836" s="233"/>
      <c r="F836" s="233"/>
      <c r="G836" s="233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</row>
    <row r="837">
      <c r="A837" s="233"/>
      <c r="B837" s="233"/>
      <c r="C837" s="233"/>
      <c r="D837" s="233"/>
      <c r="E837" s="233"/>
      <c r="F837" s="233"/>
      <c r="G837" s="233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</row>
    <row r="838">
      <c r="A838" s="233"/>
      <c r="B838" s="233"/>
      <c r="C838" s="233"/>
      <c r="D838" s="233"/>
      <c r="E838" s="233"/>
      <c r="F838" s="233"/>
      <c r="G838" s="233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</row>
    <row r="839">
      <c r="A839" s="233"/>
      <c r="B839" s="233"/>
      <c r="C839" s="233"/>
      <c r="D839" s="233"/>
      <c r="E839" s="233"/>
      <c r="F839" s="233"/>
      <c r="G839" s="233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</row>
    <row r="840">
      <c r="A840" s="233"/>
      <c r="B840" s="233"/>
      <c r="C840" s="233"/>
      <c r="D840" s="233"/>
      <c r="E840" s="233"/>
      <c r="F840" s="233"/>
      <c r="G840" s="233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</row>
    <row r="841">
      <c r="A841" s="233"/>
      <c r="B841" s="233"/>
      <c r="C841" s="233"/>
      <c r="D841" s="233"/>
      <c r="E841" s="233"/>
      <c r="F841" s="233"/>
      <c r="G841" s="233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</row>
    <row r="842">
      <c r="A842" s="233"/>
      <c r="B842" s="233"/>
      <c r="C842" s="233"/>
      <c r="D842" s="233"/>
      <c r="E842" s="233"/>
      <c r="F842" s="233"/>
      <c r="G842" s="233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</row>
    <row r="843">
      <c r="A843" s="233"/>
      <c r="B843" s="233"/>
      <c r="C843" s="233"/>
      <c r="D843" s="233"/>
      <c r="E843" s="233"/>
      <c r="F843" s="233"/>
      <c r="G843" s="233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</row>
    <row r="844">
      <c r="A844" s="233"/>
      <c r="B844" s="233"/>
      <c r="C844" s="233"/>
      <c r="D844" s="233"/>
      <c r="E844" s="233"/>
      <c r="F844" s="233"/>
      <c r="G844" s="233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</row>
    <row r="845">
      <c r="A845" s="233"/>
      <c r="B845" s="233"/>
      <c r="C845" s="233"/>
      <c r="D845" s="233"/>
      <c r="E845" s="233"/>
      <c r="F845" s="233"/>
      <c r="G845" s="233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</row>
    <row r="846">
      <c r="A846" s="233"/>
      <c r="B846" s="233"/>
      <c r="C846" s="233"/>
      <c r="D846" s="233"/>
      <c r="E846" s="233"/>
      <c r="F846" s="233"/>
      <c r="G846" s="233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</row>
    <row r="847">
      <c r="A847" s="233"/>
      <c r="B847" s="233"/>
      <c r="C847" s="233"/>
      <c r="D847" s="233"/>
      <c r="E847" s="233"/>
      <c r="F847" s="233"/>
      <c r="G847" s="233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</row>
    <row r="848">
      <c r="A848" s="233"/>
      <c r="B848" s="233"/>
      <c r="C848" s="233"/>
      <c r="D848" s="233"/>
      <c r="E848" s="233"/>
      <c r="F848" s="233"/>
      <c r="G848" s="233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</row>
    <row r="849">
      <c r="A849" s="233"/>
      <c r="B849" s="233"/>
      <c r="C849" s="233"/>
      <c r="D849" s="233"/>
      <c r="E849" s="233"/>
      <c r="F849" s="233"/>
      <c r="G849" s="233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</row>
    <row r="850">
      <c r="A850" s="233"/>
      <c r="B850" s="233"/>
      <c r="C850" s="233"/>
      <c r="D850" s="233"/>
      <c r="E850" s="233"/>
      <c r="F850" s="233"/>
      <c r="G850" s="233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</row>
    <row r="851">
      <c r="A851" s="233"/>
      <c r="B851" s="233"/>
      <c r="C851" s="233"/>
      <c r="D851" s="233"/>
      <c r="E851" s="233"/>
      <c r="F851" s="233"/>
      <c r="G851" s="233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</row>
    <row r="852">
      <c r="A852" s="233"/>
      <c r="B852" s="233"/>
      <c r="C852" s="233"/>
      <c r="D852" s="233"/>
      <c r="E852" s="233"/>
      <c r="F852" s="233"/>
      <c r="G852" s="233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</row>
    <row r="853">
      <c r="A853" s="233"/>
      <c r="B853" s="233"/>
      <c r="C853" s="233"/>
      <c r="D853" s="233"/>
      <c r="E853" s="233"/>
      <c r="F853" s="233"/>
      <c r="G853" s="233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</row>
    <row r="854">
      <c r="A854" s="233"/>
      <c r="B854" s="233"/>
      <c r="C854" s="233"/>
      <c r="D854" s="233"/>
      <c r="E854" s="233"/>
      <c r="F854" s="233"/>
      <c r="G854" s="233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</row>
    <row r="855">
      <c r="A855" s="233"/>
      <c r="B855" s="233"/>
      <c r="C855" s="233"/>
      <c r="D855" s="233"/>
      <c r="E855" s="233"/>
      <c r="F855" s="233"/>
      <c r="G855" s="233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</row>
    <row r="856">
      <c r="A856" s="233"/>
      <c r="B856" s="233"/>
      <c r="C856" s="233"/>
      <c r="D856" s="233"/>
      <c r="E856" s="233"/>
      <c r="F856" s="233"/>
      <c r="G856" s="233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</row>
    <row r="857">
      <c r="A857" s="233"/>
      <c r="B857" s="233"/>
      <c r="C857" s="233"/>
      <c r="D857" s="233"/>
      <c r="E857" s="233"/>
      <c r="F857" s="233"/>
      <c r="G857" s="233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</row>
    <row r="858">
      <c r="A858" s="233"/>
      <c r="B858" s="233"/>
      <c r="C858" s="233"/>
      <c r="D858" s="233"/>
      <c r="E858" s="233"/>
      <c r="F858" s="233"/>
      <c r="G858" s="233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</row>
    <row r="859">
      <c r="A859" s="233"/>
      <c r="B859" s="233"/>
      <c r="C859" s="233"/>
      <c r="D859" s="233"/>
      <c r="E859" s="233"/>
      <c r="F859" s="233"/>
      <c r="G859" s="233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</row>
    <row r="860">
      <c r="A860" s="233"/>
      <c r="B860" s="233"/>
      <c r="C860" s="233"/>
      <c r="D860" s="233"/>
      <c r="E860" s="233"/>
      <c r="F860" s="233"/>
      <c r="G860" s="233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</row>
    <row r="861">
      <c r="A861" s="233"/>
      <c r="B861" s="233"/>
      <c r="C861" s="233"/>
      <c r="D861" s="233"/>
      <c r="E861" s="233"/>
      <c r="F861" s="233"/>
      <c r="G861" s="233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</row>
    <row r="862">
      <c r="A862" s="233"/>
      <c r="B862" s="233"/>
      <c r="C862" s="233"/>
      <c r="D862" s="233"/>
      <c r="E862" s="233"/>
      <c r="F862" s="233"/>
      <c r="G862" s="233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</row>
    <row r="863">
      <c r="A863" s="233"/>
      <c r="B863" s="233"/>
      <c r="C863" s="233"/>
      <c r="D863" s="233"/>
      <c r="E863" s="233"/>
      <c r="F863" s="233"/>
      <c r="G863" s="233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</row>
    <row r="864">
      <c r="A864" s="233"/>
      <c r="B864" s="233"/>
      <c r="C864" s="233"/>
      <c r="D864" s="233"/>
      <c r="E864" s="233"/>
      <c r="F864" s="233"/>
      <c r="G864" s="233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</row>
    <row r="865">
      <c r="A865" s="233"/>
      <c r="B865" s="233"/>
      <c r="C865" s="233"/>
      <c r="D865" s="233"/>
      <c r="E865" s="233"/>
      <c r="F865" s="233"/>
      <c r="G865" s="233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</row>
    <row r="866">
      <c r="A866" s="233"/>
      <c r="B866" s="233"/>
      <c r="C866" s="233"/>
      <c r="D866" s="233"/>
      <c r="E866" s="233"/>
      <c r="F866" s="233"/>
      <c r="G866" s="233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</row>
    <row r="867">
      <c r="A867" s="233"/>
      <c r="B867" s="233"/>
      <c r="C867" s="233"/>
      <c r="D867" s="233"/>
      <c r="E867" s="233"/>
      <c r="F867" s="233"/>
      <c r="G867" s="233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</row>
    <row r="868">
      <c r="A868" s="233"/>
      <c r="B868" s="233"/>
      <c r="C868" s="233"/>
      <c r="D868" s="233"/>
      <c r="E868" s="233"/>
      <c r="F868" s="233"/>
      <c r="G868" s="233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</row>
    <row r="869">
      <c r="A869" s="233"/>
      <c r="B869" s="233"/>
      <c r="C869" s="233"/>
      <c r="D869" s="233"/>
      <c r="E869" s="233"/>
      <c r="F869" s="233"/>
      <c r="G869" s="233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</row>
    <row r="870">
      <c r="A870" s="233"/>
      <c r="B870" s="233"/>
      <c r="C870" s="233"/>
      <c r="D870" s="233"/>
      <c r="E870" s="233"/>
      <c r="F870" s="233"/>
      <c r="G870" s="233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</row>
    <row r="871">
      <c r="A871" s="233"/>
      <c r="B871" s="233"/>
      <c r="C871" s="233"/>
      <c r="D871" s="233"/>
      <c r="E871" s="233"/>
      <c r="F871" s="233"/>
      <c r="G871" s="233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</row>
    <row r="872">
      <c r="A872" s="233"/>
      <c r="B872" s="233"/>
      <c r="C872" s="233"/>
      <c r="D872" s="233"/>
      <c r="E872" s="233"/>
      <c r="F872" s="233"/>
      <c r="G872" s="233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</row>
    <row r="873">
      <c r="A873" s="233"/>
      <c r="B873" s="233"/>
      <c r="C873" s="233"/>
      <c r="D873" s="233"/>
      <c r="E873" s="233"/>
      <c r="F873" s="233"/>
      <c r="G873" s="233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</row>
    <row r="874">
      <c r="A874" s="233"/>
      <c r="B874" s="233"/>
      <c r="C874" s="233"/>
      <c r="D874" s="233"/>
      <c r="E874" s="233"/>
      <c r="F874" s="233"/>
      <c r="G874" s="233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</row>
    <row r="875">
      <c r="A875" s="233"/>
      <c r="B875" s="233"/>
      <c r="C875" s="233"/>
      <c r="D875" s="233"/>
      <c r="E875" s="233"/>
      <c r="F875" s="233"/>
      <c r="G875" s="233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</row>
    <row r="876">
      <c r="A876" s="233"/>
      <c r="B876" s="233"/>
      <c r="C876" s="233"/>
      <c r="D876" s="233"/>
      <c r="E876" s="233"/>
      <c r="F876" s="233"/>
      <c r="G876" s="233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</row>
    <row r="877">
      <c r="A877" s="233"/>
      <c r="B877" s="233"/>
      <c r="C877" s="233"/>
      <c r="D877" s="233"/>
      <c r="E877" s="233"/>
      <c r="F877" s="233"/>
      <c r="G877" s="233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</row>
    <row r="878">
      <c r="A878" s="233"/>
      <c r="B878" s="233"/>
      <c r="C878" s="233"/>
      <c r="D878" s="233"/>
      <c r="E878" s="233"/>
      <c r="F878" s="233"/>
      <c r="G878" s="233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</row>
    <row r="879">
      <c r="A879" s="233"/>
      <c r="B879" s="233"/>
      <c r="C879" s="233"/>
      <c r="D879" s="233"/>
      <c r="E879" s="233"/>
      <c r="F879" s="233"/>
      <c r="G879" s="233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</row>
    <row r="880">
      <c r="A880" s="233"/>
      <c r="B880" s="233"/>
      <c r="C880" s="233"/>
      <c r="D880" s="233"/>
      <c r="E880" s="233"/>
      <c r="F880" s="233"/>
      <c r="G880" s="233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</row>
    <row r="881">
      <c r="A881" s="233"/>
      <c r="B881" s="233"/>
      <c r="C881" s="233"/>
      <c r="D881" s="233"/>
      <c r="E881" s="233"/>
      <c r="F881" s="233"/>
      <c r="G881" s="233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</row>
    <row r="882">
      <c r="A882" s="233"/>
      <c r="B882" s="233"/>
      <c r="C882" s="233"/>
      <c r="D882" s="233"/>
      <c r="E882" s="233"/>
      <c r="F882" s="233"/>
      <c r="G882" s="233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</row>
    <row r="883">
      <c r="A883" s="233"/>
      <c r="B883" s="233"/>
      <c r="C883" s="233"/>
      <c r="D883" s="233"/>
      <c r="E883" s="233"/>
      <c r="F883" s="233"/>
      <c r="G883" s="233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</row>
    <row r="884">
      <c r="A884" s="233"/>
      <c r="B884" s="233"/>
      <c r="C884" s="233"/>
      <c r="D884" s="233"/>
      <c r="E884" s="233"/>
      <c r="F884" s="233"/>
      <c r="G884" s="233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</row>
    <row r="885">
      <c r="A885" s="233"/>
      <c r="B885" s="233"/>
      <c r="C885" s="233"/>
      <c r="D885" s="233"/>
      <c r="E885" s="233"/>
      <c r="F885" s="233"/>
      <c r="G885" s="233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</row>
    <row r="886">
      <c r="A886" s="233"/>
      <c r="B886" s="233"/>
      <c r="C886" s="233"/>
      <c r="D886" s="233"/>
      <c r="E886" s="233"/>
      <c r="F886" s="233"/>
      <c r="G886" s="233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</row>
    <row r="887">
      <c r="A887" s="233"/>
      <c r="B887" s="233"/>
      <c r="C887" s="233"/>
      <c r="D887" s="233"/>
      <c r="E887" s="233"/>
      <c r="F887" s="233"/>
      <c r="G887" s="233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</row>
    <row r="888">
      <c r="A888" s="233"/>
      <c r="B888" s="233"/>
      <c r="C888" s="233"/>
      <c r="D888" s="233"/>
      <c r="E888" s="233"/>
      <c r="F888" s="233"/>
      <c r="G888" s="233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</row>
    <row r="889">
      <c r="A889" s="233"/>
      <c r="B889" s="233"/>
      <c r="C889" s="233"/>
      <c r="D889" s="233"/>
      <c r="E889" s="233"/>
      <c r="F889" s="233"/>
      <c r="G889" s="233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</row>
    <row r="890">
      <c r="A890" s="233"/>
      <c r="B890" s="233"/>
      <c r="C890" s="233"/>
      <c r="D890" s="233"/>
      <c r="E890" s="233"/>
      <c r="F890" s="233"/>
      <c r="G890" s="233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</row>
    <row r="891">
      <c r="A891" s="233"/>
      <c r="B891" s="233"/>
      <c r="C891" s="233"/>
      <c r="D891" s="233"/>
      <c r="E891" s="233"/>
      <c r="F891" s="233"/>
      <c r="G891" s="233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</row>
    <row r="892">
      <c r="A892" s="233"/>
      <c r="B892" s="233"/>
      <c r="C892" s="233"/>
      <c r="D892" s="233"/>
      <c r="E892" s="233"/>
      <c r="F892" s="233"/>
      <c r="G892" s="233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</row>
    <row r="893">
      <c r="A893" s="233"/>
      <c r="B893" s="233"/>
      <c r="C893" s="233"/>
      <c r="D893" s="233"/>
      <c r="E893" s="233"/>
      <c r="F893" s="233"/>
      <c r="G893" s="233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</row>
    <row r="894">
      <c r="A894" s="233"/>
      <c r="B894" s="233"/>
      <c r="C894" s="233"/>
      <c r="D894" s="233"/>
      <c r="E894" s="233"/>
      <c r="F894" s="233"/>
      <c r="G894" s="233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</row>
    <row r="895">
      <c r="A895" s="233"/>
      <c r="B895" s="233"/>
      <c r="C895" s="233"/>
      <c r="D895" s="233"/>
      <c r="E895" s="233"/>
      <c r="F895" s="233"/>
      <c r="G895" s="233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</row>
    <row r="896">
      <c r="A896" s="233"/>
      <c r="B896" s="233"/>
      <c r="C896" s="233"/>
      <c r="D896" s="233"/>
      <c r="E896" s="233"/>
      <c r="F896" s="233"/>
      <c r="G896" s="233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</row>
    <row r="897">
      <c r="A897" s="233"/>
      <c r="B897" s="233"/>
      <c r="C897" s="233"/>
      <c r="D897" s="233"/>
      <c r="E897" s="233"/>
      <c r="F897" s="233"/>
      <c r="G897" s="233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</row>
    <row r="898">
      <c r="A898" s="233"/>
      <c r="B898" s="233"/>
      <c r="C898" s="233"/>
      <c r="D898" s="233"/>
      <c r="E898" s="233"/>
      <c r="F898" s="233"/>
      <c r="G898" s="233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</row>
    <row r="899">
      <c r="A899" s="233"/>
      <c r="B899" s="233"/>
      <c r="C899" s="233"/>
      <c r="D899" s="233"/>
      <c r="E899" s="233"/>
      <c r="F899" s="233"/>
      <c r="G899" s="233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</row>
    <row r="900">
      <c r="A900" s="233"/>
      <c r="B900" s="233"/>
      <c r="C900" s="233"/>
      <c r="D900" s="233"/>
      <c r="E900" s="233"/>
      <c r="F900" s="233"/>
      <c r="G900" s="233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</row>
    <row r="901">
      <c r="A901" s="233"/>
      <c r="B901" s="233"/>
      <c r="C901" s="233"/>
      <c r="D901" s="233"/>
      <c r="E901" s="233"/>
      <c r="F901" s="233"/>
      <c r="G901" s="233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</row>
    <row r="902">
      <c r="A902" s="233"/>
      <c r="B902" s="233"/>
      <c r="C902" s="233"/>
      <c r="D902" s="233"/>
      <c r="E902" s="233"/>
      <c r="F902" s="233"/>
      <c r="G902" s="233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</row>
    <row r="903">
      <c r="A903" s="233"/>
      <c r="B903" s="233"/>
      <c r="C903" s="233"/>
      <c r="D903" s="233"/>
      <c r="E903" s="233"/>
      <c r="F903" s="233"/>
      <c r="G903" s="233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</row>
    <row r="904">
      <c r="A904" s="233"/>
      <c r="B904" s="233"/>
      <c r="C904" s="233"/>
      <c r="D904" s="233"/>
      <c r="E904" s="233"/>
      <c r="F904" s="233"/>
      <c r="G904" s="233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</row>
    <row r="905">
      <c r="A905" s="233"/>
      <c r="B905" s="233"/>
      <c r="C905" s="233"/>
      <c r="D905" s="233"/>
      <c r="E905" s="233"/>
      <c r="F905" s="233"/>
      <c r="G905" s="233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</row>
    <row r="906">
      <c r="A906" s="233"/>
      <c r="B906" s="233"/>
      <c r="C906" s="233"/>
      <c r="D906" s="233"/>
      <c r="E906" s="233"/>
      <c r="F906" s="233"/>
      <c r="G906" s="233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</row>
    <row r="907">
      <c r="A907" s="233"/>
      <c r="B907" s="233"/>
      <c r="C907" s="233"/>
      <c r="D907" s="233"/>
      <c r="E907" s="233"/>
      <c r="F907" s="233"/>
      <c r="G907" s="233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</row>
    <row r="908">
      <c r="A908" s="233"/>
      <c r="B908" s="233"/>
      <c r="C908" s="233"/>
      <c r="D908" s="233"/>
      <c r="E908" s="233"/>
      <c r="F908" s="233"/>
      <c r="G908" s="233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</row>
    <row r="909">
      <c r="A909" s="233"/>
      <c r="B909" s="233"/>
      <c r="C909" s="233"/>
      <c r="D909" s="233"/>
      <c r="E909" s="233"/>
      <c r="F909" s="233"/>
      <c r="G909" s="233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</row>
    <row r="910">
      <c r="A910" s="233"/>
      <c r="B910" s="233"/>
      <c r="C910" s="233"/>
      <c r="D910" s="233"/>
      <c r="E910" s="233"/>
      <c r="F910" s="233"/>
      <c r="G910" s="233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</row>
    <row r="911">
      <c r="A911" s="233"/>
      <c r="B911" s="233"/>
      <c r="C911" s="233"/>
      <c r="D911" s="233"/>
      <c r="E911" s="233"/>
      <c r="F911" s="233"/>
      <c r="G911" s="233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</row>
    <row r="912">
      <c r="A912" s="233"/>
      <c r="B912" s="233"/>
      <c r="C912" s="233"/>
      <c r="D912" s="233"/>
      <c r="E912" s="233"/>
      <c r="F912" s="233"/>
      <c r="G912" s="233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</row>
    <row r="913">
      <c r="A913" s="233"/>
      <c r="B913" s="233"/>
      <c r="C913" s="233"/>
      <c r="D913" s="233"/>
      <c r="E913" s="233"/>
      <c r="F913" s="233"/>
      <c r="G913" s="233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</row>
    <row r="914">
      <c r="A914" s="233"/>
      <c r="B914" s="233"/>
      <c r="C914" s="233"/>
      <c r="D914" s="233"/>
      <c r="E914" s="233"/>
      <c r="F914" s="233"/>
      <c r="G914" s="233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</row>
    <row r="915">
      <c r="A915" s="233"/>
      <c r="B915" s="233"/>
      <c r="C915" s="233"/>
      <c r="D915" s="233"/>
      <c r="E915" s="233"/>
      <c r="F915" s="233"/>
      <c r="G915" s="233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</row>
    <row r="916">
      <c r="A916" s="233"/>
      <c r="B916" s="233"/>
      <c r="C916" s="233"/>
      <c r="D916" s="233"/>
      <c r="E916" s="233"/>
      <c r="F916" s="233"/>
      <c r="G916" s="233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</row>
    <row r="917">
      <c r="A917" s="233"/>
      <c r="B917" s="233"/>
      <c r="C917" s="233"/>
      <c r="D917" s="233"/>
      <c r="E917" s="233"/>
      <c r="F917" s="233"/>
      <c r="G917" s="233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</row>
    <row r="918">
      <c r="A918" s="233"/>
      <c r="B918" s="233"/>
      <c r="C918" s="233"/>
      <c r="D918" s="233"/>
      <c r="E918" s="233"/>
      <c r="F918" s="233"/>
      <c r="G918" s="233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</row>
    <row r="919">
      <c r="A919" s="233"/>
      <c r="B919" s="233"/>
      <c r="C919" s="233"/>
      <c r="D919" s="233"/>
      <c r="E919" s="233"/>
      <c r="F919" s="233"/>
      <c r="G919" s="233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</row>
    <row r="920">
      <c r="A920" s="233"/>
      <c r="B920" s="233"/>
      <c r="C920" s="233"/>
      <c r="D920" s="233"/>
      <c r="E920" s="233"/>
      <c r="F920" s="233"/>
      <c r="G920" s="233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</row>
    <row r="921">
      <c r="A921" s="233"/>
      <c r="B921" s="233"/>
      <c r="C921" s="233"/>
      <c r="D921" s="233"/>
      <c r="E921" s="233"/>
      <c r="F921" s="233"/>
      <c r="G921" s="233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</row>
    <row r="922">
      <c r="A922" s="233"/>
      <c r="B922" s="233"/>
      <c r="C922" s="233"/>
      <c r="D922" s="233"/>
      <c r="E922" s="233"/>
      <c r="F922" s="233"/>
      <c r="G922" s="233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</row>
    <row r="923">
      <c r="A923" s="233"/>
      <c r="B923" s="233"/>
      <c r="C923" s="233"/>
      <c r="D923" s="233"/>
      <c r="E923" s="233"/>
      <c r="F923" s="233"/>
      <c r="G923" s="233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</row>
    <row r="924">
      <c r="A924" s="233"/>
      <c r="B924" s="233"/>
      <c r="C924" s="233"/>
      <c r="D924" s="233"/>
      <c r="E924" s="233"/>
      <c r="F924" s="233"/>
      <c r="G924" s="233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</row>
    <row r="925">
      <c r="A925" s="233"/>
      <c r="B925" s="233"/>
      <c r="C925" s="233"/>
      <c r="D925" s="233"/>
      <c r="E925" s="233"/>
      <c r="F925" s="233"/>
      <c r="G925" s="233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</row>
    <row r="926">
      <c r="A926" s="233"/>
      <c r="B926" s="233"/>
      <c r="C926" s="233"/>
      <c r="D926" s="233"/>
      <c r="E926" s="233"/>
      <c r="F926" s="233"/>
      <c r="G926" s="233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</row>
    <row r="927">
      <c r="A927" s="233"/>
      <c r="B927" s="233"/>
      <c r="C927" s="233"/>
      <c r="D927" s="233"/>
      <c r="E927" s="233"/>
      <c r="F927" s="233"/>
      <c r="G927" s="233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</row>
    <row r="928">
      <c r="A928" s="233"/>
      <c r="B928" s="233"/>
      <c r="C928" s="233"/>
      <c r="D928" s="233"/>
      <c r="E928" s="233"/>
      <c r="F928" s="233"/>
      <c r="G928" s="233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</row>
    <row r="929">
      <c r="A929" s="233"/>
      <c r="B929" s="233"/>
      <c r="C929" s="233"/>
      <c r="D929" s="233"/>
      <c r="E929" s="233"/>
      <c r="F929" s="233"/>
      <c r="G929" s="233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</row>
    <row r="930">
      <c r="A930" s="233"/>
      <c r="B930" s="233"/>
      <c r="C930" s="233"/>
      <c r="D930" s="233"/>
      <c r="E930" s="233"/>
      <c r="F930" s="233"/>
      <c r="G930" s="233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</row>
    <row r="931">
      <c r="A931" s="233"/>
      <c r="B931" s="233"/>
      <c r="C931" s="233"/>
      <c r="D931" s="233"/>
      <c r="E931" s="233"/>
      <c r="F931" s="233"/>
      <c r="G931" s="233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</row>
    <row r="932">
      <c r="A932" s="233"/>
      <c r="B932" s="233"/>
      <c r="C932" s="233"/>
      <c r="D932" s="233"/>
      <c r="E932" s="233"/>
      <c r="F932" s="233"/>
      <c r="G932" s="233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</row>
    <row r="933">
      <c r="A933" s="233"/>
      <c r="B933" s="233"/>
      <c r="C933" s="233"/>
      <c r="D933" s="233"/>
      <c r="E933" s="233"/>
      <c r="F933" s="233"/>
      <c r="G933" s="233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</row>
    <row r="934">
      <c r="A934" s="233"/>
      <c r="B934" s="233"/>
      <c r="C934" s="233"/>
      <c r="D934" s="233"/>
      <c r="E934" s="233"/>
      <c r="F934" s="233"/>
      <c r="G934" s="233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</row>
    <row r="935">
      <c r="A935" s="233"/>
      <c r="B935" s="233"/>
      <c r="C935" s="233"/>
      <c r="D935" s="233"/>
      <c r="E935" s="233"/>
      <c r="F935" s="233"/>
      <c r="G935" s="233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</row>
    <row r="936">
      <c r="A936" s="233"/>
      <c r="B936" s="233"/>
      <c r="C936" s="233"/>
      <c r="D936" s="233"/>
      <c r="E936" s="233"/>
      <c r="F936" s="233"/>
      <c r="G936" s="233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</row>
    <row r="937">
      <c r="A937" s="233"/>
      <c r="B937" s="233"/>
      <c r="C937" s="233"/>
      <c r="D937" s="233"/>
      <c r="E937" s="233"/>
      <c r="F937" s="233"/>
      <c r="G937" s="233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</row>
    <row r="938">
      <c r="A938" s="233"/>
      <c r="B938" s="233"/>
      <c r="C938" s="233"/>
      <c r="D938" s="233"/>
      <c r="E938" s="233"/>
      <c r="F938" s="233"/>
      <c r="G938" s="233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</row>
    <row r="939">
      <c r="A939" s="233"/>
      <c r="B939" s="233"/>
      <c r="C939" s="233"/>
      <c r="D939" s="233"/>
      <c r="E939" s="233"/>
      <c r="F939" s="233"/>
      <c r="G939" s="233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</row>
    <row r="940">
      <c r="A940" s="233"/>
      <c r="B940" s="233"/>
      <c r="C940" s="233"/>
      <c r="D940" s="233"/>
      <c r="E940" s="233"/>
      <c r="F940" s="233"/>
      <c r="G940" s="233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</row>
    <row r="941">
      <c r="A941" s="233"/>
      <c r="B941" s="233"/>
      <c r="C941" s="233"/>
      <c r="D941" s="233"/>
      <c r="E941" s="233"/>
      <c r="F941" s="233"/>
      <c r="G941" s="233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</row>
    <row r="942">
      <c r="A942" s="233"/>
      <c r="B942" s="233"/>
      <c r="C942" s="233"/>
      <c r="D942" s="233"/>
      <c r="E942" s="233"/>
      <c r="F942" s="233"/>
      <c r="G942" s="233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</row>
    <row r="943">
      <c r="A943" s="233"/>
      <c r="B943" s="233"/>
      <c r="C943" s="233"/>
      <c r="D943" s="233"/>
      <c r="E943" s="233"/>
      <c r="F943" s="233"/>
      <c r="G943" s="233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</row>
    <row r="944">
      <c r="A944" s="233"/>
      <c r="B944" s="233"/>
      <c r="C944" s="233"/>
      <c r="D944" s="233"/>
      <c r="E944" s="233"/>
      <c r="F944" s="233"/>
      <c r="G944" s="233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</row>
    <row r="945">
      <c r="A945" s="233"/>
      <c r="B945" s="233"/>
      <c r="C945" s="233"/>
      <c r="D945" s="233"/>
      <c r="E945" s="233"/>
      <c r="F945" s="233"/>
      <c r="G945" s="233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</row>
    <row r="946">
      <c r="A946" s="233"/>
      <c r="B946" s="233"/>
      <c r="C946" s="233"/>
      <c r="D946" s="233"/>
      <c r="E946" s="233"/>
      <c r="F946" s="233"/>
      <c r="G946" s="233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</row>
    <row r="947">
      <c r="A947" s="233"/>
      <c r="B947" s="233"/>
      <c r="C947" s="233"/>
      <c r="D947" s="233"/>
      <c r="E947" s="233"/>
      <c r="F947" s="233"/>
      <c r="G947" s="233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</row>
    <row r="948">
      <c r="A948" s="233"/>
      <c r="B948" s="233"/>
      <c r="C948" s="233"/>
      <c r="D948" s="233"/>
      <c r="E948" s="233"/>
      <c r="F948" s="233"/>
      <c r="G948" s="233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</row>
    <row r="949">
      <c r="A949" s="233"/>
      <c r="B949" s="233"/>
      <c r="C949" s="233"/>
      <c r="D949" s="233"/>
      <c r="E949" s="233"/>
      <c r="F949" s="233"/>
      <c r="G949" s="233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</row>
    <row r="950">
      <c r="A950" s="233"/>
      <c r="B950" s="233"/>
      <c r="C950" s="233"/>
      <c r="D950" s="233"/>
      <c r="E950" s="233"/>
      <c r="F950" s="233"/>
      <c r="G950" s="233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</row>
    <row r="951">
      <c r="A951" s="233"/>
      <c r="B951" s="233"/>
      <c r="C951" s="233"/>
      <c r="D951" s="233"/>
      <c r="E951" s="233"/>
      <c r="F951" s="233"/>
      <c r="G951" s="233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</row>
    <row r="952">
      <c r="A952" s="233"/>
      <c r="B952" s="233"/>
      <c r="C952" s="233"/>
      <c r="D952" s="233"/>
      <c r="E952" s="233"/>
      <c r="F952" s="233"/>
      <c r="G952" s="233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</row>
    <row r="953">
      <c r="A953" s="233"/>
      <c r="B953" s="233"/>
      <c r="C953" s="233"/>
      <c r="D953" s="233"/>
      <c r="E953" s="233"/>
      <c r="F953" s="233"/>
      <c r="G953" s="233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</row>
    <row r="954">
      <c r="A954" s="233"/>
      <c r="B954" s="233"/>
      <c r="C954" s="233"/>
      <c r="D954" s="233"/>
      <c r="E954" s="233"/>
      <c r="F954" s="233"/>
      <c r="G954" s="233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</row>
    <row r="955">
      <c r="A955" s="233"/>
      <c r="B955" s="233"/>
      <c r="C955" s="233"/>
      <c r="D955" s="233"/>
      <c r="E955" s="233"/>
      <c r="F955" s="233"/>
      <c r="G955" s="233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</row>
    <row r="956">
      <c r="A956" s="233"/>
      <c r="B956" s="233"/>
      <c r="C956" s="233"/>
      <c r="D956" s="233"/>
      <c r="E956" s="233"/>
      <c r="F956" s="233"/>
      <c r="G956" s="233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</row>
    <row r="957">
      <c r="A957" s="233"/>
      <c r="B957" s="233"/>
      <c r="C957" s="233"/>
      <c r="D957" s="233"/>
      <c r="E957" s="233"/>
      <c r="F957" s="233"/>
      <c r="G957" s="233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</row>
    <row r="958">
      <c r="A958" s="233"/>
      <c r="B958" s="233"/>
      <c r="C958" s="233"/>
      <c r="D958" s="233"/>
      <c r="E958" s="233"/>
      <c r="F958" s="233"/>
      <c r="G958" s="233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</row>
    <row r="959">
      <c r="A959" s="233"/>
      <c r="B959" s="233"/>
      <c r="C959" s="233"/>
      <c r="D959" s="233"/>
      <c r="E959" s="233"/>
      <c r="F959" s="233"/>
      <c r="G959" s="233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</row>
    <row r="960">
      <c r="A960" s="233"/>
      <c r="B960" s="233"/>
      <c r="C960" s="233"/>
      <c r="D960" s="233"/>
      <c r="E960" s="233"/>
      <c r="F960" s="233"/>
      <c r="G960" s="233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</row>
    <row r="961">
      <c r="A961" s="233"/>
      <c r="B961" s="233"/>
      <c r="C961" s="233"/>
      <c r="D961" s="233"/>
      <c r="E961" s="233"/>
      <c r="F961" s="233"/>
      <c r="G961" s="233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</row>
    <row r="962">
      <c r="A962" s="233"/>
      <c r="B962" s="233"/>
      <c r="C962" s="233"/>
      <c r="D962" s="233"/>
      <c r="E962" s="233"/>
      <c r="F962" s="233"/>
      <c r="G962" s="233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</row>
    <row r="963">
      <c r="A963" s="233"/>
      <c r="B963" s="233"/>
      <c r="C963" s="233"/>
      <c r="D963" s="233"/>
      <c r="E963" s="233"/>
      <c r="F963" s="233"/>
      <c r="G963" s="233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</row>
    <row r="964">
      <c r="A964" s="233"/>
      <c r="B964" s="233"/>
      <c r="C964" s="233"/>
      <c r="D964" s="233"/>
      <c r="E964" s="233"/>
      <c r="F964" s="233"/>
      <c r="G964" s="233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</row>
    <row r="965">
      <c r="A965" s="233"/>
      <c r="B965" s="233"/>
      <c r="C965" s="233"/>
      <c r="D965" s="233"/>
      <c r="E965" s="233"/>
      <c r="F965" s="233"/>
      <c r="G965" s="233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</row>
    <row r="966">
      <c r="A966" s="233"/>
      <c r="B966" s="233"/>
      <c r="C966" s="233"/>
      <c r="D966" s="233"/>
      <c r="E966" s="233"/>
      <c r="F966" s="233"/>
      <c r="G966" s="233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</row>
    <row r="967">
      <c r="A967" s="233"/>
      <c r="B967" s="233"/>
      <c r="C967" s="233"/>
      <c r="D967" s="233"/>
      <c r="E967" s="233"/>
      <c r="F967" s="233"/>
      <c r="G967" s="233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</row>
    <row r="968">
      <c r="A968" s="233"/>
      <c r="B968" s="233"/>
      <c r="C968" s="233"/>
      <c r="D968" s="233"/>
      <c r="E968" s="233"/>
      <c r="F968" s="233"/>
      <c r="G968" s="233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</row>
    <row r="969">
      <c r="A969" s="233"/>
      <c r="B969" s="233"/>
      <c r="C969" s="233"/>
      <c r="D969" s="233"/>
      <c r="E969" s="233"/>
      <c r="F969" s="233"/>
      <c r="G969" s="233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</row>
    <row r="970">
      <c r="A970" s="233"/>
      <c r="B970" s="233"/>
      <c r="C970" s="233"/>
      <c r="D970" s="233"/>
      <c r="E970" s="233"/>
      <c r="F970" s="233"/>
      <c r="G970" s="233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</row>
    <row r="971">
      <c r="A971" s="233"/>
      <c r="B971" s="233"/>
      <c r="C971" s="233"/>
      <c r="D971" s="233"/>
      <c r="E971" s="233"/>
      <c r="F971" s="233"/>
      <c r="G971" s="233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</row>
    <row r="972">
      <c r="A972" s="233"/>
      <c r="B972" s="233"/>
      <c r="C972" s="233"/>
      <c r="D972" s="233"/>
      <c r="E972" s="233"/>
      <c r="F972" s="233"/>
      <c r="G972" s="233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</row>
    <row r="973">
      <c r="A973" s="233"/>
      <c r="B973" s="233"/>
      <c r="C973" s="233"/>
      <c r="D973" s="233"/>
      <c r="E973" s="233"/>
      <c r="F973" s="233"/>
      <c r="G973" s="233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</row>
  </sheetData>
  <mergeCells count="1">
    <mergeCell ref="B2:F2"/>
  </mergeCells>
  <drawing r:id="rId1"/>
</worksheet>
</file>