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Expense" sheetId="1" r:id="rId4"/>
    <sheet state="hidden" name="Income" sheetId="2" r:id="rId5"/>
    <sheet state="visible" name="Cash Report" sheetId="3" r:id="rId6"/>
    <sheet state="visible" name="Breakdown of Income and Expendi" sheetId="4" r:id="rId7"/>
    <sheet state="visible" name="Cash Balance Summary " sheetId="5" r:id="rId8"/>
    <sheet state="visible" name="Cash Utilizations from Safe" sheetId="6" r:id="rId9"/>
  </sheets>
  <definedNames/>
  <calcPr/>
  <extLst>
    <ext uri="GoogleSheetsCustomDataVersion2">
      <go:sheetsCustomData xmlns:go="http://customooxmlschemas.google.com/" r:id="rId10" roundtripDataChecksum="IhrKNQNpCJGpJqUvm4zoq534/wYDGwo+KDFwQBDdePY="/>
    </ext>
  </extLst>
</workbook>
</file>

<file path=xl/sharedStrings.xml><?xml version="1.0" encoding="utf-8"?>
<sst xmlns="http://schemas.openxmlformats.org/spreadsheetml/2006/main" count="460" uniqueCount="273">
  <si>
    <t>Column 1</t>
  </si>
  <si>
    <t>Column 2</t>
  </si>
  <si>
    <t>Column 3</t>
  </si>
  <si>
    <t>Column 4</t>
  </si>
  <si>
    <t>Total</t>
  </si>
  <si>
    <t>inter</t>
  </si>
  <si>
    <t>pay. batch</t>
  </si>
  <si>
    <t>bank charge</t>
  </si>
  <si>
    <t>VAT</t>
  </si>
  <si>
    <t>Refund</t>
  </si>
  <si>
    <t>ID4Africa Registration</t>
  </si>
  <si>
    <t>Flight Ticket/Accommodation</t>
  </si>
  <si>
    <t>Tatvasoft</t>
  </si>
  <si>
    <t>Pension</t>
  </si>
  <si>
    <t>Management Allowance</t>
  </si>
  <si>
    <t>Office Supplies &amp; Fuel</t>
  </si>
  <si>
    <t>Software Tools</t>
  </si>
  <si>
    <t>Shipping &amp; Freight</t>
  </si>
  <si>
    <t>AWS</t>
  </si>
  <si>
    <t>Bind</t>
  </si>
  <si>
    <t>BTA</t>
  </si>
  <si>
    <t>Nimc consultancy fee</t>
  </si>
  <si>
    <t>WHT</t>
  </si>
  <si>
    <t>Hosting</t>
  </si>
  <si>
    <t>Salary</t>
  </si>
  <si>
    <t>Paye</t>
  </si>
  <si>
    <t>Bis Premises &amp; Dev Levy</t>
  </si>
  <si>
    <t>OUTFLOWS</t>
  </si>
  <si>
    <t>FBN (PROJECT) </t>
  </si>
  <si>
    <t>Interbank</t>
  </si>
  <si>
    <t>FIDELITY</t>
  </si>
  <si>
    <t>Payment Batches</t>
  </si>
  <si>
    <t>POLARIS MAIN</t>
  </si>
  <si>
    <t>POLARIS  (OPERATIONS 1)</t>
  </si>
  <si>
    <t>POLARIS (OPERATIONS 2)</t>
  </si>
  <si>
    <t>PAYE</t>
  </si>
  <si>
    <t>SCB</t>
  </si>
  <si>
    <t>UBA Main</t>
  </si>
  <si>
    <t>UBA (PROJECT) </t>
  </si>
  <si>
    <t>UBA (COLLECTION 1)</t>
  </si>
  <si>
    <t>Bank Charges</t>
  </si>
  <si>
    <t>UBA (COLLECTION 2)</t>
  </si>
  <si>
    <t>Office Supplies, Fuel &amp; Letter Dispatch</t>
  </si>
  <si>
    <t>UBA APG</t>
  </si>
  <si>
    <t>UNION BANK</t>
  </si>
  <si>
    <t>ZENITH CALL 1</t>
  </si>
  <si>
    <t>ZENITH (SETTLEMENT)</t>
  </si>
  <si>
    <t>GTB</t>
  </si>
  <si>
    <t>GTB (Mastercard corporate debit)</t>
  </si>
  <si>
    <t>Access Bank Main A/C</t>
  </si>
  <si>
    <t>Access Bank Salary A/C</t>
  </si>
  <si>
    <t>Wema Card</t>
  </si>
  <si>
    <t>Globus</t>
  </si>
  <si>
    <t>MoMo Wallet</t>
  </si>
  <si>
    <t>ZENITH (USD)</t>
  </si>
  <si>
    <t>CASH IN HAND (USD)</t>
  </si>
  <si>
    <t>CASH IN HAND (POUNDS)</t>
  </si>
  <si>
    <t>CASH IN TRANSIT</t>
  </si>
  <si>
    <t>GTB MASTERCARD CCC (DOLLAR)</t>
  </si>
  <si>
    <t>SCB Funding</t>
  </si>
  <si>
    <t>UBA </t>
  </si>
  <si>
    <t>Access USD</t>
  </si>
  <si>
    <t>Refund/Reversal</t>
  </si>
  <si>
    <t>idqr</t>
  </si>
  <si>
    <t>Investment Liquidation</t>
  </si>
  <si>
    <t>Int'l Women Day Donations</t>
  </si>
  <si>
    <t>Glo Income</t>
  </si>
  <si>
    <t>Interest Earned</t>
  </si>
  <si>
    <t>NIMC Income</t>
  </si>
  <si>
    <t>iTranscript Income</t>
  </si>
  <si>
    <t>NextGen</t>
  </si>
  <si>
    <t>Loan Repayment</t>
  </si>
  <si>
    <t>Insurance Claim</t>
  </si>
  <si>
    <t>MTN Income</t>
  </si>
  <si>
    <t>Inflows</t>
  </si>
  <si>
    <t>Nimc Income</t>
  </si>
  <si>
    <t>Int'l Weman Day Donations</t>
  </si>
  <si>
    <t>UBA MAIN</t>
  </si>
  <si>
    <t>UBA Project</t>
  </si>
  <si>
    <t>SEAMFIX LIMITED</t>
  </si>
  <si>
    <t>CASH AND CASH EQUIVALENT REPORT AS AT 20TH MARCH 2026</t>
  </si>
  <si>
    <t>CASH IN HAND AND BANK</t>
  </si>
  <si>
    <t>S/N</t>
  </si>
  <si>
    <t>Banks</t>
  </si>
  <si>
    <t>OPENING BALANCE</t>
  </si>
  <si>
    <t>EXCHANGE RATE </t>
  </si>
  <si>
    <t>OPENING BALANCE (NGN)</t>
  </si>
  <si>
    <t xml:space="preserve">INFLOW </t>
  </si>
  <si>
    <t>OUTFLOW</t>
  </si>
  <si>
    <t>NET DIFFERENCE</t>
  </si>
  <si>
    <t>CLOSING BALANCE</t>
  </si>
  <si>
    <t>Remarks</t>
  </si>
  <si>
    <t xml:space="preserve">Inflow: 
Outflow: </t>
  </si>
  <si>
    <t xml:space="preserve">Inflow:
Outflow: </t>
  </si>
  <si>
    <t>Inflow: 
Outflow:</t>
  </si>
  <si>
    <t>Inflow: 
Outflow: Bank Charges</t>
  </si>
  <si>
    <t>Inflow: 
Outflow: Bank charges</t>
  </si>
  <si>
    <t xml:space="preserve">Inflow: Interbank Transfer
Outflow: </t>
  </si>
  <si>
    <t xml:space="preserve">Inflow: Interbank transfer
Outflow: </t>
  </si>
  <si>
    <t>Inflow: Nimc Income
Outflow: Bank cahrges, VAT, PAYE  and interbank transfer</t>
  </si>
  <si>
    <t xml:space="preserve">Inflows: Interbank Transfer
Outflow: Flight booking  </t>
  </si>
  <si>
    <t xml:space="preserve">C </t>
  </si>
  <si>
    <t>Inflow: Refund
Outflow: Payment Batch &amp; Bank charges</t>
  </si>
  <si>
    <t xml:space="preserve">Inflows: 
Outflow: </t>
  </si>
  <si>
    <t>Wema</t>
  </si>
  <si>
    <t>Wema card A/c</t>
  </si>
  <si>
    <t>Momo Account</t>
  </si>
  <si>
    <t>TOTAL CASH (NGN)</t>
  </si>
  <si>
    <t>ZENITH BANK (USD)</t>
  </si>
  <si>
    <t xml:space="preserve">Inflow: Nimc Income
Outflow: </t>
  </si>
  <si>
    <t>Inflow: Interbank Transfer &amp; BTA refund
Outflow: BTA &amp; Mgt Allowances</t>
  </si>
  <si>
    <t>GTB MAIN (USD)</t>
  </si>
  <si>
    <t>Inflow:Nimc Income
Outflow: Interbank Transfer &amp; bank charges</t>
  </si>
  <si>
    <t>GTB  DEBIT CARD (USD)</t>
  </si>
  <si>
    <t>Inflow: Interbank transfer &amp; Refund 
Outflow:Software Tools, &amp; Flight &amp;  Hotel bookings</t>
  </si>
  <si>
    <t xml:space="preserve">Inflow: Interbank Transfer
Outflow:  </t>
  </si>
  <si>
    <t xml:space="preserve">Inflow: NIMC Income 
Outflow: </t>
  </si>
  <si>
    <t>TOTAL CASH (USD</t>
  </si>
  <si>
    <t>TOTAL INVESTMENTS (NGN)</t>
  </si>
  <si>
    <t>INVESTMENT HOUSE</t>
  </si>
  <si>
    <t>OPENING BALANCE (PRINCIPAL &amp; iNTEREST PAID</t>
  </si>
  <si>
    <t>COMMENTS</t>
  </si>
  <si>
    <t>FBN QUEST</t>
  </si>
  <si>
    <t>CORDROS MMF</t>
  </si>
  <si>
    <t>Alitheia funds</t>
  </si>
  <si>
    <t>STANBIC IBTC </t>
  </si>
  <si>
    <t>TOTAL INVESTMENT (NGN)</t>
  </si>
  <si>
    <t>TOTAL USD INVESTMENTS</t>
  </si>
  <si>
    <t>OPENING BALANCE (PRINCIPAL &amp; INTEREST PAID ONLY</t>
  </si>
  <si>
    <t>INFLOW</t>
  </si>
  <si>
    <t>Expected Value at Maturity</t>
  </si>
  <si>
    <t>Maturity Date</t>
  </si>
  <si>
    <t>Stanbic IBTC - Mutual Fund</t>
  </si>
  <si>
    <t>N/A</t>
  </si>
  <si>
    <t>CaridnalStone - Mutual Fund</t>
  </si>
  <si>
    <t>FBNQUEST - Mutual Fund</t>
  </si>
  <si>
    <t>Absa Bank - Fixed Deposit</t>
  </si>
  <si>
    <t>SCB USD mutual fund</t>
  </si>
  <si>
    <t>TOTAL INVESTMENT (USD)</t>
  </si>
  <si>
    <t>CASH BALANCE</t>
  </si>
  <si>
    <t>AMOUNT</t>
  </si>
  <si>
    <t>EXCHANGE RATE</t>
  </si>
  <si>
    <t>NAIRA EQUI.</t>
  </si>
  <si>
    <t>Naira</t>
  </si>
  <si>
    <t>USD</t>
  </si>
  <si>
    <t>GBP</t>
  </si>
  <si>
    <t>TOTAL</t>
  </si>
  <si>
    <t>CASH REPORT - 20TH MARCH 2026</t>
  </si>
  <si>
    <t>Inflows:</t>
  </si>
  <si>
    <t>Amount</t>
  </si>
  <si>
    <t>% Ratio</t>
  </si>
  <si>
    <t>Details</t>
  </si>
  <si>
    <t>Exc rate</t>
  </si>
  <si>
    <t>Naira Equivalent</t>
  </si>
  <si>
    <t>Opening Balance- 14th March NGN</t>
  </si>
  <si>
    <t>Opening Balance- 14th March USD</t>
  </si>
  <si>
    <t>Opening Balance- 14th March GBP</t>
  </si>
  <si>
    <t>Total Cash Inflows for the week</t>
  </si>
  <si>
    <t>Total Opening Balance</t>
  </si>
  <si>
    <t>INFLOWS</t>
  </si>
  <si>
    <t>TOTAL CASH BALANCE BEFORE OUTFLOWS</t>
  </si>
  <si>
    <t>Total Cash Outflow for the week</t>
  </si>
  <si>
    <t>Net Cash Inflow for the Week</t>
  </si>
  <si>
    <t>CASH BALANCE AS AT 20TH MARCH 2026</t>
  </si>
  <si>
    <t>Breakdown of Alitheia Investment Balance held in SCB</t>
  </si>
  <si>
    <t>Opening Balance</t>
  </si>
  <si>
    <t>Closing Balance</t>
  </si>
  <si>
    <t>BREAKDOWN OF PAYMENT BATCH FOR THE WEEK</t>
  </si>
  <si>
    <t>Beneficiary Names</t>
  </si>
  <si>
    <t>Amount (N)</t>
  </si>
  <si>
    <t>Description</t>
  </si>
  <si>
    <t>Ini Medichem Resources</t>
  </si>
  <si>
    <t>LIRS consulting fee</t>
  </si>
  <si>
    <t>Cooperative Support Services</t>
  </si>
  <si>
    <t>Seamfix Full-Page Advert on Event Brochure</t>
  </si>
  <si>
    <t>Anoken Logistics</t>
  </si>
  <si>
    <t>Shipment of Souvenirs to Abuja and ESUT 24th of February</t>
  </si>
  <si>
    <t>Steno Nigeria Limited</t>
  </si>
  <si>
    <t>Water supplied to the office on the 13th of March</t>
  </si>
  <si>
    <t>Mankind Technologies</t>
  </si>
  <si>
    <t>Servicing /charger replacement (Laptop for new staff)</t>
  </si>
  <si>
    <t>Damilare Babalola</t>
  </si>
  <si>
    <t>Refund for Gift to guest speaker at IWD 2026 session</t>
  </si>
  <si>
    <t>Foldage Global Resources</t>
  </si>
  <si>
    <t>MacBook Air Battery for Miracle &amp; Charger cord for Azeez</t>
  </si>
  <si>
    <t>Friends Energy Limited</t>
  </si>
  <si>
    <t>Diesel supply to the office</t>
  </si>
  <si>
    <t>Charging Cord replacement for sunday Nwabali</t>
  </si>
  <si>
    <t>ESTRADA OUTSOURCING LIMITED</t>
  </si>
  <si>
    <t>Payment to Estrada for March invoice</t>
  </si>
  <si>
    <t>AJS SV HOSPITALITY</t>
  </si>
  <si>
    <t>Accomondation for Cynthia in Abua 10th -11th of March</t>
  </si>
  <si>
    <t>Workplace Plus Limited</t>
  </si>
  <si>
    <t>Payment for workspace in Abuja for March &amp; April</t>
  </si>
  <si>
    <t>Shuttlers Metropolitian Mobility co. ltd</t>
  </si>
  <si>
    <t>Shuttlers Bill for Feb 2026</t>
  </si>
  <si>
    <t>BREAKDOWN OF SEAMFIX CASH BALANCES AS AT 20TH MARCH 2026</t>
  </si>
  <si>
    <t>Cash Balances</t>
  </si>
  <si>
    <t>Amount  (Naira)</t>
  </si>
  <si>
    <t>Amount (USD)</t>
  </si>
  <si>
    <t>Amount (GBP)</t>
  </si>
  <si>
    <t>Exchange rate</t>
  </si>
  <si>
    <t>Seamfix operational A/c balances (Naira)</t>
  </si>
  <si>
    <t>Seamfix operational A/c balances (USD)</t>
  </si>
  <si>
    <t>Seamfix operational A/c balances (GBP)</t>
  </si>
  <si>
    <t>Alitheia funds in the SCB funding a/c</t>
  </si>
  <si>
    <t>BREAKDOWN OF AIF INVESTMENT FUND</t>
  </si>
  <si>
    <t>Investment House</t>
  </si>
  <si>
    <t>Principal</t>
  </si>
  <si>
    <t>Interest</t>
  </si>
  <si>
    <t>Investment Type</t>
  </si>
  <si>
    <t>Comment</t>
  </si>
  <si>
    <t>Stanbic IBTC Asset Management</t>
  </si>
  <si>
    <t>Mutual Fund</t>
  </si>
  <si>
    <t xml:space="preserve">Cardinal Stone Asset Management Ltd </t>
  </si>
  <si>
    <t>FBNQuest Asset management</t>
  </si>
  <si>
    <t>Absa Bank</t>
  </si>
  <si>
    <t>SCB USD Mutual fund</t>
  </si>
  <si>
    <t>SCB Investment/Funding A/c Balance</t>
  </si>
  <si>
    <t>BREAKDOWN OF OTHER DOLLAR INVESTMENT</t>
  </si>
  <si>
    <t>FBNQuest Asset Management</t>
  </si>
  <si>
    <t>Earmarked for MinIo/Glo project licenses.</t>
  </si>
  <si>
    <t>Total USD Investments</t>
  </si>
  <si>
    <t>BREAKDOWN OF OTHER  NAIRA INVESTMENTS</t>
  </si>
  <si>
    <t>Stanbic Mutual Fund</t>
  </si>
  <si>
    <t>N120m is earmarked for NIMC payments.</t>
  </si>
  <si>
    <t>Total Naira Investments</t>
  </si>
  <si>
    <t>MARKET VALUE OF MTN SHARES</t>
  </si>
  <si>
    <t>Investment date</t>
  </si>
  <si>
    <t>Invested Amount</t>
  </si>
  <si>
    <t>Market value as at 13th March 2026</t>
  </si>
  <si>
    <t>Market value as at 20th March 2026</t>
  </si>
  <si>
    <t>USAGE OF LAST FOUR CASH WITHDRAWALS FOR SAFE</t>
  </si>
  <si>
    <t>Date</t>
  </si>
  <si>
    <t>Inflow</t>
  </si>
  <si>
    <t>Outflow</t>
  </si>
  <si>
    <t>Balance</t>
  </si>
  <si>
    <t>16/12/2025</t>
  </si>
  <si>
    <t xml:space="preserve">Balance brought forward </t>
  </si>
  <si>
    <t>Cash withdrawn from SCB</t>
  </si>
  <si>
    <t>Nov Management allowance to Diyan</t>
  </si>
  <si>
    <t>Dec Management allowance to Diyan</t>
  </si>
  <si>
    <t>13th month Management allowance to Diyan</t>
  </si>
  <si>
    <t>24/12/2025</t>
  </si>
  <si>
    <t>Cash deposit in SCB</t>
  </si>
  <si>
    <t>BTA to Frank Atube for Abidjan Trip</t>
  </si>
  <si>
    <t>23/01/2026</t>
  </si>
  <si>
    <t>Cash withdrawn from GTbank</t>
  </si>
  <si>
    <t>Part payment of Jan Management allowance - Lilian</t>
  </si>
  <si>
    <t>27/01/2026</t>
  </si>
  <si>
    <t>Jan Management allowance - Lilian balance</t>
  </si>
  <si>
    <t>Jan Management allowance - Frank</t>
  </si>
  <si>
    <t>Jan Management allowance  - Kolade</t>
  </si>
  <si>
    <t>Jan Management allowance  - Diyan</t>
  </si>
  <si>
    <t>Jan Management allowance  - Tobi</t>
  </si>
  <si>
    <t>BTA - Frank</t>
  </si>
  <si>
    <t>BTA - George</t>
  </si>
  <si>
    <t>13/02/2026</t>
  </si>
  <si>
    <t>Feb. Management allowance - Frank Atube</t>
  </si>
  <si>
    <t>23/02/2026</t>
  </si>
  <si>
    <t>BTA - Ebuka to Cotonou</t>
  </si>
  <si>
    <t>BTA Return - George</t>
  </si>
  <si>
    <t>Refund to Pyrich</t>
  </si>
  <si>
    <t>25/02/2026</t>
  </si>
  <si>
    <t>Cash withdrawn from Access Bank</t>
  </si>
  <si>
    <t>BTA - Ebuka</t>
  </si>
  <si>
    <t>BTA - Philip</t>
  </si>
  <si>
    <t>Feb Mgt allowance bal - Lilian</t>
  </si>
  <si>
    <t>16/03/2026</t>
  </si>
  <si>
    <t>BTA Refund Ebuka</t>
  </si>
  <si>
    <t>18/03/2026</t>
  </si>
  <si>
    <t>USD Withdrawal from GTB</t>
  </si>
  <si>
    <t>BTA - Frank (Botswana)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</si>
</sst>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7">
    <numFmt numFmtId="164" formatCode="[$₦-467]\ #,##0.00;\-[$₦-467]\ #,##0.00"/>
    <numFmt numFmtId="165" formatCode="_-* #,##0.00_-;\-* #,##0.00_-;_-* &quot;-&quot;??_-;_-@"/>
    <numFmt numFmtId="166" formatCode="_(* #,##0.00_);_(* \(#,##0.00\);_(* &quot;-&quot;??_);_(@_)"/>
    <numFmt numFmtId="167" formatCode="#,##0.00\ [$₦-467];\-#,##0.00\ [$₦-467]"/>
    <numFmt numFmtId="168" formatCode="[$£]#,##0.00"/>
    <numFmt numFmtId="169" formatCode="&quot;$&quot;#,##0.00"/>
    <numFmt numFmtId="170" formatCode="[$₦-470]#,##0.00"/>
    <numFmt numFmtId="171" formatCode="[$₦]#,##0.00"/>
    <numFmt numFmtId="172" formatCode="d\ mmm\ yyyy"/>
    <numFmt numFmtId="173" formatCode="[$₦-466]\ #,##0.00"/>
    <numFmt numFmtId="174" formatCode="_(&quot;$&quot;* #,##0.00_);_(&quot;$&quot;* \(#,##0.00\);_(&quot;$&quot;* &quot;-&quot;??_);_(@_)"/>
    <numFmt numFmtId="175" formatCode="[$₦-46A]#,##0.00"/>
    <numFmt numFmtId="176" formatCode="mmm\ yyyy"/>
    <numFmt numFmtId="177" formatCode="&quot;$&quot;#,##0"/>
    <numFmt numFmtId="178" formatCode="mm/dd/yyyy"/>
    <numFmt numFmtId="179" formatCode="&quot;$&quot;#,##0_);[Red]\(&quot;$&quot;#,##0\)"/>
    <numFmt numFmtId="180" formatCode="&quot;$&quot;#,##0.00_);[Red]\(&quot;$&quot;#,##0.00\)"/>
  </numFmts>
  <fonts count="21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sz val="9.0"/>
      <color theme="1"/>
      <name val="Arial"/>
    </font>
    <font>
      <sz val="11.0"/>
      <color rgb="FF000000"/>
      <name val="Calibri"/>
    </font>
    <font>
      <b/>
      <sz val="10.0"/>
      <color theme="1"/>
      <name val="Arial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0.0"/>
      <color rgb="FF000000"/>
      <name val="Verdana"/>
    </font>
    <font>
      <b/>
      <sz val="10.0"/>
      <color rgb="FF000000"/>
      <name val="Arial"/>
    </font>
    <font>
      <b/>
      <sz val="9.0"/>
      <color theme="1"/>
      <name val="Arial"/>
    </font>
    <font>
      <sz val="11.0"/>
      <color theme="1"/>
      <name val="Calibri"/>
    </font>
    <font>
      <sz val="11.0"/>
      <color rgb="FF000000"/>
      <name val="Lato"/>
    </font>
    <font/>
    <font>
      <b/>
      <i/>
      <sz val="9.0"/>
      <color rgb="FF000000"/>
      <name val="Arial"/>
    </font>
    <font>
      <i/>
      <sz val="10.0"/>
      <color theme="1"/>
      <name val="Arial"/>
    </font>
    <font>
      <b/>
      <sz val="10.0"/>
      <color rgb="FF222222"/>
      <name val="Arial"/>
    </font>
    <font>
      <sz val="10.0"/>
      <color rgb="FF222222"/>
      <name val="Arial"/>
    </font>
    <font>
      <sz val="9.0"/>
      <color rgb="FF222222"/>
      <name val="Arial"/>
    </font>
    <font>
      <sz val="10.0"/>
      <color rgb="FF222222"/>
      <name val="Georgia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5F5F5"/>
        <bgColor rgb="FFF5F5F5"/>
      </patternFill>
    </fill>
    <fill>
      <patternFill patternType="solid">
        <fgColor rgb="FF93C47D"/>
        <bgColor rgb="FF93C47D"/>
      </patternFill>
    </fill>
  </fills>
  <borders count="36">
    <border/>
    <border>
      <left/>
      <right/>
      <top/>
      <bottom/>
    </border>
    <border>
      <left style="thin">
        <color rgb="FF284E3F"/>
      </left>
      <right style="thin">
        <color rgb="FFFFFFF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284E3F"/>
      </top>
      <bottom style="thin">
        <color rgb="FF284E3F"/>
      </bottom>
    </border>
    <border>
      <left/>
      <right style="thin">
        <color rgb="FF000000"/>
      </right>
      <top/>
      <bottom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right style="thin">
        <color rgb="FF000000"/>
      </right>
    </border>
    <border>
      <left style="thin">
        <color rgb="FF000000"/>
      </left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4" xfId="0" applyAlignment="1" applyBorder="1" applyFont="1" applyNumberFormat="1">
      <alignment horizontal="left" vertical="top"/>
    </xf>
    <xf borderId="1" fillId="2" fontId="1" numFmtId="4" xfId="0" applyBorder="1" applyFont="1" applyNumberFormat="1"/>
    <xf borderId="0" fillId="0" fontId="3" numFmtId="4" xfId="0" applyFont="1" applyNumberFormat="1"/>
    <xf borderId="1" fillId="2" fontId="1" numFmtId="40" xfId="0" applyBorder="1" applyFont="1" applyNumberFormat="1"/>
    <xf borderId="1" fillId="2" fontId="1" numFmtId="4" xfId="0" applyAlignment="1" applyBorder="1" applyFont="1" applyNumberFormat="1">
      <alignment horizontal="right"/>
    </xf>
    <xf borderId="2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vertical="center"/>
    </xf>
    <xf borderId="4" fillId="2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/>
    </xf>
    <xf borderId="1" fillId="2" fontId="1" numFmtId="4" xfId="0" applyAlignment="1" applyBorder="1" applyFont="1" applyNumberFormat="1">
      <alignment horizontal="center"/>
    </xf>
    <xf borderId="5" fillId="2" fontId="4" numFmtId="0" xfId="0" applyAlignment="1" applyBorder="1" applyFont="1">
      <alignment horizontal="center"/>
    </xf>
    <xf borderId="0" fillId="0" fontId="1" numFmtId="0" xfId="0" applyFont="1"/>
    <xf borderId="0" fillId="0" fontId="2" numFmtId="0" xfId="0" applyAlignment="1" applyFont="1">
      <alignment horizontal="center"/>
    </xf>
    <xf borderId="6" fillId="2" fontId="5" numFmtId="0" xfId="0" applyAlignment="1" applyBorder="1" applyFont="1">
      <alignment vertical="center"/>
    </xf>
    <xf borderId="7" fillId="2" fontId="1" numFmtId="40" xfId="0" applyAlignment="1" applyBorder="1" applyFont="1" applyNumberFormat="1">
      <alignment vertical="center"/>
    </xf>
    <xf borderId="8" fillId="2" fontId="5" numFmtId="14" xfId="0" applyAlignment="1" applyBorder="1" applyFont="1" applyNumberFormat="1">
      <alignment vertical="center"/>
    </xf>
    <xf borderId="9" fillId="0" fontId="6" numFmtId="164" xfId="0" applyBorder="1" applyFont="1" applyNumberFormat="1"/>
    <xf borderId="9" fillId="0" fontId="7" numFmtId="164" xfId="0" applyBorder="1" applyFont="1" applyNumberFormat="1"/>
    <xf borderId="6" fillId="2" fontId="1" numFmtId="0" xfId="0" applyAlignment="1" applyBorder="1" applyFont="1">
      <alignment vertical="center"/>
    </xf>
    <xf borderId="8" fillId="2" fontId="1" numFmtId="14" xfId="0" applyAlignment="1" applyBorder="1" applyFont="1" applyNumberFormat="1">
      <alignment vertical="center"/>
    </xf>
    <xf borderId="0" fillId="0" fontId="1" numFmtId="4" xfId="0" applyFont="1" applyNumberFormat="1"/>
    <xf borderId="7" fillId="2" fontId="1" numFmtId="165" xfId="0" applyAlignment="1" applyBorder="1" applyFont="1" applyNumberFormat="1">
      <alignment horizontal="right" vertical="center"/>
    </xf>
    <xf borderId="0" fillId="0" fontId="2" numFmtId="4" xfId="0" applyFont="1" applyNumberFormat="1"/>
    <xf borderId="0" fillId="0" fontId="2" numFmtId="165" xfId="0" applyFont="1" applyNumberFormat="1"/>
    <xf borderId="1" fillId="2" fontId="1" numFmtId="0" xfId="0" applyAlignment="1" applyBorder="1" applyFont="1">
      <alignment horizontal="left"/>
    </xf>
    <xf borderId="0" fillId="0" fontId="1" numFmtId="0" xfId="0" applyFont="1"/>
    <xf borderId="10" fillId="2" fontId="5" numFmtId="14" xfId="0" applyAlignment="1" applyBorder="1" applyFont="1" applyNumberFormat="1">
      <alignment vertical="center"/>
    </xf>
    <xf borderId="0" fillId="0" fontId="8" numFmtId="0" xfId="0" applyFont="1"/>
    <xf borderId="11" fillId="2" fontId="5" numFmtId="14" xfId="0" applyAlignment="1" applyBorder="1" applyFont="1" applyNumberFormat="1">
      <alignment vertical="center"/>
    </xf>
    <xf borderId="11" fillId="2" fontId="1" numFmtId="14" xfId="0" applyAlignment="1" applyBorder="1" applyFont="1" applyNumberFormat="1">
      <alignment vertical="center"/>
    </xf>
    <xf borderId="0" fillId="0" fontId="1" numFmtId="40" xfId="0" applyFont="1" applyNumberFormat="1"/>
    <xf borderId="0" fillId="0" fontId="2" numFmtId="0" xfId="0" applyAlignment="1" applyFont="1">
      <alignment shrinkToFit="0" wrapText="1"/>
    </xf>
    <xf borderId="1" fillId="2" fontId="9" numFmtId="4" xfId="0" applyAlignment="1" applyBorder="1" applyFont="1" applyNumberFormat="1">
      <alignment horizontal="right"/>
    </xf>
    <xf borderId="1" fillId="2" fontId="9" numFmtId="0" xfId="0" applyAlignment="1" applyBorder="1" applyFont="1">
      <alignment horizontal="right"/>
    </xf>
    <xf borderId="0" fillId="0" fontId="5" numFmtId="4" xfId="0" applyFont="1" applyNumberFormat="1"/>
    <xf borderId="0" fillId="0" fontId="10" numFmtId="4" xfId="0" applyFont="1" applyNumberFormat="1"/>
    <xf borderId="0" fillId="0" fontId="2" numFmtId="4" xfId="0" applyFont="1" applyNumberFormat="1"/>
    <xf borderId="0" fillId="0" fontId="2" numFmtId="0" xfId="0" applyFont="1"/>
    <xf borderId="0" fillId="0" fontId="10" numFmtId="165" xfId="0" applyFont="1" applyNumberFormat="1"/>
    <xf borderId="7" fillId="2" fontId="5" numFmtId="40" xfId="0" applyAlignment="1" applyBorder="1" applyFont="1" applyNumberFormat="1">
      <alignment vertical="center"/>
    </xf>
    <xf borderId="0" fillId="0" fontId="1" numFmtId="165" xfId="0" applyFont="1" applyNumberFormat="1"/>
    <xf borderId="12" fillId="2" fontId="1" numFmtId="14" xfId="0" applyAlignment="1" applyBorder="1" applyFont="1" applyNumberFormat="1">
      <alignment vertical="center"/>
    </xf>
    <xf borderId="7" fillId="2" fontId="1" numFmtId="0" xfId="0" applyAlignment="1" applyBorder="1" applyFont="1">
      <alignment vertical="center"/>
    </xf>
    <xf borderId="7" fillId="2" fontId="1" numFmtId="14" xfId="0" applyAlignment="1" applyBorder="1" applyFont="1" applyNumberFormat="1">
      <alignment vertical="center"/>
    </xf>
    <xf borderId="6" fillId="2" fontId="1" numFmtId="164" xfId="0" applyAlignment="1" applyBorder="1" applyFont="1" applyNumberFormat="1">
      <alignment vertical="center"/>
    </xf>
    <xf borderId="6" fillId="2" fontId="1" numFmtId="40" xfId="0" applyAlignment="1" applyBorder="1" applyFont="1" applyNumberFormat="1">
      <alignment vertical="center"/>
    </xf>
    <xf borderId="7" fillId="2" fontId="1" numFmtId="4" xfId="0" applyAlignment="1" applyBorder="1" applyFont="1" applyNumberFormat="1">
      <alignment vertical="center"/>
    </xf>
    <xf borderId="13" fillId="2" fontId="2" numFmtId="2" xfId="0" applyAlignment="1" applyBorder="1" applyFont="1" applyNumberFormat="1">
      <alignment horizontal="center" vertical="center"/>
    </xf>
    <xf borderId="9" fillId="0" fontId="4" numFmtId="164" xfId="0" applyAlignment="1" applyBorder="1" applyFont="1" applyNumberFormat="1">
      <alignment horizontal="right"/>
    </xf>
    <xf borderId="9" fillId="2" fontId="1" numFmtId="4" xfId="0" applyAlignment="1" applyBorder="1" applyFont="1" applyNumberFormat="1">
      <alignment vertical="center"/>
    </xf>
    <xf borderId="14" fillId="2" fontId="1" numFmtId="0" xfId="0" applyAlignment="1" applyBorder="1" applyFont="1">
      <alignment vertical="center"/>
    </xf>
    <xf borderId="15" fillId="2" fontId="1" numFmtId="0" xfId="0" applyAlignment="1" applyBorder="1" applyFont="1">
      <alignment vertical="center"/>
    </xf>
    <xf borderId="15" fillId="2" fontId="1" numFmtId="14" xfId="0" applyAlignment="1" applyBorder="1" applyFont="1" applyNumberFormat="1">
      <alignment vertical="center"/>
    </xf>
    <xf borderId="1" fillId="2" fontId="1" numFmtId="164" xfId="0" applyBorder="1" applyFont="1" applyNumberFormat="1"/>
    <xf borderId="1" fillId="2" fontId="2" numFmtId="4" xfId="0" applyBorder="1" applyFont="1" applyNumberFormat="1"/>
    <xf borderId="0" fillId="0" fontId="3" numFmtId="0" xfId="0" applyFont="1"/>
    <xf borderId="0" fillId="0" fontId="3" numFmtId="40" xfId="0" applyAlignment="1" applyFont="1" applyNumberFormat="1">
      <alignment horizontal="right"/>
    </xf>
    <xf borderId="0" fillId="0" fontId="3" numFmtId="4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0" fillId="0" fontId="11" numFmtId="0" xfId="0" applyFont="1"/>
    <xf borderId="0" fillId="0" fontId="3" numFmtId="40" xfId="0" applyFont="1" applyNumberFormat="1"/>
    <xf borderId="16" fillId="0" fontId="11" numFmtId="40" xfId="0" applyBorder="1" applyFont="1" applyNumberFormat="1"/>
    <xf borderId="9" fillId="0" fontId="6" numFmtId="164" xfId="0" applyBorder="1" applyFont="1" applyNumberFormat="1"/>
    <xf borderId="16" fillId="0" fontId="3" numFmtId="40" xfId="0" applyBorder="1" applyFont="1" applyNumberFormat="1"/>
    <xf borderId="0" fillId="0" fontId="1" numFmtId="4" xfId="0" applyFont="1" applyNumberFormat="1"/>
    <xf borderId="0" fillId="0" fontId="5" numFmtId="0" xfId="0" applyFont="1"/>
    <xf borderId="0" fillId="0" fontId="5" numFmtId="4" xfId="0" applyFont="1" applyNumberFormat="1"/>
    <xf borderId="0" fillId="0" fontId="2" numFmtId="40" xfId="0" applyFont="1" applyNumberFormat="1"/>
    <xf borderId="0" fillId="0" fontId="10" numFmtId="40" xfId="0" applyFont="1" applyNumberFormat="1"/>
    <xf borderId="0" fillId="0" fontId="6" numFmtId="4" xfId="0" applyFont="1" applyNumberFormat="1"/>
    <xf borderId="0" fillId="0" fontId="11" numFmtId="40" xfId="0" applyAlignment="1" applyFont="1" applyNumberFormat="1">
      <alignment horizontal="right"/>
    </xf>
    <xf borderId="0" fillId="0" fontId="2" numFmtId="166" xfId="0" applyAlignment="1" applyFont="1" applyNumberFormat="1">
      <alignment shrinkToFit="0" wrapText="1"/>
    </xf>
    <xf borderId="0" fillId="0" fontId="11" numFmtId="4" xfId="0" applyFont="1" applyNumberFormat="1"/>
    <xf borderId="0" fillId="0" fontId="10" numFmtId="4" xfId="0" applyFont="1" applyNumberFormat="1"/>
    <xf borderId="17" fillId="0" fontId="3" numFmtId="40" xfId="0" applyBorder="1" applyFont="1" applyNumberFormat="1"/>
    <xf borderId="0" fillId="0" fontId="12" numFmtId="4" xfId="0" applyAlignment="1" applyFont="1" applyNumberFormat="1">
      <alignment horizontal="right"/>
    </xf>
    <xf borderId="0" fillId="0" fontId="12" numFmtId="40" xfId="0" applyAlignment="1" applyFont="1" applyNumberFormat="1">
      <alignment horizontal="right"/>
    </xf>
    <xf borderId="0" fillId="0" fontId="3" numFmtId="40" xfId="0" applyAlignment="1" applyFont="1" applyNumberFormat="1">
      <alignment horizontal="center"/>
    </xf>
    <xf borderId="9" fillId="0" fontId="3" numFmtId="40" xfId="0" applyBorder="1" applyFont="1" applyNumberFormat="1"/>
    <xf borderId="9" fillId="0" fontId="11" numFmtId="4" xfId="0" applyAlignment="1" applyBorder="1" applyFont="1" applyNumberFormat="1">
      <alignment horizontal="right"/>
    </xf>
    <xf borderId="0" fillId="0" fontId="11" numFmtId="4" xfId="0" applyAlignment="1" applyFont="1" applyNumberFormat="1">
      <alignment horizontal="right"/>
    </xf>
    <xf borderId="1" fillId="3" fontId="2" numFmtId="4" xfId="0" applyBorder="1" applyFill="1" applyFont="1" applyNumberFormat="1"/>
    <xf borderId="0" fillId="0" fontId="1" numFmtId="4" xfId="0" applyAlignment="1" applyFont="1" applyNumberFormat="1">
      <alignment horizontal="right"/>
    </xf>
    <xf borderId="1" fillId="4" fontId="13" numFmtId="164" xfId="0" applyAlignment="1" applyBorder="1" applyFill="1" applyFont="1" applyNumberFormat="1">
      <alignment horizontal="right"/>
    </xf>
    <xf borderId="1" fillId="2" fontId="6" numFmtId="40" xfId="0" applyBorder="1" applyFont="1" applyNumberFormat="1"/>
    <xf borderId="16" fillId="0" fontId="11" numFmtId="38" xfId="0" applyAlignment="1" applyBorder="1" applyFont="1" applyNumberFormat="1">
      <alignment horizontal="center" shrinkToFit="0" wrapText="1"/>
    </xf>
    <xf borderId="18" fillId="0" fontId="14" numFmtId="0" xfId="0" applyBorder="1" applyFont="1"/>
    <xf borderId="19" fillId="0" fontId="14" numFmtId="0" xfId="0" applyBorder="1" applyFont="1"/>
    <xf borderId="9" fillId="5" fontId="11" numFmtId="38" xfId="0" applyAlignment="1" applyBorder="1" applyFill="1" applyFont="1" applyNumberFormat="1">
      <alignment horizontal="center" shrinkToFit="0" wrapText="1"/>
    </xf>
    <xf borderId="9" fillId="5" fontId="11" numFmtId="167" xfId="0" applyAlignment="1" applyBorder="1" applyFont="1" applyNumberFormat="1">
      <alignment horizontal="center" shrinkToFit="0" wrapText="1"/>
    </xf>
    <xf borderId="9" fillId="5" fontId="11" numFmtId="0" xfId="0" applyAlignment="1" applyBorder="1" applyFont="1">
      <alignment horizontal="center" shrinkToFit="0" wrapText="1"/>
    </xf>
    <xf borderId="9" fillId="0" fontId="6" numFmtId="38" xfId="0" applyAlignment="1" applyBorder="1" applyFont="1" applyNumberFormat="1">
      <alignment horizontal="center"/>
    </xf>
    <xf borderId="9" fillId="0" fontId="7" numFmtId="40" xfId="0" applyBorder="1" applyFont="1" applyNumberFormat="1"/>
    <xf borderId="9" fillId="0" fontId="7" numFmtId="164" xfId="0" applyBorder="1" applyFont="1" applyNumberFormat="1"/>
    <xf borderId="9" fillId="0" fontId="6" numFmtId="40" xfId="0" applyAlignment="1" applyBorder="1" applyFont="1" applyNumberFormat="1">
      <alignment horizontal="center"/>
    </xf>
    <xf borderId="9" fillId="0" fontId="3" numFmtId="164" xfId="0" applyAlignment="1" applyBorder="1" applyFont="1" applyNumberFormat="1">
      <alignment horizontal="right"/>
    </xf>
    <xf borderId="9" fillId="0" fontId="6" numFmtId="40" xfId="0" applyBorder="1" applyFont="1" applyNumberFormat="1"/>
    <xf borderId="9" fillId="0" fontId="3" numFmtId="0" xfId="0" applyAlignment="1" applyBorder="1" applyFont="1">
      <alignment shrinkToFit="0" wrapText="1"/>
    </xf>
    <xf borderId="0" fillId="0" fontId="3" numFmtId="167" xfId="0" applyFont="1" applyNumberFormat="1"/>
    <xf borderId="9" fillId="2" fontId="7" numFmtId="40" xfId="0" applyBorder="1" applyFont="1" applyNumberFormat="1"/>
    <xf borderId="11" fillId="2" fontId="3" numFmtId="164" xfId="0" applyBorder="1" applyFont="1" applyNumberFormat="1"/>
    <xf borderId="0" fillId="0" fontId="1" numFmtId="164" xfId="0" applyAlignment="1" applyFont="1" applyNumberFormat="1">
      <alignment horizontal="right"/>
    </xf>
    <xf borderId="20" fillId="0" fontId="6" numFmtId="164" xfId="0" applyBorder="1" applyFont="1" applyNumberFormat="1"/>
    <xf borderId="20" fillId="0" fontId="3" numFmtId="164" xfId="0" applyAlignment="1" applyBorder="1" applyFont="1" applyNumberFormat="1">
      <alignment horizontal="right"/>
    </xf>
    <xf borderId="11" fillId="2" fontId="11" numFmtId="164" xfId="0" applyBorder="1" applyFont="1" applyNumberFormat="1"/>
    <xf borderId="16" fillId="0" fontId="6" numFmtId="40" xfId="0" applyAlignment="1" applyBorder="1" applyFont="1" applyNumberFormat="1">
      <alignment horizontal="center"/>
    </xf>
    <xf borderId="19" fillId="0" fontId="6" numFmtId="40" xfId="0" applyBorder="1" applyFont="1" applyNumberFormat="1"/>
    <xf borderId="9" fillId="0" fontId="3" numFmtId="0" xfId="0" applyAlignment="1" applyBorder="1" applyFont="1">
      <alignment horizontal="left" shrinkToFit="0" wrapText="1"/>
    </xf>
    <xf borderId="21" fillId="0" fontId="6" numFmtId="164" xfId="0" applyBorder="1" applyFont="1" applyNumberFormat="1"/>
    <xf borderId="9" fillId="2" fontId="6" numFmtId="164" xfId="0" applyBorder="1" applyFont="1" applyNumberFormat="1"/>
    <xf borderId="0" fillId="0" fontId="11" numFmtId="164" xfId="0" applyAlignment="1" applyFont="1" applyNumberFormat="1">
      <alignment horizontal="right"/>
    </xf>
    <xf borderId="1" fillId="2" fontId="3" numFmtId="164" xfId="0" applyAlignment="1" applyBorder="1" applyFont="1" applyNumberFormat="1">
      <alignment horizontal="right"/>
    </xf>
    <xf borderId="19" fillId="0" fontId="7" numFmtId="40" xfId="0" applyBorder="1" applyFont="1" applyNumberFormat="1"/>
    <xf borderId="9" fillId="0" fontId="6" numFmtId="0" xfId="0" applyBorder="1" applyFont="1"/>
    <xf borderId="22" fillId="0" fontId="7" numFmtId="38" xfId="0" applyAlignment="1" applyBorder="1" applyFont="1" applyNumberFormat="1">
      <alignment horizontal="center" shrinkToFit="0" wrapText="1"/>
    </xf>
    <xf borderId="9" fillId="0" fontId="11" numFmtId="164" xfId="0" applyBorder="1" applyFont="1" applyNumberFormat="1"/>
    <xf borderId="9" fillId="0" fontId="3" numFmtId="0" xfId="0" applyBorder="1" applyFont="1"/>
    <xf borderId="9" fillId="0" fontId="7" numFmtId="40" xfId="0" applyAlignment="1" applyBorder="1" applyFont="1" applyNumberFormat="1">
      <alignment horizontal="right" shrinkToFit="0" wrapText="1"/>
    </xf>
    <xf borderId="23" fillId="0" fontId="6" numFmtId="38" xfId="0" applyAlignment="1" applyBorder="1" applyFont="1" applyNumberFormat="1">
      <alignment horizontal="center"/>
    </xf>
    <xf borderId="18" fillId="0" fontId="6" numFmtId="40" xfId="0" applyBorder="1" applyFont="1" applyNumberFormat="1"/>
    <xf borderId="0" fillId="0" fontId="6" numFmtId="0" xfId="0" applyAlignment="1" applyFont="1">
      <alignment horizontal="right"/>
    </xf>
    <xf borderId="9" fillId="0" fontId="3" numFmtId="167" xfId="0" applyBorder="1" applyFont="1" applyNumberFormat="1"/>
    <xf borderId="9" fillId="0" fontId="6" numFmtId="40" xfId="0" applyAlignment="1" applyBorder="1" applyFont="1" applyNumberFormat="1">
      <alignment horizontal="right"/>
    </xf>
    <xf borderId="9" fillId="0" fontId="6" numFmtId="164" xfId="0" applyAlignment="1" applyBorder="1" applyFont="1" applyNumberFormat="1">
      <alignment horizontal="right"/>
    </xf>
    <xf borderId="0" fillId="0" fontId="6" numFmtId="164" xfId="0" applyFont="1" applyNumberFormat="1"/>
    <xf borderId="16" fillId="0" fontId="6" numFmtId="40" xfId="0" applyBorder="1" applyFont="1" applyNumberFormat="1"/>
    <xf borderId="9" fillId="0" fontId="11" numFmtId="168" xfId="0" applyAlignment="1" applyBorder="1" applyFont="1" applyNumberFormat="1">
      <alignment horizontal="right" shrinkToFit="0" wrapText="1"/>
    </xf>
    <xf borderId="19" fillId="0" fontId="6" numFmtId="40" xfId="0" applyAlignment="1" applyBorder="1" applyFont="1" applyNumberFormat="1">
      <alignment horizontal="center"/>
    </xf>
    <xf borderId="24" fillId="2" fontId="7" numFmtId="40" xfId="0" applyBorder="1" applyFont="1" applyNumberFormat="1"/>
    <xf borderId="9" fillId="0" fontId="1" numFmtId="169" xfId="0" applyAlignment="1" applyBorder="1" applyFont="1" applyNumberFormat="1">
      <alignment horizontal="right"/>
    </xf>
    <xf borderId="16" fillId="0" fontId="7" numFmtId="40" xfId="0" applyBorder="1" applyFont="1" applyNumberFormat="1"/>
    <xf borderId="21" fillId="0" fontId="7" numFmtId="169" xfId="0" applyAlignment="1" applyBorder="1" applyFont="1" applyNumberFormat="1">
      <alignment horizontal="right"/>
    </xf>
    <xf borderId="21" fillId="0" fontId="6" numFmtId="169" xfId="0" applyAlignment="1" applyBorder="1" applyFont="1" applyNumberFormat="1">
      <alignment horizontal="right"/>
    </xf>
    <xf borderId="9" fillId="0" fontId="11" numFmtId="169" xfId="0" applyBorder="1" applyFont="1" applyNumberFormat="1"/>
    <xf borderId="20" fillId="0" fontId="7" numFmtId="40" xfId="0" applyBorder="1" applyFont="1" applyNumberFormat="1"/>
    <xf borderId="16" fillId="0" fontId="11" numFmtId="0" xfId="0" applyAlignment="1" applyBorder="1" applyFont="1">
      <alignment horizontal="center"/>
    </xf>
    <xf borderId="9" fillId="0" fontId="15" numFmtId="40" xfId="0" applyAlignment="1" applyBorder="1" applyFont="1" applyNumberFormat="1">
      <alignment horizontal="right" shrinkToFit="0" wrapText="1"/>
    </xf>
    <xf borderId="9" fillId="0" fontId="7" numFmtId="170" xfId="0" applyAlignment="1" applyBorder="1" applyFont="1" applyNumberFormat="1">
      <alignment horizontal="right" shrinkToFit="0" wrapText="1"/>
    </xf>
    <xf borderId="9" fillId="0" fontId="11" numFmtId="167" xfId="0" applyBorder="1" applyFont="1" applyNumberFormat="1"/>
    <xf borderId="0" fillId="0" fontId="6" numFmtId="0" xfId="0" applyFont="1"/>
    <xf borderId="0" fillId="0" fontId="6" numFmtId="167" xfId="0" applyFont="1" applyNumberFormat="1"/>
    <xf borderId="0" fillId="0" fontId="3" numFmtId="168" xfId="0" applyAlignment="1" applyFont="1" applyNumberFormat="1">
      <alignment horizontal="right" shrinkToFit="0" wrapText="1"/>
    </xf>
    <xf borderId="1" fillId="2" fontId="6" numFmtId="4" xfId="0" applyBorder="1" applyFont="1" applyNumberFormat="1"/>
    <xf borderId="16" fillId="0" fontId="7" numFmtId="38" xfId="0" applyAlignment="1" applyBorder="1" applyFont="1" applyNumberFormat="1">
      <alignment horizontal="center" shrinkToFit="0" wrapText="1"/>
    </xf>
    <xf borderId="9" fillId="0" fontId="11" numFmtId="0" xfId="0" applyAlignment="1" applyBorder="1" applyFont="1">
      <alignment horizontal="center"/>
    </xf>
    <xf borderId="25" fillId="5" fontId="6" numFmtId="38" xfId="0" applyAlignment="1" applyBorder="1" applyFont="1" applyNumberFormat="1">
      <alignment horizontal="center" shrinkToFit="0" wrapText="1"/>
    </xf>
    <xf borderId="26" fillId="5" fontId="7" numFmtId="40" xfId="0" applyAlignment="1" applyBorder="1" applyFont="1" applyNumberFormat="1">
      <alignment shrinkToFit="0" wrapText="1"/>
    </xf>
    <xf borderId="9" fillId="5" fontId="7" numFmtId="0" xfId="0" applyAlignment="1" applyBorder="1" applyFont="1">
      <alignment horizontal="center" shrinkToFit="0" wrapText="1"/>
    </xf>
    <xf borderId="9" fillId="5" fontId="11" numFmtId="0" xfId="0" applyAlignment="1" applyBorder="1" applyFont="1">
      <alignment horizontal="center"/>
    </xf>
    <xf borderId="21" fillId="0" fontId="3" numFmtId="38" xfId="0" applyAlignment="1" applyBorder="1" applyFont="1" applyNumberFormat="1">
      <alignment horizontal="center" shrinkToFit="0" wrapText="1"/>
    </xf>
    <xf borderId="27" fillId="0" fontId="3" numFmtId="40" xfId="0" applyAlignment="1" applyBorder="1" applyFont="1" applyNumberFormat="1">
      <alignment shrinkToFit="0" wrapText="1"/>
    </xf>
    <xf borderId="27" fillId="0" fontId="6" numFmtId="171" xfId="0" applyAlignment="1" applyBorder="1" applyFont="1" applyNumberFormat="1">
      <alignment horizontal="right"/>
    </xf>
    <xf borderId="27" fillId="0" fontId="3" numFmtId="40" xfId="0" applyAlignment="1" applyBorder="1" applyFont="1" applyNumberFormat="1">
      <alignment horizontal="center" shrinkToFit="0" wrapText="1"/>
    </xf>
    <xf borderId="27" fillId="0" fontId="3" numFmtId="171" xfId="0" applyAlignment="1" applyBorder="1" applyFont="1" applyNumberFormat="1">
      <alignment horizontal="right" shrinkToFit="0" wrapText="1"/>
    </xf>
    <xf borderId="27" fillId="0" fontId="3" numFmtId="40" xfId="0" applyAlignment="1" applyBorder="1" applyFont="1" applyNumberFormat="1">
      <alignment horizontal="right" shrinkToFit="0" wrapText="1"/>
    </xf>
    <xf borderId="9" fillId="0" fontId="11" numFmtId="0" xfId="0" applyBorder="1" applyFont="1"/>
    <xf borderId="0" fillId="0" fontId="3" numFmtId="169" xfId="0" applyAlignment="1" applyFont="1" applyNumberFormat="1">
      <alignment horizontal="right"/>
    </xf>
    <xf borderId="21" fillId="0" fontId="6" numFmtId="171" xfId="0" applyAlignment="1" applyBorder="1" applyFont="1" applyNumberFormat="1">
      <alignment horizontal="right"/>
    </xf>
    <xf borderId="9" fillId="0" fontId="11" numFmtId="0" xfId="0" applyAlignment="1" applyBorder="1" applyFont="1">
      <alignment horizontal="left"/>
    </xf>
    <xf borderId="23" fillId="0" fontId="11" numFmtId="38" xfId="0" applyAlignment="1" applyBorder="1" applyFont="1" applyNumberFormat="1">
      <alignment horizontal="center" shrinkToFit="0" wrapText="1"/>
    </xf>
    <xf borderId="28" fillId="0" fontId="14" numFmtId="0" xfId="0" applyBorder="1" applyFont="1"/>
    <xf borderId="27" fillId="0" fontId="14" numFmtId="0" xfId="0" applyBorder="1" applyFont="1"/>
    <xf borderId="27" fillId="0" fontId="11" numFmtId="171" xfId="0" applyAlignment="1" applyBorder="1" applyFont="1" applyNumberFormat="1">
      <alignment horizontal="right" shrinkToFit="0" wrapText="1"/>
    </xf>
    <xf borderId="0" fillId="0" fontId="3" numFmtId="169" xfId="0" applyFont="1" applyNumberFormat="1"/>
    <xf borderId="25" fillId="5" fontId="3" numFmtId="38" xfId="0" applyAlignment="1" applyBorder="1" applyFont="1" applyNumberFormat="1">
      <alignment horizontal="center" shrinkToFit="0" wrapText="1"/>
    </xf>
    <xf borderId="26" fillId="5" fontId="11" numFmtId="40" xfId="0" applyAlignment="1" applyBorder="1" applyFont="1" applyNumberFormat="1">
      <alignment shrinkToFit="0" wrapText="1"/>
    </xf>
    <xf borderId="9" fillId="5" fontId="7" numFmtId="0" xfId="0" applyAlignment="1" applyBorder="1" applyFont="1">
      <alignment horizontal="center"/>
    </xf>
    <xf borderId="29" fillId="5" fontId="7" numFmtId="0" xfId="0" applyAlignment="1" applyBorder="1" applyFont="1">
      <alignment horizontal="center"/>
    </xf>
    <xf borderId="30" fillId="2" fontId="3" numFmtId="169" xfId="0" applyAlignment="1" applyBorder="1" applyFont="1" applyNumberFormat="1">
      <alignment horizontal="right"/>
    </xf>
    <xf borderId="9" fillId="0" fontId="6" numFmtId="169" xfId="0" applyAlignment="1" applyBorder="1" applyFont="1" applyNumberFormat="1">
      <alignment horizontal="right"/>
    </xf>
    <xf borderId="28" fillId="0" fontId="6" numFmtId="40" xfId="0" applyAlignment="1" applyBorder="1" applyFont="1" applyNumberFormat="1">
      <alignment horizontal="right" shrinkToFit="0" wrapText="1"/>
    </xf>
    <xf borderId="9" fillId="0" fontId="3" numFmtId="40" xfId="0" applyAlignment="1" applyBorder="1" applyFont="1" applyNumberFormat="1">
      <alignment horizontal="center" shrinkToFit="0" wrapText="1"/>
    </xf>
    <xf borderId="9" fillId="0" fontId="3" numFmtId="171" xfId="0" applyAlignment="1" applyBorder="1" applyFont="1" applyNumberFormat="1">
      <alignment horizontal="center"/>
    </xf>
    <xf borderId="9" fillId="0" fontId="3" numFmtId="0" xfId="0" applyAlignment="1" applyBorder="1" applyFont="1">
      <alignment horizontal="center"/>
    </xf>
    <xf borderId="9" fillId="0" fontId="3" numFmtId="40" xfId="0" applyAlignment="1" applyBorder="1" applyFont="1" applyNumberFormat="1">
      <alignment shrinkToFit="0" wrapText="1"/>
    </xf>
    <xf borderId="23" fillId="0" fontId="3" numFmtId="38" xfId="0" applyAlignment="1" applyBorder="1" applyFont="1" applyNumberFormat="1">
      <alignment horizontal="left" shrinkToFit="0" wrapText="1"/>
    </xf>
    <xf borderId="9" fillId="0" fontId="3" numFmtId="172" xfId="0" applyAlignment="1" applyBorder="1" applyFont="1" applyNumberFormat="1">
      <alignment horizontal="center"/>
    </xf>
    <xf borderId="20" fillId="0" fontId="3" numFmtId="169" xfId="0" applyAlignment="1" applyBorder="1" applyFont="1" applyNumberFormat="1">
      <alignment horizontal="right" shrinkToFit="0" wrapText="1"/>
    </xf>
    <xf borderId="9" fillId="0" fontId="3" numFmtId="169" xfId="0" applyAlignment="1" applyBorder="1" applyFont="1" applyNumberFormat="1">
      <alignment horizontal="right" shrinkToFit="0" wrapText="1"/>
    </xf>
    <xf borderId="9" fillId="0" fontId="11" numFmtId="169" xfId="0" applyAlignment="1" applyBorder="1" applyFont="1" applyNumberFormat="1">
      <alignment horizontal="center" shrinkToFit="0" wrapText="1"/>
    </xf>
    <xf borderId="9" fillId="0" fontId="11" numFmtId="169" xfId="0" applyAlignment="1" applyBorder="1" applyFont="1" applyNumberFormat="1">
      <alignment horizontal="right" shrinkToFit="0" wrapText="1"/>
    </xf>
    <xf borderId="16" fillId="0" fontId="6" numFmtId="40" xfId="0" applyAlignment="1" applyBorder="1" applyFont="1" applyNumberFormat="1">
      <alignment horizontal="right" shrinkToFit="0" wrapText="1"/>
    </xf>
    <xf borderId="0" fillId="0" fontId="11" numFmtId="0" xfId="0" applyAlignment="1" applyFont="1">
      <alignment horizontal="center" shrinkToFit="0" wrapText="1"/>
    </xf>
    <xf borderId="31" fillId="5" fontId="11" numFmtId="0" xfId="0" applyAlignment="1" applyBorder="1" applyFont="1">
      <alignment horizontal="center" shrinkToFit="0" wrapText="1"/>
    </xf>
    <xf borderId="21" fillId="0" fontId="3" numFmtId="0" xfId="0" applyAlignment="1" applyBorder="1" applyFont="1">
      <alignment shrinkToFit="0" wrapText="1"/>
    </xf>
    <xf borderId="27" fillId="0" fontId="3" numFmtId="173" xfId="0" applyAlignment="1" applyBorder="1" applyFont="1" applyNumberFormat="1">
      <alignment horizontal="right" shrinkToFit="0" wrapText="1"/>
    </xf>
    <xf borderId="27" fillId="0" fontId="3" numFmtId="4" xfId="0" applyAlignment="1" applyBorder="1" applyFont="1" applyNumberFormat="1">
      <alignment horizontal="center" shrinkToFit="0" wrapText="1"/>
    </xf>
    <xf borderId="9" fillId="0" fontId="3" numFmtId="4" xfId="0" applyAlignment="1" applyBorder="1" applyFont="1" applyNumberFormat="1">
      <alignment horizontal="right" shrinkToFit="0" wrapText="1"/>
    </xf>
    <xf borderId="27" fillId="0" fontId="3" numFmtId="174" xfId="0" applyAlignment="1" applyBorder="1" applyFont="1" applyNumberFormat="1">
      <alignment horizontal="right" shrinkToFit="0" wrapText="1"/>
    </xf>
    <xf borderId="16" fillId="0" fontId="3" numFmtId="40" xfId="0" applyAlignment="1" applyBorder="1" applyFont="1" applyNumberFormat="1">
      <alignment horizontal="center"/>
    </xf>
    <xf borderId="27" fillId="0" fontId="3" numFmtId="168" xfId="0" applyAlignment="1" applyBorder="1" applyFont="1" applyNumberFormat="1">
      <alignment horizontal="right" shrinkToFit="0" wrapText="1"/>
    </xf>
    <xf borderId="23" fillId="0" fontId="3" numFmtId="4" xfId="0" applyAlignment="1" applyBorder="1" applyFont="1" applyNumberFormat="1">
      <alignment horizontal="center" shrinkToFit="0" wrapText="1"/>
    </xf>
    <xf borderId="23" fillId="0" fontId="11" numFmtId="0" xfId="0" applyAlignment="1" applyBorder="1" applyFont="1">
      <alignment horizontal="center" shrinkToFit="0" wrapText="1"/>
    </xf>
    <xf borderId="9" fillId="0" fontId="11" numFmtId="4" xfId="0" applyAlignment="1" applyBorder="1" applyFont="1" applyNumberFormat="1">
      <alignment horizontal="right" shrinkToFit="0" wrapText="1"/>
    </xf>
    <xf borderId="9" fillId="2" fontId="1" numFmtId="0" xfId="0" applyBorder="1" applyFont="1"/>
    <xf borderId="16" fillId="2" fontId="5" numFmtId="0" xfId="0" applyAlignment="1" applyBorder="1" applyFont="1">
      <alignment horizontal="center"/>
    </xf>
    <xf borderId="30" fillId="2" fontId="5" numFmtId="0" xfId="0" applyAlignment="1" applyBorder="1" applyFont="1">
      <alignment shrinkToFit="0" wrapText="1"/>
    </xf>
    <xf borderId="32" fillId="2" fontId="5" numFmtId="0" xfId="0" applyAlignment="1" applyBorder="1" applyFont="1">
      <alignment horizontal="center"/>
    </xf>
    <xf borderId="9" fillId="2" fontId="5" numFmtId="0" xfId="0" applyAlignment="1" applyBorder="1" applyFont="1">
      <alignment horizontal="right"/>
    </xf>
    <xf borderId="9" fillId="2" fontId="5" numFmtId="0" xfId="0" applyAlignment="1" applyBorder="1" applyFont="1">
      <alignment horizontal="center"/>
    </xf>
    <xf borderId="9" fillId="0" fontId="2" numFmtId="0" xfId="0" applyBorder="1" applyFont="1"/>
    <xf borderId="9" fillId="0" fontId="2" numFmtId="4" xfId="0" applyAlignment="1" applyBorder="1" applyFont="1" applyNumberFormat="1">
      <alignment horizontal="right"/>
    </xf>
    <xf borderId="9" fillId="2" fontId="1" numFmtId="10" xfId="0" applyAlignment="1" applyBorder="1" applyFont="1" applyNumberFormat="1">
      <alignment horizontal="right"/>
    </xf>
    <xf borderId="9" fillId="2" fontId="2" numFmtId="171" xfId="0" applyAlignment="1" applyBorder="1" applyFont="1" applyNumberFormat="1">
      <alignment horizontal="right"/>
    </xf>
    <xf borderId="9" fillId="2" fontId="1" numFmtId="4" xfId="0" applyAlignment="1" applyBorder="1" applyFont="1" applyNumberFormat="1">
      <alignment horizontal="center"/>
    </xf>
    <xf borderId="9" fillId="2" fontId="1" numFmtId="4" xfId="0" applyAlignment="1" applyBorder="1" applyFont="1" applyNumberFormat="1">
      <alignment horizontal="right"/>
    </xf>
    <xf borderId="9" fillId="2" fontId="2" numFmtId="169" xfId="0" applyAlignment="1" applyBorder="1" applyFont="1" applyNumberFormat="1">
      <alignment horizontal="right"/>
    </xf>
    <xf borderId="9" fillId="2" fontId="1" numFmtId="40" xfId="0" applyAlignment="1" applyBorder="1" applyFont="1" applyNumberFormat="1">
      <alignment horizontal="center"/>
    </xf>
    <xf borderId="33" fillId="0" fontId="1" numFmtId="168" xfId="0" applyAlignment="1" applyBorder="1" applyFont="1" applyNumberFormat="1">
      <alignment horizontal="right" shrinkToFit="0" wrapText="1"/>
    </xf>
    <xf borderId="9" fillId="0" fontId="1" numFmtId="40" xfId="0" applyAlignment="1" applyBorder="1" applyFont="1" applyNumberFormat="1">
      <alignment horizontal="center"/>
    </xf>
    <xf borderId="9" fillId="2" fontId="5" numFmtId="0" xfId="0" applyAlignment="1" applyBorder="1" applyFont="1">
      <alignment shrinkToFit="0" wrapText="1"/>
    </xf>
    <xf borderId="9" fillId="2" fontId="5" numFmtId="4" xfId="0" applyAlignment="1" applyBorder="1" applyFont="1" applyNumberFormat="1">
      <alignment horizontal="right"/>
    </xf>
    <xf borderId="9" fillId="2" fontId="5" numFmtId="0" xfId="0" applyBorder="1" applyFont="1"/>
    <xf borderId="9" fillId="0" fontId="1" numFmtId="0" xfId="0" applyBorder="1" applyFont="1"/>
    <xf borderId="9" fillId="0" fontId="1" numFmtId="4" xfId="0" applyAlignment="1" applyBorder="1" applyFont="1" applyNumberFormat="1">
      <alignment horizontal="right"/>
    </xf>
    <xf borderId="9" fillId="0" fontId="1" numFmtId="0" xfId="0" applyAlignment="1" applyBorder="1" applyFont="1">
      <alignment horizontal="right"/>
    </xf>
    <xf borderId="9" fillId="0" fontId="2" numFmtId="4" xfId="0" applyBorder="1" applyFont="1" applyNumberFormat="1"/>
    <xf borderId="9" fillId="0" fontId="2" numFmtId="165" xfId="0" applyAlignment="1" applyBorder="1" applyFont="1" applyNumberFormat="1">
      <alignment horizontal="right"/>
    </xf>
    <xf borderId="30" fillId="2" fontId="5" numFmtId="0" xfId="0" applyBorder="1" applyFont="1"/>
    <xf borderId="9" fillId="2" fontId="1" numFmtId="0" xfId="0" applyAlignment="1" applyBorder="1" applyFont="1">
      <alignment shrinkToFit="0" wrapText="1"/>
    </xf>
    <xf borderId="9" fillId="0" fontId="1" numFmtId="4" xfId="0" applyBorder="1" applyFont="1" applyNumberFormat="1"/>
    <xf borderId="9" fillId="2" fontId="2" numFmtId="0" xfId="0" applyBorder="1" applyFont="1"/>
    <xf borderId="31" fillId="2" fontId="5" numFmtId="40" xfId="0" applyAlignment="1" applyBorder="1" applyFont="1" applyNumberFormat="1">
      <alignment horizontal="right"/>
    </xf>
    <xf borderId="9" fillId="2" fontId="5" numFmtId="10" xfId="0" applyAlignment="1" applyBorder="1" applyFont="1" applyNumberFormat="1">
      <alignment horizontal="right"/>
    </xf>
    <xf borderId="9" fillId="0" fontId="16" numFmtId="40" xfId="0" applyBorder="1" applyFont="1" applyNumberFormat="1"/>
    <xf borderId="25" fillId="2" fontId="5" numFmtId="0" xfId="0" applyBorder="1" applyFont="1"/>
    <xf borderId="9" fillId="2" fontId="5" numFmtId="4" xfId="0" applyBorder="1" applyFont="1" applyNumberFormat="1"/>
    <xf borderId="30" fillId="2" fontId="1" numFmtId="4" xfId="0" applyAlignment="1" applyBorder="1" applyFont="1" applyNumberFormat="1">
      <alignment horizontal="right"/>
    </xf>
    <xf borderId="9" fillId="2" fontId="5" numFmtId="40" xfId="0" applyBorder="1" applyFont="1" applyNumberFormat="1"/>
    <xf borderId="9" fillId="2" fontId="10" numFmtId="0" xfId="0" applyBorder="1" applyFont="1"/>
    <xf borderId="9" fillId="2" fontId="10" numFmtId="4" xfId="0" applyBorder="1" applyFont="1" applyNumberFormat="1"/>
    <xf borderId="9" fillId="2" fontId="17" numFmtId="0" xfId="0" applyAlignment="1" applyBorder="1" applyFont="1">
      <alignment horizontal="left"/>
    </xf>
    <xf borderId="9" fillId="2" fontId="17" numFmtId="0" xfId="0" applyAlignment="1" applyBorder="1" applyFont="1">
      <alignment horizontal="right"/>
    </xf>
    <xf borderId="9" fillId="2" fontId="17" numFmtId="0" xfId="0" applyAlignment="1" applyBorder="1" applyFont="1">
      <alignment horizontal="center"/>
    </xf>
    <xf borderId="9" fillId="2" fontId="18" numFmtId="0" xfId="0" applyBorder="1" applyFont="1"/>
    <xf borderId="9" fillId="2" fontId="18" numFmtId="169" xfId="0" applyAlignment="1" applyBorder="1" applyFont="1" applyNumberFormat="1">
      <alignment horizontal="right"/>
    </xf>
    <xf borderId="9" fillId="2" fontId="18" numFmtId="40" xfId="0" applyAlignment="1" applyBorder="1" applyFont="1" applyNumberFormat="1">
      <alignment horizontal="right"/>
    </xf>
    <xf borderId="9" fillId="2" fontId="1" numFmtId="4" xfId="0" applyBorder="1" applyFont="1" applyNumberFormat="1"/>
    <xf borderId="30" fillId="2" fontId="18" numFmtId="0" xfId="0" applyBorder="1" applyFont="1"/>
    <xf borderId="30" fillId="2" fontId="18" numFmtId="0" xfId="0" applyAlignment="1" applyBorder="1" applyFont="1">
      <alignment horizontal="right"/>
    </xf>
    <xf borderId="30" fillId="2" fontId="18" numFmtId="40" xfId="0" applyAlignment="1" applyBorder="1" applyFont="1" applyNumberFormat="1">
      <alignment horizontal="right"/>
    </xf>
    <xf borderId="30" fillId="2" fontId="2" numFmtId="4" xfId="0" applyBorder="1" applyFont="1" applyNumberFormat="1"/>
    <xf borderId="9" fillId="2" fontId="17" numFmtId="0" xfId="0" applyBorder="1" applyFont="1"/>
    <xf borderId="16" fillId="0" fontId="5" numFmtId="0" xfId="0" applyAlignment="1" applyBorder="1" applyFont="1">
      <alignment horizontal="center"/>
    </xf>
    <xf borderId="34" fillId="0" fontId="5" numFmtId="0" xfId="0" applyAlignment="1" applyBorder="1" applyFont="1">
      <alignment horizontal="center"/>
    </xf>
    <xf borderId="20" fillId="0" fontId="5" numFmtId="0" xfId="0" applyAlignment="1" applyBorder="1" applyFont="1">
      <alignment horizontal="center"/>
    </xf>
    <xf borderId="17" fillId="0" fontId="5" numFmtId="0" xfId="0" applyAlignment="1" applyBorder="1" applyFont="1">
      <alignment horizontal="center"/>
    </xf>
    <xf borderId="9" fillId="2" fontId="19" numFmtId="0" xfId="0" applyAlignment="1" applyBorder="1" applyFont="1">
      <alignment shrinkToFit="0" wrapText="1"/>
    </xf>
    <xf borderId="9" fillId="0" fontId="12" numFmtId="4" xfId="0" applyAlignment="1" applyBorder="1" applyFont="1" applyNumberFormat="1">
      <alignment horizontal="right"/>
    </xf>
    <xf borderId="9" fillId="0" fontId="6" numFmtId="0" xfId="0" applyAlignment="1" applyBorder="1" applyFont="1">
      <alignment shrinkToFit="0" wrapText="1"/>
    </xf>
    <xf borderId="1" fillId="2" fontId="2" numFmtId="0" xfId="0" applyAlignment="1" applyBorder="1" applyFont="1">
      <alignment shrinkToFit="0" wrapText="1"/>
    </xf>
    <xf borderId="21" fillId="0" fontId="1" numFmtId="0" xfId="0" applyBorder="1" applyFont="1"/>
    <xf borderId="21" fillId="0" fontId="5" numFmtId="4" xfId="0" applyBorder="1" applyFont="1" applyNumberFormat="1"/>
    <xf borderId="16" fillId="5" fontId="5" numFmtId="0" xfId="0" applyAlignment="1" applyBorder="1" applyFont="1">
      <alignment horizontal="center"/>
    </xf>
    <xf borderId="9" fillId="0" fontId="5" numFmtId="0" xfId="0" applyAlignment="1" applyBorder="1" applyFont="1">
      <alignment horizontal="center" shrinkToFit="0" wrapText="1"/>
    </xf>
    <xf borderId="19" fillId="0" fontId="5" numFmtId="0" xfId="0" applyAlignment="1" applyBorder="1" applyFont="1">
      <alignment horizontal="center" shrinkToFit="0" wrapText="1"/>
    </xf>
    <xf borderId="19" fillId="0" fontId="5" numFmtId="0" xfId="0" applyAlignment="1" applyBorder="1" applyFont="1">
      <alignment horizontal="center"/>
    </xf>
    <xf borderId="9" fillId="0" fontId="5" numFmtId="0" xfId="0" applyAlignment="1" applyBorder="1" applyFont="1">
      <alignment horizontal="center"/>
    </xf>
    <xf borderId="0" fillId="0" fontId="12" numFmtId="169" xfId="0" applyAlignment="1" applyFont="1" applyNumberFormat="1">
      <alignment horizontal="right"/>
    </xf>
    <xf borderId="9" fillId="0" fontId="1" numFmtId="171" xfId="0" applyBorder="1" applyFont="1" applyNumberFormat="1"/>
    <xf borderId="27" fillId="0" fontId="1" numFmtId="4" xfId="0" applyAlignment="1" applyBorder="1" applyFont="1" applyNumberFormat="1">
      <alignment horizontal="right" shrinkToFit="0" wrapText="1"/>
    </xf>
    <xf borderId="9" fillId="0" fontId="1" numFmtId="4" xfId="0" applyAlignment="1" applyBorder="1" applyFont="1" applyNumberFormat="1">
      <alignment horizontal="center"/>
    </xf>
    <xf borderId="0" fillId="0" fontId="12" numFmtId="169" xfId="0" applyFont="1" applyNumberFormat="1"/>
    <xf borderId="27" fillId="0" fontId="1" numFmtId="168" xfId="0" applyAlignment="1" applyBorder="1" applyFont="1" applyNumberFormat="1">
      <alignment horizontal="right" shrinkToFit="0" wrapText="1"/>
    </xf>
    <xf borderId="23" fillId="0" fontId="1" numFmtId="4" xfId="0" applyAlignment="1" applyBorder="1" applyFont="1" applyNumberFormat="1">
      <alignment horizontal="center" shrinkToFit="0" wrapText="1"/>
    </xf>
    <xf borderId="0" fillId="0" fontId="12" numFmtId="175" xfId="0" applyAlignment="1" applyFont="1" applyNumberFormat="1">
      <alignment horizontal="right"/>
    </xf>
    <xf borderId="9" fillId="0" fontId="1" numFmtId="0" xfId="0" applyAlignment="1" applyBorder="1" applyFont="1">
      <alignment horizontal="left"/>
    </xf>
    <xf borderId="9" fillId="0" fontId="5" numFmtId="171" xfId="0" applyAlignment="1" applyBorder="1" applyFont="1" applyNumberFormat="1">
      <alignment horizontal="center"/>
    </xf>
    <xf borderId="9" fillId="0" fontId="5" numFmtId="169" xfId="0" applyAlignment="1" applyBorder="1" applyFont="1" applyNumberFormat="1">
      <alignment horizontal="right"/>
    </xf>
    <xf borderId="9" fillId="0" fontId="5" numFmtId="168" xfId="0" applyBorder="1" applyFont="1" applyNumberFormat="1"/>
    <xf borderId="9" fillId="0" fontId="5" numFmtId="171" xfId="0" applyBorder="1" applyFont="1" applyNumberFormat="1"/>
    <xf borderId="0" fillId="0" fontId="1" numFmtId="169" xfId="0" applyFont="1" applyNumberFormat="1"/>
    <xf borderId="21" fillId="0" fontId="5" numFmtId="0" xfId="0" applyAlignment="1" applyBorder="1" applyFont="1">
      <alignment horizontal="center"/>
    </xf>
    <xf borderId="27" fillId="0" fontId="5" numFmtId="0" xfId="0" applyAlignment="1" applyBorder="1" applyFont="1">
      <alignment horizontal="center"/>
    </xf>
    <xf borderId="0" fillId="0" fontId="1" numFmtId="171" xfId="0" applyFont="1" applyNumberFormat="1"/>
    <xf borderId="27" fillId="0" fontId="1" numFmtId="169" xfId="0" applyAlignment="1" applyBorder="1" applyFont="1" applyNumberFormat="1">
      <alignment horizontal="right"/>
    </xf>
    <xf borderId="9" fillId="0" fontId="2" numFmtId="169" xfId="0" applyAlignment="1" applyBorder="1" applyFont="1" applyNumberFormat="1">
      <alignment horizontal="right"/>
    </xf>
    <xf borderId="27" fillId="0" fontId="1" numFmtId="0" xfId="0" applyBorder="1" applyFont="1"/>
    <xf borderId="0" fillId="0" fontId="4" numFmtId="169" xfId="0" applyAlignment="1" applyFont="1" applyNumberFormat="1">
      <alignment horizontal="right"/>
    </xf>
    <xf borderId="0" fillId="0" fontId="1" numFmtId="0" xfId="0" applyAlignment="1" applyFont="1">
      <alignment vertical="center"/>
    </xf>
    <xf borderId="27" fillId="0" fontId="1" numFmtId="0" xfId="0" applyAlignment="1" applyBorder="1" applyFont="1">
      <alignment shrinkToFit="0" vertical="center" wrapText="1"/>
    </xf>
    <xf borderId="0" fillId="0" fontId="1" numFmtId="169" xfId="0" applyAlignment="1" applyFont="1" applyNumberFormat="1">
      <alignment vertical="center"/>
    </xf>
    <xf borderId="9" fillId="0" fontId="1" numFmtId="169" xfId="0" applyBorder="1" applyFont="1" applyNumberFormat="1"/>
    <xf borderId="27" fillId="0" fontId="1" numFmtId="172" xfId="0" applyBorder="1" applyFont="1" applyNumberFormat="1"/>
    <xf borderId="0" fillId="0" fontId="4" numFmtId="4" xfId="0" applyAlignment="1" applyFont="1" applyNumberFormat="1">
      <alignment horizontal="right"/>
    </xf>
    <xf borderId="26" fillId="2" fontId="5" numFmtId="169" xfId="0" applyAlignment="1" applyBorder="1" applyFont="1" applyNumberFormat="1">
      <alignment horizontal="right"/>
    </xf>
    <xf borderId="5" fillId="2" fontId="5" numFmtId="169" xfId="0" applyAlignment="1" applyBorder="1" applyFont="1" applyNumberFormat="1">
      <alignment horizontal="right"/>
    </xf>
    <xf borderId="20" fillId="0" fontId="1" numFmtId="0" xfId="0" applyBorder="1" applyFont="1"/>
    <xf borderId="22" fillId="0" fontId="1" numFmtId="4" xfId="0" applyBorder="1" applyFont="1" applyNumberFormat="1"/>
    <xf borderId="22" fillId="0" fontId="1" numFmtId="0" xfId="0" applyBorder="1" applyFont="1"/>
    <xf borderId="22" fillId="0" fontId="2" numFmtId="40" xfId="0" applyAlignment="1" applyBorder="1" applyFont="1" applyNumberFormat="1">
      <alignment horizontal="center"/>
    </xf>
    <xf borderId="1" fillId="2" fontId="17" numFmtId="169" xfId="0" applyAlignment="1" applyBorder="1" applyFont="1" applyNumberFormat="1">
      <alignment horizontal="right"/>
    </xf>
    <xf borderId="1" fillId="2" fontId="18" numFmtId="0" xfId="0" applyBorder="1" applyFont="1"/>
    <xf borderId="0" fillId="0" fontId="1" numFmtId="171" xfId="0" applyAlignment="1" applyFont="1" applyNumberFormat="1">
      <alignment horizontal="right" shrinkToFit="0" wrapText="1"/>
    </xf>
    <xf borderId="1" fillId="2" fontId="18" numFmtId="169" xfId="0" applyBorder="1" applyFont="1" applyNumberFormat="1"/>
    <xf borderId="0" fillId="0" fontId="2" numFmtId="169" xfId="0" applyAlignment="1" applyFont="1" applyNumberFormat="1">
      <alignment horizontal="right"/>
    </xf>
    <xf borderId="9" fillId="0" fontId="2" numFmtId="169" xfId="0" applyAlignment="1" applyBorder="1" applyFont="1" applyNumberFormat="1">
      <alignment horizontal="center"/>
    </xf>
    <xf borderId="9" fillId="0" fontId="2" numFmtId="40" xfId="0" applyAlignment="1" applyBorder="1" applyFont="1" applyNumberFormat="1">
      <alignment horizontal="center"/>
    </xf>
    <xf borderId="9" fillId="0" fontId="2" numFmtId="171" xfId="0" applyAlignment="1" applyBorder="1" applyFont="1" applyNumberFormat="1">
      <alignment horizontal="left"/>
    </xf>
    <xf borderId="9" fillId="0" fontId="5" numFmtId="0" xfId="0" applyBorder="1" applyFont="1"/>
    <xf borderId="9" fillId="0" fontId="5" numFmtId="169" xfId="0" applyBorder="1" applyFont="1" applyNumberFormat="1"/>
    <xf borderId="9" fillId="0" fontId="10" numFmtId="169" xfId="0" applyAlignment="1" applyBorder="1" applyFont="1" applyNumberFormat="1">
      <alignment horizontal="center"/>
    </xf>
    <xf borderId="9" fillId="0" fontId="2" numFmtId="171" xfId="0" applyBorder="1" applyFont="1" applyNumberFormat="1"/>
    <xf borderId="22" fillId="0" fontId="2" numFmtId="169" xfId="0" applyAlignment="1" applyBorder="1" applyFont="1" applyNumberFormat="1">
      <alignment horizontal="right"/>
    </xf>
    <xf borderId="0" fillId="0" fontId="1" numFmtId="169" xfId="0" applyAlignment="1" applyFont="1" applyNumberFormat="1">
      <alignment horizontal="right"/>
    </xf>
    <xf borderId="35" fillId="0" fontId="14" numFmtId="0" xfId="0" applyBorder="1" applyFont="1"/>
    <xf borderId="9" fillId="0" fontId="2" numFmtId="164" xfId="0" applyAlignment="1" applyBorder="1" applyFont="1" applyNumberFormat="1">
      <alignment horizontal="right"/>
    </xf>
    <xf borderId="9" fillId="0" fontId="1" numFmtId="164" xfId="0" applyAlignment="1" applyBorder="1" applyFont="1" applyNumberFormat="1">
      <alignment horizontal="center"/>
    </xf>
    <xf borderId="9" fillId="0" fontId="1" numFmtId="0" xfId="0" applyAlignment="1" applyBorder="1" applyFont="1">
      <alignment horizontal="center"/>
    </xf>
    <xf borderId="0" fillId="0" fontId="1" numFmtId="164" xfId="0" applyAlignment="1" applyFont="1" applyNumberFormat="1">
      <alignment horizontal="center"/>
    </xf>
    <xf borderId="9" fillId="2" fontId="1" numFmtId="40" xfId="0" applyAlignment="1" applyBorder="1" applyFont="1" applyNumberFormat="1">
      <alignment shrinkToFit="0" wrapText="1"/>
    </xf>
    <xf borderId="9" fillId="0" fontId="1" numFmtId="164" xfId="0" applyAlignment="1" applyBorder="1" applyFont="1" applyNumberFormat="1">
      <alignment horizontal="right" shrinkToFit="0" vertical="top" wrapText="1"/>
    </xf>
    <xf borderId="0" fillId="0" fontId="2" numFmtId="4" xfId="0" applyAlignment="1" applyFont="1" applyNumberFormat="1">
      <alignment horizontal="right"/>
    </xf>
    <xf borderId="23" fillId="0" fontId="1" numFmtId="0" xfId="0" applyBorder="1" applyFont="1"/>
    <xf borderId="9" fillId="0" fontId="1" numFmtId="176" xfId="0" applyBorder="1" applyFont="1" applyNumberFormat="1"/>
    <xf borderId="9" fillId="2" fontId="20" numFmtId="171" xfId="0" applyBorder="1" applyFont="1" applyNumberFormat="1"/>
    <xf borderId="9" fillId="0" fontId="1" numFmtId="0" xfId="0" applyAlignment="1" applyBorder="1" applyFont="1">
      <alignment readingOrder="0"/>
    </xf>
    <xf borderId="9" fillId="0" fontId="1" numFmtId="177" xfId="0" applyAlignment="1" applyBorder="1" applyFont="1" applyNumberFormat="1">
      <alignment horizontal="right"/>
    </xf>
    <xf borderId="9" fillId="0" fontId="1" numFmtId="178" xfId="0" applyAlignment="1" applyBorder="1" applyFont="1" applyNumberFormat="1">
      <alignment horizontal="right"/>
    </xf>
    <xf borderId="9" fillId="0" fontId="1" numFmtId="177" xfId="0" applyBorder="1" applyFont="1" applyNumberFormat="1"/>
    <xf borderId="20" fillId="0" fontId="1" numFmtId="178" xfId="0" applyAlignment="1" applyBorder="1" applyFont="1" applyNumberFormat="1">
      <alignment horizontal="right"/>
    </xf>
    <xf borderId="20" fillId="0" fontId="1" numFmtId="4" xfId="0" applyBorder="1" applyFont="1" applyNumberFormat="1"/>
    <xf borderId="20" fillId="0" fontId="1" numFmtId="177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9" fillId="0" fontId="2" numFmtId="0" xfId="0" applyAlignment="1" applyBorder="1" applyFont="1">
      <alignment horizontal="right" shrinkToFit="0" wrapText="1"/>
    </xf>
    <xf borderId="9" fillId="0" fontId="2" numFmtId="0" xfId="0" applyAlignment="1" applyBorder="1" applyFont="1">
      <alignment shrinkToFit="0" wrapText="1"/>
    </xf>
    <xf borderId="9" fillId="0" fontId="2" numFmtId="179" xfId="0" applyAlignment="1" applyBorder="1" applyFont="1" applyNumberFormat="1">
      <alignment horizontal="right" shrinkToFit="0" wrapText="1"/>
    </xf>
    <xf borderId="9" fillId="0" fontId="2" numFmtId="180" xfId="0" applyAlignment="1" applyBorder="1" applyFont="1" applyNumberFormat="1">
      <alignment horizontal="right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Expens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E37" displayName="Table_1" name="Table_1" id="1">
  <tableColumns count="5">
    <tableColumn name="Column 1" id="1"/>
    <tableColumn name="Column 2" id="2"/>
    <tableColumn name="Column 3" id="3"/>
    <tableColumn name="Column 4" id="4"/>
    <tableColumn name="Total" id="5"/>
  </tableColumns>
  <tableStyleInfo name="Expen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3.13"/>
    <col customWidth="1" min="2" max="2" width="22.13"/>
    <col customWidth="1" min="3" max="3" width="30.88"/>
    <col customWidth="1" min="4" max="4" width="16.25"/>
    <col customWidth="1" min="5" max="5" width="13.75"/>
    <col customWidth="1" min="6" max="6" width="4.88"/>
    <col customWidth="1" min="7" max="7" width="13.38"/>
    <col customWidth="1" min="8" max="8" width="13.88"/>
    <col customWidth="1" min="10" max="10" width="14.88"/>
    <col customWidth="1" min="11" max="11" width="16.0"/>
    <col customWidth="1" min="12" max="12" width="15.88"/>
    <col customWidth="1" min="13" max="13" width="23.13"/>
    <col customWidth="1" min="15" max="15" width="15.13"/>
    <col customWidth="1" min="16" max="16" width="18.0"/>
    <col customWidth="1" min="17" max="17" width="17.88"/>
    <col customWidth="1" min="18" max="18" width="15.63"/>
    <col customWidth="1" min="19" max="19" width="22.88"/>
    <col customWidth="1" min="20" max="20" width="15.5"/>
    <col customWidth="1" min="21" max="21" width="18.13"/>
    <col customWidth="1" min="23" max="23" width="15.0"/>
    <col customWidth="1" min="26" max="26" width="12.88"/>
    <col customWidth="1" min="27" max="28" width="14.88"/>
  </cols>
  <sheetData>
    <row r="1" ht="15.75" customHeight="1">
      <c r="A1" s="1"/>
      <c r="B1" s="1"/>
      <c r="C1" s="1"/>
      <c r="D1" s="2"/>
      <c r="E1" s="1"/>
      <c r="F1" s="3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1"/>
      <c r="B2" s="3"/>
      <c r="C2" s="4"/>
      <c r="D2" s="5">
        <f>SUM(D4:D35)</f>
        <v>143471640.3</v>
      </c>
      <c r="E2" s="3">
        <f>SUM(G2:AC2)</f>
        <v>143471640.3</v>
      </c>
      <c r="F2" s="6"/>
      <c r="G2" s="6">
        <f t="shared" ref="G2:AC2" si="1">G38</f>
        <v>59374800</v>
      </c>
      <c r="H2" s="6">
        <f t="shared" si="1"/>
        <v>5457599.94</v>
      </c>
      <c r="I2" s="6">
        <f t="shared" si="1"/>
        <v>23963.6381</v>
      </c>
      <c r="J2" s="6">
        <f t="shared" si="1"/>
        <v>34201325.76</v>
      </c>
      <c r="K2" s="6">
        <f t="shared" si="1"/>
        <v>0</v>
      </c>
      <c r="L2" s="6">
        <f t="shared" si="1"/>
        <v>0</v>
      </c>
      <c r="M2" s="6">
        <f t="shared" si="1"/>
        <v>16314841.02</v>
      </c>
      <c r="N2" s="6">
        <f t="shared" si="1"/>
        <v>0</v>
      </c>
      <c r="O2" s="6">
        <f t="shared" si="1"/>
        <v>0</v>
      </c>
      <c r="P2" s="6">
        <f t="shared" si="1"/>
        <v>271874</v>
      </c>
      <c r="Q2" s="6">
        <f t="shared" si="1"/>
        <v>335000</v>
      </c>
      <c r="R2" s="6">
        <f t="shared" si="1"/>
        <v>2789427.24</v>
      </c>
      <c r="S2" s="6">
        <f t="shared" si="1"/>
        <v>0</v>
      </c>
      <c r="T2" s="6">
        <f t="shared" si="1"/>
        <v>0</v>
      </c>
      <c r="U2" s="6">
        <f t="shared" si="1"/>
        <v>0</v>
      </c>
      <c r="V2" s="6">
        <f t="shared" si="1"/>
        <v>2174992</v>
      </c>
      <c r="W2" s="6">
        <f t="shared" si="1"/>
        <v>0</v>
      </c>
      <c r="X2" s="6">
        <f t="shared" si="1"/>
        <v>0</v>
      </c>
      <c r="Y2" s="6">
        <f t="shared" si="1"/>
        <v>0</v>
      </c>
      <c r="Z2" s="6">
        <f t="shared" si="1"/>
        <v>0</v>
      </c>
      <c r="AA2" s="6">
        <f t="shared" si="1"/>
        <v>0</v>
      </c>
      <c r="AB2" s="6">
        <f t="shared" si="1"/>
        <v>22527816.75</v>
      </c>
      <c r="AC2" s="6">
        <f t="shared" si="1"/>
        <v>0</v>
      </c>
    </row>
    <row r="3" ht="15.75" customHeight="1">
      <c r="A3" s="7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/>
      <c r="G3" s="10" t="s">
        <v>5</v>
      </c>
      <c r="H3" s="10" t="s">
        <v>6</v>
      </c>
      <c r="I3" s="11" t="s">
        <v>7</v>
      </c>
      <c r="J3" s="12" t="s">
        <v>8</v>
      </c>
      <c r="K3" s="10" t="s">
        <v>9</v>
      </c>
      <c r="L3" s="10" t="s">
        <v>10</v>
      </c>
      <c r="M3" s="10" t="s">
        <v>11</v>
      </c>
      <c r="N3" s="10" t="s">
        <v>12</v>
      </c>
      <c r="O3" s="13" t="s">
        <v>13</v>
      </c>
      <c r="P3" s="10" t="s">
        <v>14</v>
      </c>
      <c r="Q3" s="10" t="s">
        <v>15</v>
      </c>
      <c r="R3" s="10" t="s">
        <v>16</v>
      </c>
      <c r="S3" s="10" t="s">
        <v>17</v>
      </c>
      <c r="T3" s="10" t="s">
        <v>18</v>
      </c>
      <c r="U3" s="10" t="s">
        <v>19</v>
      </c>
      <c r="V3" s="11" t="s">
        <v>20</v>
      </c>
      <c r="W3" s="11" t="s">
        <v>21</v>
      </c>
      <c r="X3" s="14" t="s">
        <v>8</v>
      </c>
      <c r="Y3" s="11" t="s">
        <v>22</v>
      </c>
      <c r="Z3" s="11" t="s">
        <v>23</v>
      </c>
      <c r="AA3" s="10" t="s">
        <v>24</v>
      </c>
      <c r="AB3" s="10" t="s">
        <v>25</v>
      </c>
      <c r="AC3" s="10" t="s">
        <v>26</v>
      </c>
    </row>
    <row r="4" ht="15.75" customHeight="1">
      <c r="A4" s="15" t="s">
        <v>27</v>
      </c>
      <c r="B4" s="16"/>
      <c r="C4" s="17" t="s">
        <v>28</v>
      </c>
      <c r="D4" s="18">
        <v>0.0</v>
      </c>
      <c r="E4" s="19">
        <f t="shared" ref="E4:E35" si="2">SUM(G4:AC4)</f>
        <v>0</v>
      </c>
      <c r="F4" s="3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ht="15.75" customHeight="1">
      <c r="A5" s="20" t="s">
        <v>29</v>
      </c>
      <c r="B5" s="16">
        <f>G2</f>
        <v>59374800</v>
      </c>
      <c r="C5" s="21" t="s">
        <v>30</v>
      </c>
      <c r="D5" s="18">
        <v>0.0</v>
      </c>
      <c r="E5" s="19">
        <f t="shared" si="2"/>
        <v>0</v>
      </c>
      <c r="F5" s="3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ht="15.75" customHeight="1">
      <c r="A6" s="22" t="s">
        <v>31</v>
      </c>
      <c r="B6" s="23">
        <f>H2</f>
        <v>5457599.94</v>
      </c>
      <c r="C6" s="17" t="s">
        <v>32</v>
      </c>
      <c r="D6" s="18">
        <v>0.0</v>
      </c>
      <c r="E6" s="19">
        <f t="shared" si="2"/>
        <v>0</v>
      </c>
      <c r="F6" s="3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ht="15.75" customHeight="1">
      <c r="A7" s="22" t="str">
        <f>R3</f>
        <v>Software Tools</v>
      </c>
      <c r="B7" s="24">
        <f>R2</f>
        <v>2789427.24</v>
      </c>
      <c r="C7" s="21" t="s">
        <v>33</v>
      </c>
      <c r="D7" s="18">
        <v>0.0</v>
      </c>
      <c r="E7" s="19">
        <f t="shared" si="2"/>
        <v>0</v>
      </c>
      <c r="F7" s="3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ht="15.75" customHeight="1">
      <c r="A8" s="22" t="s">
        <v>11</v>
      </c>
      <c r="B8" s="25">
        <f>M2</f>
        <v>16314841.02</v>
      </c>
      <c r="C8" s="21" t="s">
        <v>34</v>
      </c>
      <c r="D8" s="18">
        <v>0.0</v>
      </c>
      <c r="E8" s="19">
        <f t="shared" si="2"/>
        <v>0</v>
      </c>
      <c r="F8" s="3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ht="15.75" customHeight="1">
      <c r="A9" s="26" t="s">
        <v>35</v>
      </c>
      <c r="B9" s="24">
        <f>AB2</f>
        <v>22527816.75</v>
      </c>
      <c r="C9" s="17" t="s">
        <v>36</v>
      </c>
      <c r="D9" s="18">
        <v>0.0</v>
      </c>
      <c r="E9" s="19">
        <f t="shared" si="2"/>
        <v>0</v>
      </c>
      <c r="F9" s="3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ht="15.75" customHeight="1">
      <c r="A10" s="27" t="s">
        <v>8</v>
      </c>
      <c r="B10" s="24">
        <f>J2</f>
        <v>34201325.76</v>
      </c>
      <c r="C10" s="28" t="s">
        <v>37</v>
      </c>
      <c r="D10" s="18">
        <v>0.0</v>
      </c>
      <c r="E10" s="19">
        <f t="shared" si="2"/>
        <v>0</v>
      </c>
      <c r="F10" s="3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ht="15.75" customHeight="1">
      <c r="A11" s="27" t="s">
        <v>20</v>
      </c>
      <c r="B11" s="22">
        <f>V2</f>
        <v>2174992</v>
      </c>
      <c r="C11" s="17" t="s">
        <v>38</v>
      </c>
      <c r="D11" s="18">
        <v>12.0</v>
      </c>
      <c r="E11" s="19">
        <f t="shared" si="2"/>
        <v>12</v>
      </c>
      <c r="F11" s="3"/>
      <c r="G11" s="6"/>
      <c r="H11" s="6"/>
      <c r="I11" s="6">
        <v>12.0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ht="15.75" customHeight="1">
      <c r="A12" s="27" t="s">
        <v>14</v>
      </c>
      <c r="B12" s="22">
        <f>P2</f>
        <v>271874</v>
      </c>
      <c r="C12" s="21" t="s">
        <v>39</v>
      </c>
      <c r="D12" s="18">
        <v>0.0</v>
      </c>
      <c r="E12" s="19">
        <f t="shared" si="2"/>
        <v>0</v>
      </c>
      <c r="F12" s="3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ht="15.75" customHeight="1">
      <c r="A13" s="27" t="s">
        <v>40</v>
      </c>
      <c r="B13" s="25">
        <f>I2</f>
        <v>23963.6381</v>
      </c>
      <c r="C13" s="17" t="s">
        <v>41</v>
      </c>
      <c r="D13" s="18">
        <v>0.0</v>
      </c>
      <c r="E13" s="19">
        <f t="shared" si="2"/>
        <v>0</v>
      </c>
      <c r="F13" s="3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ht="15.75" customHeight="1">
      <c r="A14" s="26" t="s">
        <v>42</v>
      </c>
      <c r="B14" s="22">
        <f>Q2</f>
        <v>335000</v>
      </c>
      <c r="C14" s="21" t="s">
        <v>43</v>
      </c>
      <c r="D14" s="18">
        <v>0.0</v>
      </c>
      <c r="E14" s="19">
        <f t="shared" si="2"/>
        <v>0</v>
      </c>
      <c r="F14" s="3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ht="15.75" customHeight="1">
      <c r="A15" s="29"/>
      <c r="B15" s="29"/>
      <c r="C15" s="30" t="s">
        <v>44</v>
      </c>
      <c r="D15" s="18">
        <v>0.0</v>
      </c>
      <c r="E15" s="19">
        <f t="shared" si="2"/>
        <v>0</v>
      </c>
      <c r="F15" s="3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ht="15.75" customHeight="1">
      <c r="A16" s="29"/>
      <c r="B16" s="29"/>
      <c r="C16" s="30" t="s">
        <v>45</v>
      </c>
      <c r="D16" s="18">
        <v>0.0</v>
      </c>
      <c r="E16" s="19">
        <f t="shared" si="2"/>
        <v>0</v>
      </c>
      <c r="F16" s="3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ht="15.75" customHeight="1">
      <c r="A17" s="27" t="s">
        <v>9</v>
      </c>
      <c r="B17" s="22">
        <f>K2</f>
        <v>0</v>
      </c>
      <c r="C17" s="31" t="s">
        <v>46</v>
      </c>
      <c r="D17" s="18">
        <v>0.0</v>
      </c>
      <c r="E17" s="19">
        <f t="shared" si="2"/>
        <v>0</v>
      </c>
      <c r="F17" s="3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ht="15.75" customHeight="1">
      <c r="A18" s="27"/>
      <c r="B18" s="32"/>
      <c r="C18" s="30" t="s">
        <v>47</v>
      </c>
      <c r="D18" s="33">
        <v>6.1729842510000005E7</v>
      </c>
      <c r="E18" s="19">
        <f t="shared" si="2"/>
        <v>61729842.51</v>
      </c>
      <c r="F18" s="1"/>
      <c r="G18" s="6">
        <v>5000000.0</v>
      </c>
      <c r="H18" s="6"/>
      <c r="I18" s="6">
        <v>700.0</v>
      </c>
      <c r="J18" s="34">
        <f>32008705.12+2192620.64</f>
        <v>34201325.76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35">
        <v>2.252781675E7</v>
      </c>
      <c r="AC18" s="6"/>
    </row>
    <row r="19" ht="15.75" customHeight="1">
      <c r="A19" s="36" t="s">
        <v>4</v>
      </c>
      <c r="B19" s="37">
        <f>SUM(B5:B18)</f>
        <v>143471640.3</v>
      </c>
      <c r="C19" s="30" t="s">
        <v>48</v>
      </c>
      <c r="D19" s="18">
        <v>2700900.0</v>
      </c>
      <c r="E19" s="19">
        <f t="shared" si="2"/>
        <v>2700900</v>
      </c>
      <c r="F19" s="3"/>
      <c r="G19" s="6"/>
      <c r="H19" s="6"/>
      <c r="I19" s="6"/>
      <c r="J19" s="6"/>
      <c r="K19" s="6"/>
      <c r="L19" s="6"/>
      <c r="M19" s="6">
        <v>2700900.0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ht="15.75" customHeight="1">
      <c r="A20" s="22" t="s">
        <v>29</v>
      </c>
      <c r="B20" s="25">
        <f>B5</f>
        <v>59374800</v>
      </c>
      <c r="C20" s="30" t="s">
        <v>49</v>
      </c>
      <c r="D20" s="18">
        <v>5458924.94</v>
      </c>
      <c r="E20" s="19">
        <f t="shared" si="2"/>
        <v>5458924.94</v>
      </c>
      <c r="F20" s="3"/>
      <c r="G20" s="6"/>
      <c r="H20" s="38">
        <v>5457599.94</v>
      </c>
      <c r="I20" s="39">
        <v>1325.0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ht="15.75" customHeight="1">
      <c r="A21" s="27"/>
      <c r="B21" s="40">
        <f>SUM(B19-B20)</f>
        <v>84096840.35</v>
      </c>
      <c r="C21" s="30" t="s">
        <v>50</v>
      </c>
      <c r="D21" s="18">
        <v>0.0</v>
      </c>
      <c r="E21" s="19">
        <f t="shared" si="2"/>
        <v>0</v>
      </c>
      <c r="F21" s="3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ht="15.75" customHeight="1">
      <c r="A22" s="27"/>
      <c r="B22" s="41"/>
      <c r="C22" s="30" t="s">
        <v>51</v>
      </c>
      <c r="D22" s="18">
        <v>335000.0</v>
      </c>
      <c r="E22" s="19">
        <f t="shared" si="2"/>
        <v>335000</v>
      </c>
      <c r="F22" s="3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335000.0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ht="15.75" customHeight="1">
      <c r="A23" s="27"/>
      <c r="B23" s="42"/>
      <c r="C23" s="43" t="s">
        <v>52</v>
      </c>
      <c r="D23" s="18">
        <v>0.0</v>
      </c>
      <c r="E23" s="19">
        <f t="shared" si="2"/>
        <v>0</v>
      </c>
      <c r="F23" s="3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ht="15.75" customHeight="1">
      <c r="A24" s="27"/>
      <c r="B24" s="27"/>
      <c r="C24" s="17" t="s">
        <v>53</v>
      </c>
      <c r="D24" s="18">
        <v>0.0</v>
      </c>
      <c r="E24" s="19">
        <f t="shared" si="2"/>
        <v>0</v>
      </c>
      <c r="F24" s="3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ht="15.75" customHeight="1">
      <c r="A25" s="20"/>
      <c r="B25" s="44"/>
      <c r="C25" s="45"/>
      <c r="D25" s="18">
        <v>0.0</v>
      </c>
      <c r="E25" s="19">
        <f t="shared" si="2"/>
        <v>0</v>
      </c>
      <c r="F25" s="3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ht="15.75" customHeight="1">
      <c r="A26" s="46"/>
      <c r="B26" s="44"/>
      <c r="C26" s="17" t="s">
        <v>54</v>
      </c>
      <c r="D26" s="18">
        <v>0.0</v>
      </c>
      <c r="E26" s="19">
        <f t="shared" si="2"/>
        <v>0</v>
      </c>
      <c r="F26" s="3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ht="15.75" customHeight="1">
      <c r="A27" s="47"/>
      <c r="B27" s="44"/>
      <c r="C27" s="17" t="s">
        <v>55</v>
      </c>
      <c r="D27" s="18">
        <f>1800*C36</f>
        <v>2446866</v>
      </c>
      <c r="E27" s="19">
        <f t="shared" si="2"/>
        <v>2446866</v>
      </c>
      <c r="F27" s="3"/>
      <c r="G27" s="6"/>
      <c r="H27" s="6"/>
      <c r="I27" s="6"/>
      <c r="J27" s="6"/>
      <c r="K27" s="6"/>
      <c r="L27" s="6"/>
      <c r="M27" s="6"/>
      <c r="N27" s="6"/>
      <c r="O27" s="6"/>
      <c r="P27" s="6">
        <f>200*C36</f>
        <v>271874</v>
      </c>
      <c r="Q27" s="6"/>
      <c r="R27" s="6"/>
      <c r="S27" s="6"/>
      <c r="T27" s="6"/>
      <c r="U27" s="6"/>
      <c r="V27" s="6">
        <f>1600*C36</f>
        <v>2174992</v>
      </c>
      <c r="W27" s="6"/>
      <c r="X27" s="6"/>
      <c r="Y27" s="6"/>
      <c r="Z27" s="6"/>
      <c r="AA27" s="6"/>
      <c r="AB27" s="6"/>
      <c r="AC27" s="6"/>
    </row>
    <row r="28" ht="15.75" customHeight="1">
      <c r="A28" s="46"/>
      <c r="B28" s="44"/>
      <c r="C28" s="21" t="s">
        <v>56</v>
      </c>
      <c r="D28" s="18">
        <v>0.0</v>
      </c>
      <c r="E28" s="19">
        <f t="shared" si="2"/>
        <v>0</v>
      </c>
      <c r="F28" s="3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ht="15.75" customHeight="1">
      <c r="A29" s="46"/>
      <c r="B29" s="44"/>
      <c r="C29" s="21" t="s">
        <v>57</v>
      </c>
      <c r="D29" s="18">
        <v>0.0</v>
      </c>
      <c r="E29" s="19">
        <f t="shared" si="2"/>
        <v>0</v>
      </c>
      <c r="F29" s="3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ht="15.75" customHeight="1">
      <c r="A30" s="46"/>
      <c r="B30" s="44"/>
      <c r="C30" s="17" t="s">
        <v>47</v>
      </c>
      <c r="D30" s="18">
        <f>40016.13*C36</f>
        <v>54396726.64</v>
      </c>
      <c r="E30" s="19">
        <f t="shared" si="2"/>
        <v>54396726.64</v>
      </c>
      <c r="F30" s="1"/>
      <c r="G30" s="6">
        <f>40000*C36</f>
        <v>54374800</v>
      </c>
      <c r="H30" s="6"/>
      <c r="I30" s="6">
        <f>16.13*C36</f>
        <v>21926.6381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ht="15.75" customHeight="1">
      <c r="A31" s="46"/>
      <c r="B31" s="44"/>
      <c r="C31" s="17" t="s">
        <v>58</v>
      </c>
      <c r="D31" s="18">
        <f>12066.89*C36</f>
        <v>16403368.26</v>
      </c>
      <c r="E31" s="19">
        <f t="shared" si="2"/>
        <v>16403368.26</v>
      </c>
      <c r="F31" s="3"/>
      <c r="G31" s="6"/>
      <c r="H31" s="6"/>
      <c r="I31" s="6"/>
      <c r="J31" s="6"/>
      <c r="K31" s="6"/>
      <c r="L31" s="6"/>
      <c r="M31" s="6">
        <f>10014.89*C36</f>
        <v>13613941.02</v>
      </c>
      <c r="N31" s="6"/>
      <c r="O31" s="6"/>
      <c r="P31" s="6"/>
      <c r="Q31" s="6"/>
      <c r="R31" s="6">
        <f>2052*C36</f>
        <v>2789427.24</v>
      </c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ht="15.75" customHeight="1">
      <c r="A32" s="46"/>
      <c r="B32" s="48"/>
      <c r="C32" s="17" t="s">
        <v>36</v>
      </c>
      <c r="D32" s="18">
        <v>0.0</v>
      </c>
      <c r="E32" s="19">
        <f t="shared" si="2"/>
        <v>0</v>
      </c>
      <c r="F32" s="3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ht="15.75" customHeight="1">
      <c r="A33" s="20"/>
      <c r="B33" s="48"/>
      <c r="C33" s="17" t="s">
        <v>59</v>
      </c>
      <c r="D33" s="18">
        <v>0.0</v>
      </c>
      <c r="E33" s="19">
        <f t="shared" si="2"/>
        <v>0</v>
      </c>
      <c r="F33" s="3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ht="15.75" customHeight="1">
      <c r="A34" s="20"/>
      <c r="B34" s="44"/>
      <c r="C34" s="17" t="s">
        <v>60</v>
      </c>
      <c r="D34" s="18">
        <v>0.0</v>
      </c>
      <c r="E34" s="19">
        <f t="shared" si="2"/>
        <v>0</v>
      </c>
      <c r="F34" s="3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ht="15.75" customHeight="1">
      <c r="A35" s="20"/>
      <c r="B35" s="44"/>
      <c r="C35" s="21" t="s">
        <v>61</v>
      </c>
      <c r="D35" s="18">
        <v>0.0</v>
      </c>
      <c r="E35" s="19">
        <f t="shared" si="2"/>
        <v>0</v>
      </c>
      <c r="F35" s="3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ht="15.75" customHeight="1">
      <c r="A36" s="20"/>
      <c r="B36" s="44"/>
      <c r="C36" s="49">
        <f>Income!C36</f>
        <v>1359.37</v>
      </c>
      <c r="D36" s="50"/>
      <c r="E36" s="51"/>
      <c r="F36" s="3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ht="15.75" customHeight="1">
      <c r="A37" s="52"/>
      <c r="B37" s="53"/>
      <c r="C37" s="54"/>
      <c r="D37" s="19">
        <f t="shared" ref="D37:E37" si="3">SUM(D4:D35)</f>
        <v>143471640.3</v>
      </c>
      <c r="E37" s="19">
        <f t="shared" si="3"/>
        <v>143471640.3</v>
      </c>
      <c r="F37" s="3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ht="15.75" customHeight="1">
      <c r="A38" s="1"/>
      <c r="B38" s="1"/>
      <c r="C38" s="3"/>
      <c r="D38" s="55"/>
      <c r="E38" s="1"/>
      <c r="F38" s="6"/>
      <c r="G38" s="6">
        <f t="shared" ref="G38:AC38" si="4">SUM(G4:G37)</f>
        <v>59374800</v>
      </c>
      <c r="H38" s="6">
        <f t="shared" si="4"/>
        <v>5457599.94</v>
      </c>
      <c r="I38" s="6">
        <f t="shared" si="4"/>
        <v>23963.6381</v>
      </c>
      <c r="J38" s="6">
        <f t="shared" si="4"/>
        <v>34201325.76</v>
      </c>
      <c r="K38" s="6">
        <f t="shared" si="4"/>
        <v>0</v>
      </c>
      <c r="L38" s="6">
        <f t="shared" si="4"/>
        <v>0</v>
      </c>
      <c r="M38" s="6">
        <f t="shared" si="4"/>
        <v>16314841.02</v>
      </c>
      <c r="N38" s="6">
        <f t="shared" si="4"/>
        <v>0</v>
      </c>
      <c r="O38" s="6">
        <f t="shared" si="4"/>
        <v>0</v>
      </c>
      <c r="P38" s="6">
        <f t="shared" si="4"/>
        <v>271874</v>
      </c>
      <c r="Q38" s="6">
        <f t="shared" si="4"/>
        <v>335000</v>
      </c>
      <c r="R38" s="6">
        <f t="shared" si="4"/>
        <v>2789427.24</v>
      </c>
      <c r="S38" s="6">
        <f t="shared" si="4"/>
        <v>0</v>
      </c>
      <c r="T38" s="6">
        <f t="shared" si="4"/>
        <v>0</v>
      </c>
      <c r="U38" s="6">
        <f t="shared" si="4"/>
        <v>0</v>
      </c>
      <c r="V38" s="6">
        <f t="shared" si="4"/>
        <v>2174992</v>
      </c>
      <c r="W38" s="6">
        <f t="shared" si="4"/>
        <v>0</v>
      </c>
      <c r="X38" s="6">
        <f t="shared" si="4"/>
        <v>0</v>
      </c>
      <c r="Y38" s="6">
        <f t="shared" si="4"/>
        <v>0</v>
      </c>
      <c r="Z38" s="6">
        <f t="shared" si="4"/>
        <v>0</v>
      </c>
      <c r="AA38" s="6">
        <f t="shared" si="4"/>
        <v>0</v>
      </c>
      <c r="AB38" s="6">
        <f t="shared" si="4"/>
        <v>22527816.75</v>
      </c>
      <c r="AC38" s="6">
        <f t="shared" si="4"/>
        <v>0</v>
      </c>
    </row>
    <row r="39" ht="15.75" customHeight="1">
      <c r="A39" s="1"/>
      <c r="B39" s="3"/>
      <c r="C39" s="56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3"/>
      <c r="C40" s="1"/>
      <c r="D40" s="3"/>
      <c r="E40" s="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3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3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3"/>
      <c r="C43" s="3"/>
      <c r="D43" s="1"/>
      <c r="E43" s="3"/>
      <c r="F43" s="1"/>
      <c r="G43" s="3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3"/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D36:E36">
      <formula1>AND(ISNUMBER(D36),(NOT(OR(NOT(ISERROR(DATEVALUE(D36))), AND(ISNUMBER(D36), LEFT(CELL("format", D36))="D")))))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9.25"/>
    <col customWidth="1" min="2" max="2" width="15.75"/>
    <col customWidth="1" min="3" max="3" width="26.25"/>
    <col customWidth="1" min="4" max="4" width="17.5"/>
    <col customWidth="1" min="5" max="5" width="16.5"/>
    <col customWidth="1" min="6" max="6" width="13.88"/>
    <col customWidth="1" min="7" max="7" width="15.88"/>
    <col customWidth="1" min="9" max="9" width="16.5"/>
    <col customWidth="1" min="12" max="12" width="13.5"/>
    <col customWidth="1" min="13" max="13" width="16.75"/>
    <col customWidth="1" min="14" max="15" width="13.88"/>
  </cols>
  <sheetData>
    <row r="1" ht="15.75" customHeight="1">
      <c r="A1" s="57"/>
      <c r="B1" s="57"/>
      <c r="C1" s="4"/>
      <c r="D1" s="58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</row>
    <row r="2" ht="15.75" customHeight="1">
      <c r="A2" s="57"/>
      <c r="B2" s="57"/>
      <c r="C2" s="57"/>
      <c r="D2" s="59">
        <f>SUM(D4:D35)</f>
        <v>119367991.8</v>
      </c>
      <c r="E2" s="4">
        <f>SUM(F2:AF2)</f>
        <v>119367991.8</v>
      </c>
      <c r="F2" s="59">
        <f t="shared" ref="F2:Y2" si="1">F36</f>
        <v>59374800</v>
      </c>
      <c r="G2" s="59">
        <f t="shared" si="1"/>
        <v>1455945.756</v>
      </c>
      <c r="H2" s="59">
        <f t="shared" si="1"/>
        <v>0</v>
      </c>
      <c r="I2" s="59">
        <f t="shared" si="1"/>
        <v>0</v>
      </c>
      <c r="J2" s="59">
        <f t="shared" si="1"/>
        <v>0</v>
      </c>
      <c r="K2" s="59">
        <f t="shared" si="1"/>
        <v>0</v>
      </c>
      <c r="L2" s="59">
        <f t="shared" si="1"/>
        <v>0</v>
      </c>
      <c r="M2" s="59">
        <f t="shared" si="1"/>
        <v>58530046</v>
      </c>
      <c r="N2" s="59">
        <f t="shared" si="1"/>
        <v>7200</v>
      </c>
      <c r="O2" s="59">
        <f t="shared" si="1"/>
        <v>0</v>
      </c>
      <c r="P2" s="59">
        <f t="shared" si="1"/>
        <v>0</v>
      </c>
      <c r="Q2" s="59">
        <f t="shared" si="1"/>
        <v>0</v>
      </c>
      <c r="R2" s="59">
        <f t="shared" si="1"/>
        <v>0</v>
      </c>
      <c r="S2" s="59">
        <f t="shared" si="1"/>
        <v>0</v>
      </c>
      <c r="T2" s="59">
        <f t="shared" si="1"/>
        <v>0</v>
      </c>
      <c r="U2" s="59">
        <f t="shared" si="1"/>
        <v>0</v>
      </c>
      <c r="V2" s="59">
        <f t="shared" si="1"/>
        <v>0</v>
      </c>
      <c r="W2" s="59">
        <f t="shared" si="1"/>
        <v>0</v>
      </c>
      <c r="X2" s="57" t="str">
        <f t="shared" si="1"/>
        <v/>
      </c>
      <c r="Y2" s="57" t="str">
        <f t="shared" si="1"/>
        <v/>
      </c>
      <c r="Z2" s="57"/>
      <c r="AA2" s="57"/>
      <c r="AB2" s="57"/>
      <c r="AC2" s="57"/>
      <c r="AD2" s="57"/>
      <c r="AE2" s="57"/>
      <c r="AF2" s="57"/>
      <c r="AG2" s="57"/>
    </row>
    <row r="3" ht="15.75" customHeight="1">
      <c r="A3" s="57"/>
      <c r="B3" s="57"/>
      <c r="C3" s="57"/>
      <c r="D3" s="60"/>
      <c r="E3" s="57" t="s">
        <v>4</v>
      </c>
      <c r="F3" s="57" t="s">
        <v>29</v>
      </c>
      <c r="G3" s="57" t="s">
        <v>62</v>
      </c>
      <c r="H3" s="57" t="s">
        <v>63</v>
      </c>
      <c r="I3" s="57" t="s">
        <v>64</v>
      </c>
      <c r="J3" s="10" t="s">
        <v>65</v>
      </c>
      <c r="K3" s="57" t="s">
        <v>66</v>
      </c>
      <c r="L3" s="57" t="s">
        <v>67</v>
      </c>
      <c r="M3" s="57" t="s">
        <v>68</v>
      </c>
      <c r="N3" s="57" t="s">
        <v>69</v>
      </c>
      <c r="O3" s="57" t="s">
        <v>70</v>
      </c>
      <c r="P3" s="57" t="s">
        <v>71</v>
      </c>
      <c r="Q3" s="57" t="s">
        <v>72</v>
      </c>
      <c r="R3" s="57" t="s">
        <v>73</v>
      </c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</row>
    <row r="4" ht="15.75" customHeight="1">
      <c r="A4" s="61" t="s">
        <v>74</v>
      </c>
      <c r="B4" s="62"/>
      <c r="C4" s="63" t="s">
        <v>28</v>
      </c>
      <c r="D4" s="64">
        <v>0.0</v>
      </c>
      <c r="E4" s="64">
        <f t="shared" ref="E4:E29" si="2">SUM(F4:W4)</f>
        <v>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57"/>
      <c r="AA4" s="57"/>
      <c r="AB4" s="57"/>
      <c r="AC4" s="57"/>
      <c r="AD4" s="57"/>
      <c r="AE4" s="57"/>
      <c r="AF4" s="57"/>
      <c r="AG4" s="57"/>
    </row>
    <row r="5" ht="15.75" customHeight="1">
      <c r="A5" s="57" t="s">
        <v>29</v>
      </c>
      <c r="B5" s="62">
        <f>F2</f>
        <v>59374800</v>
      </c>
      <c r="C5" s="65" t="s">
        <v>30</v>
      </c>
      <c r="D5" s="64">
        <v>0.0</v>
      </c>
      <c r="E5" s="64">
        <f t="shared" si="2"/>
        <v>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57"/>
      <c r="AA5" s="57"/>
      <c r="AB5" s="57"/>
      <c r="AC5" s="57"/>
      <c r="AD5" s="57"/>
      <c r="AE5" s="57"/>
      <c r="AF5" s="57"/>
      <c r="AG5" s="57"/>
    </row>
    <row r="6" ht="15.75" customHeight="1">
      <c r="A6" s="57" t="s">
        <v>75</v>
      </c>
      <c r="B6" s="59">
        <f>M2</f>
        <v>58530046</v>
      </c>
      <c r="C6" s="63" t="s">
        <v>32</v>
      </c>
      <c r="D6" s="64">
        <v>0.0</v>
      </c>
      <c r="E6" s="64">
        <f t="shared" si="2"/>
        <v>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57"/>
      <c r="AA6" s="57"/>
      <c r="AB6" s="57"/>
      <c r="AC6" s="57"/>
      <c r="AD6" s="57"/>
      <c r="AE6" s="57"/>
      <c r="AF6" s="57"/>
      <c r="AG6" s="57"/>
    </row>
    <row r="7" ht="15.75" customHeight="1">
      <c r="A7" s="57" t="s">
        <v>62</v>
      </c>
      <c r="B7" s="38">
        <f>G2</f>
        <v>1455945.756</v>
      </c>
      <c r="C7" s="65" t="s">
        <v>33</v>
      </c>
      <c r="D7" s="64">
        <v>0.0</v>
      </c>
      <c r="E7" s="64">
        <f t="shared" si="2"/>
        <v>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57"/>
      <c r="AA7" s="57"/>
      <c r="AB7" s="57"/>
      <c r="AC7" s="57"/>
      <c r="AD7" s="57"/>
      <c r="AE7" s="57"/>
      <c r="AF7" s="57"/>
      <c r="AG7" s="57"/>
    </row>
    <row r="8" ht="15.75" customHeight="1">
      <c r="A8" s="13" t="s">
        <v>69</v>
      </c>
      <c r="B8" s="66">
        <f>N2</f>
        <v>7200</v>
      </c>
      <c r="C8" s="65" t="s">
        <v>34</v>
      </c>
      <c r="D8" s="64">
        <v>0.0</v>
      </c>
      <c r="E8" s="64">
        <f t="shared" si="2"/>
        <v>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7"/>
      <c r="AA8" s="57"/>
      <c r="AB8" s="57"/>
      <c r="AC8" s="57"/>
      <c r="AD8" s="57"/>
      <c r="AE8" s="57"/>
      <c r="AF8" s="57"/>
      <c r="AG8" s="57"/>
    </row>
    <row r="9" ht="15.75" customHeight="1">
      <c r="A9" s="57" t="s">
        <v>66</v>
      </c>
      <c r="B9" s="66">
        <f>K2</f>
        <v>0</v>
      </c>
      <c r="C9" s="63" t="s">
        <v>36</v>
      </c>
      <c r="D9" s="64">
        <v>0.0</v>
      </c>
      <c r="E9" s="64">
        <f t="shared" si="2"/>
        <v>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57"/>
      <c r="AA9" s="57"/>
      <c r="AB9" s="57"/>
      <c r="AC9" s="57"/>
      <c r="AD9" s="57"/>
      <c r="AE9" s="57"/>
      <c r="AF9" s="57"/>
      <c r="AG9" s="57"/>
    </row>
    <row r="10" ht="15.75" customHeight="1">
      <c r="A10" s="57" t="s">
        <v>76</v>
      </c>
      <c r="B10" s="66">
        <f>J2</f>
        <v>0</v>
      </c>
      <c r="C10" s="63" t="s">
        <v>77</v>
      </c>
      <c r="D10" s="64">
        <v>0.0</v>
      </c>
      <c r="E10" s="64">
        <f t="shared" si="2"/>
        <v>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57"/>
      <c r="AA10" s="57"/>
      <c r="AB10" s="57"/>
      <c r="AC10" s="57"/>
      <c r="AD10" s="57"/>
      <c r="AE10" s="57"/>
      <c r="AF10" s="57"/>
      <c r="AG10" s="57"/>
    </row>
    <row r="11" ht="15.75" customHeight="1">
      <c r="C11" s="63" t="s">
        <v>78</v>
      </c>
      <c r="D11" s="64">
        <v>0.0</v>
      </c>
      <c r="E11" s="64">
        <f t="shared" si="2"/>
        <v>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57"/>
      <c r="AA11" s="57"/>
      <c r="AB11" s="57"/>
      <c r="AC11" s="57"/>
      <c r="AD11" s="57"/>
      <c r="AE11" s="57"/>
      <c r="AF11" s="57"/>
      <c r="AG11" s="57"/>
    </row>
    <row r="12" ht="15.75" customHeight="1">
      <c r="A12" s="67" t="s">
        <v>4</v>
      </c>
      <c r="B12" s="68">
        <f>SUM(B5:B10)</f>
        <v>119367991.8</v>
      </c>
      <c r="C12" s="65" t="s">
        <v>39</v>
      </c>
      <c r="D12" s="64">
        <v>0.0</v>
      </c>
      <c r="E12" s="64">
        <f t="shared" si="2"/>
        <v>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57"/>
      <c r="AA12" s="57"/>
      <c r="AB12" s="57"/>
      <c r="AC12" s="57"/>
      <c r="AD12" s="57"/>
      <c r="AE12" s="57"/>
      <c r="AF12" s="57"/>
      <c r="AG12" s="57"/>
    </row>
    <row r="13" ht="15.75" customHeight="1">
      <c r="A13" s="13"/>
      <c r="B13" s="69">
        <f>B5</f>
        <v>59374800</v>
      </c>
      <c r="C13" s="63" t="s">
        <v>41</v>
      </c>
      <c r="D13" s="64">
        <v>7200.0</v>
      </c>
      <c r="E13" s="64">
        <f t="shared" si="2"/>
        <v>7200</v>
      </c>
      <c r="F13" s="4"/>
      <c r="G13" s="4"/>
      <c r="H13" s="4"/>
      <c r="I13" s="4"/>
      <c r="J13" s="4"/>
      <c r="K13" s="4"/>
      <c r="L13" s="4"/>
      <c r="M13" s="4"/>
      <c r="N13" s="4">
        <v>7200.0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57"/>
      <c r="AA13" s="57"/>
      <c r="AB13" s="57"/>
      <c r="AC13" s="57"/>
      <c r="AD13" s="57"/>
      <c r="AE13" s="57"/>
      <c r="AF13" s="57"/>
      <c r="AG13" s="57"/>
    </row>
    <row r="14" ht="15.75" customHeight="1">
      <c r="A14" s="61"/>
      <c r="B14" s="70">
        <f>B12-B13</f>
        <v>59993191.76</v>
      </c>
      <c r="C14" s="65" t="s">
        <v>43</v>
      </c>
      <c r="D14" s="64">
        <v>0.0</v>
      </c>
      <c r="E14" s="64">
        <f t="shared" si="2"/>
        <v>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7"/>
      <c r="AA14" s="57"/>
      <c r="AB14" s="57"/>
      <c r="AC14" s="57"/>
      <c r="AD14" s="57"/>
      <c r="AE14" s="57"/>
      <c r="AF14" s="57"/>
      <c r="AG14" s="57"/>
    </row>
    <row r="15" ht="15.75" customHeight="1">
      <c r="C15" s="63" t="s">
        <v>44</v>
      </c>
      <c r="D15" s="64">
        <v>0.0</v>
      </c>
      <c r="E15" s="64">
        <f t="shared" si="2"/>
        <v>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57"/>
      <c r="AA15" s="57"/>
      <c r="AB15" s="57"/>
      <c r="AC15" s="57"/>
      <c r="AD15" s="57"/>
      <c r="AE15" s="57"/>
      <c r="AF15" s="57"/>
      <c r="AG15" s="57"/>
    </row>
    <row r="16" ht="15.75" customHeight="1">
      <c r="A16" s="57"/>
      <c r="B16" s="57"/>
      <c r="C16" s="63" t="s">
        <v>45</v>
      </c>
      <c r="D16" s="64">
        <v>0.0</v>
      </c>
      <c r="E16" s="64">
        <f t="shared" si="2"/>
        <v>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57"/>
      <c r="AA16" s="57"/>
      <c r="AB16" s="57"/>
      <c r="AC16" s="57"/>
      <c r="AD16" s="57"/>
      <c r="AE16" s="57"/>
      <c r="AF16" s="57"/>
      <c r="AG16" s="57"/>
    </row>
    <row r="17" ht="15.75" customHeight="1">
      <c r="A17" s="57"/>
      <c r="B17" s="71"/>
      <c r="C17" s="65" t="s">
        <v>46</v>
      </c>
      <c r="D17" s="64">
        <v>0.0</v>
      </c>
      <c r="E17" s="64">
        <f t="shared" si="2"/>
        <v>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57"/>
      <c r="AA17" s="57"/>
      <c r="AB17" s="57"/>
      <c r="AC17" s="57"/>
      <c r="AD17" s="57"/>
      <c r="AE17" s="57"/>
      <c r="AF17" s="57"/>
      <c r="AG17" s="57"/>
    </row>
    <row r="18" ht="15.75" customHeight="1">
      <c r="A18" s="57"/>
      <c r="B18" s="72"/>
      <c r="C18" s="63" t="s">
        <v>47</v>
      </c>
      <c r="D18" s="73">
        <v>3.7052E7</v>
      </c>
      <c r="E18" s="64">
        <f t="shared" si="2"/>
        <v>37052000</v>
      </c>
      <c r="F18" s="4"/>
      <c r="G18" s="4"/>
      <c r="H18" s="4"/>
      <c r="I18" s="4"/>
      <c r="J18" s="4"/>
      <c r="K18" s="4"/>
      <c r="L18" s="4"/>
      <c r="M18" s="73">
        <v>3.7052E7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57"/>
      <c r="AA18" s="57"/>
      <c r="AB18" s="57"/>
      <c r="AC18" s="57"/>
      <c r="AD18" s="57"/>
      <c r="AE18" s="57"/>
      <c r="AF18" s="57"/>
      <c r="AG18" s="57"/>
    </row>
    <row r="19" ht="15.75" customHeight="1">
      <c r="A19" s="57"/>
      <c r="B19" s="57"/>
      <c r="C19" s="63" t="s">
        <v>48</v>
      </c>
      <c r="D19" s="64">
        <v>5000000.0</v>
      </c>
      <c r="E19" s="64">
        <f t="shared" si="2"/>
        <v>5000000</v>
      </c>
      <c r="F19" s="4">
        <v>5000000.0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57"/>
      <c r="AA19" s="57"/>
      <c r="AB19" s="57"/>
      <c r="AC19" s="57"/>
      <c r="AD19" s="57"/>
      <c r="AE19" s="57"/>
      <c r="AF19" s="57"/>
      <c r="AG19" s="57"/>
    </row>
    <row r="20" ht="15.75" customHeight="1">
      <c r="A20" s="57"/>
      <c r="B20" s="57"/>
      <c r="C20" s="63" t="s">
        <v>49</v>
      </c>
      <c r="D20" s="64">
        <v>132300.0</v>
      </c>
      <c r="E20" s="64">
        <f t="shared" si="2"/>
        <v>132300</v>
      </c>
      <c r="F20" s="4"/>
      <c r="G20" s="64">
        <v>132300.0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57"/>
      <c r="AA20" s="57"/>
      <c r="AB20" s="57"/>
      <c r="AC20" s="57"/>
      <c r="AD20" s="57"/>
      <c r="AE20" s="57"/>
      <c r="AF20" s="57"/>
      <c r="AG20" s="57"/>
    </row>
    <row r="21" ht="15.75" customHeight="1">
      <c r="A21" s="57"/>
      <c r="B21" s="62"/>
      <c r="C21" s="63" t="s">
        <v>50</v>
      </c>
      <c r="D21" s="64">
        <v>0.0</v>
      </c>
      <c r="E21" s="64">
        <f t="shared" si="2"/>
        <v>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57"/>
      <c r="AA21" s="57"/>
      <c r="AB21" s="57"/>
      <c r="AC21" s="57"/>
      <c r="AD21" s="57"/>
      <c r="AE21" s="57"/>
      <c r="AF21" s="57"/>
      <c r="AG21" s="57"/>
    </row>
    <row r="22" ht="15.75" customHeight="1">
      <c r="A22" s="57"/>
      <c r="B22" s="74"/>
      <c r="C22" s="63" t="s">
        <v>51</v>
      </c>
      <c r="D22" s="64">
        <v>0.0</v>
      </c>
      <c r="E22" s="64">
        <f t="shared" si="2"/>
        <v>0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57"/>
      <c r="AA22" s="57"/>
      <c r="AB22" s="57"/>
      <c r="AC22" s="57"/>
      <c r="AD22" s="57"/>
      <c r="AE22" s="57"/>
      <c r="AF22" s="57"/>
      <c r="AG22" s="57"/>
    </row>
    <row r="23" ht="15.75" customHeight="1">
      <c r="A23" s="57"/>
      <c r="B23" s="75"/>
      <c r="C23" s="76" t="s">
        <v>52</v>
      </c>
      <c r="D23" s="64">
        <v>0.0</v>
      </c>
      <c r="E23" s="64">
        <f t="shared" si="2"/>
        <v>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57"/>
      <c r="AA23" s="57"/>
      <c r="AB23" s="57"/>
      <c r="AC23" s="57"/>
      <c r="AD23" s="57"/>
      <c r="AE23" s="57"/>
      <c r="AF23" s="57"/>
      <c r="AG23" s="57"/>
    </row>
    <row r="24" ht="15.75" customHeight="1">
      <c r="A24" s="4"/>
      <c r="B24" s="62"/>
      <c r="C24" s="63" t="s">
        <v>53</v>
      </c>
      <c r="D24" s="64">
        <v>0.0</v>
      </c>
      <c r="E24" s="64">
        <f t="shared" si="2"/>
        <v>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57"/>
      <c r="AA24" s="57"/>
      <c r="AB24" s="57"/>
      <c r="AC24" s="57"/>
      <c r="AD24" s="57"/>
      <c r="AE24" s="57"/>
      <c r="AF24" s="57"/>
      <c r="AG24" s="57"/>
    </row>
    <row r="25" ht="15.75" customHeight="1">
      <c r="A25" s="77"/>
      <c r="B25" s="62"/>
      <c r="C25" s="57"/>
      <c r="D25" s="64">
        <v>0.0</v>
      </c>
      <c r="E25" s="64">
        <f t="shared" si="2"/>
        <v>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57"/>
      <c r="AA25" s="57"/>
      <c r="AB25" s="57"/>
      <c r="AC25" s="57"/>
      <c r="AD25" s="57"/>
      <c r="AE25" s="57"/>
      <c r="AF25" s="57"/>
      <c r="AG25" s="57"/>
    </row>
    <row r="26" ht="15.75" customHeight="1">
      <c r="A26" s="78"/>
      <c r="B26" s="62"/>
      <c r="C26" s="63" t="s">
        <v>54</v>
      </c>
      <c r="D26" s="64">
        <v>0.0</v>
      </c>
      <c r="E26" s="64">
        <f t="shared" si="2"/>
        <v>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57"/>
      <c r="AA26" s="57"/>
      <c r="AB26" s="57"/>
      <c r="AC26" s="57"/>
      <c r="AD26" s="57"/>
      <c r="AE26" s="57"/>
      <c r="AF26" s="57"/>
      <c r="AG26" s="57"/>
    </row>
    <row r="27" ht="14.25" customHeight="1">
      <c r="A27" s="77"/>
      <c r="B27" s="57"/>
      <c r="C27" s="63" t="s">
        <v>55</v>
      </c>
      <c r="D27" s="64">
        <f>20659*C36</f>
        <v>28083224.83</v>
      </c>
      <c r="E27" s="64">
        <f t="shared" si="2"/>
        <v>28083224.83</v>
      </c>
      <c r="F27" s="4">
        <f>20000*C36</f>
        <v>27187400</v>
      </c>
      <c r="G27" s="4">
        <f>659*C36</f>
        <v>895824.83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57"/>
      <c r="AA27" s="57"/>
      <c r="AB27" s="57"/>
      <c r="AC27" s="57"/>
      <c r="AD27" s="57"/>
      <c r="AE27" s="57"/>
      <c r="AF27" s="57"/>
      <c r="AG27" s="57"/>
    </row>
    <row r="28" ht="15.75" customHeight="1">
      <c r="A28" s="77"/>
      <c r="B28" s="79"/>
      <c r="C28" s="65" t="s">
        <v>56</v>
      </c>
      <c r="D28" s="64">
        <v>0.0</v>
      </c>
      <c r="E28" s="64">
        <f t="shared" si="2"/>
        <v>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7"/>
      <c r="AA28" s="57"/>
      <c r="AB28" s="57"/>
      <c r="AC28" s="57"/>
      <c r="AD28" s="57"/>
      <c r="AE28" s="57"/>
      <c r="AF28" s="57"/>
      <c r="AG28" s="57"/>
    </row>
    <row r="29" ht="15.75" customHeight="1">
      <c r="A29" s="77"/>
      <c r="B29" s="62"/>
      <c r="C29" s="65" t="s">
        <v>57</v>
      </c>
      <c r="D29" s="64">
        <v>0.0</v>
      </c>
      <c r="E29" s="64">
        <f t="shared" si="2"/>
        <v>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7"/>
      <c r="AA29" s="57"/>
      <c r="AB29" s="57"/>
      <c r="AC29" s="57"/>
      <c r="AD29" s="57"/>
      <c r="AE29" s="57"/>
      <c r="AF29" s="57"/>
      <c r="AG29" s="57"/>
    </row>
    <row r="30" ht="15.75" customHeight="1">
      <c r="A30" s="57"/>
      <c r="B30" s="62"/>
      <c r="C30" s="63" t="s">
        <v>47</v>
      </c>
      <c r="D30" s="64">
        <f>12200*C36</f>
        <v>16584314</v>
      </c>
      <c r="E30" s="64">
        <f>SUM(G30:W30)</f>
        <v>16584314</v>
      </c>
      <c r="F30" s="4"/>
      <c r="G30" s="4"/>
      <c r="H30" s="4"/>
      <c r="I30" s="4"/>
      <c r="J30" s="4"/>
      <c r="K30" s="4"/>
      <c r="L30" s="4"/>
      <c r="M30" s="4">
        <f>12200*C36</f>
        <v>16584314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57"/>
      <c r="AA30" s="57"/>
      <c r="AB30" s="57"/>
      <c r="AC30" s="57"/>
      <c r="AD30" s="57"/>
      <c r="AE30" s="57"/>
      <c r="AF30" s="57"/>
      <c r="AG30" s="57"/>
    </row>
    <row r="31" ht="13.5" customHeight="1">
      <c r="A31" s="57"/>
      <c r="B31" s="62"/>
      <c r="C31" s="63" t="s">
        <v>58</v>
      </c>
      <c r="D31" s="64">
        <f>10314.72*C36</f>
        <v>14021520.93</v>
      </c>
      <c r="E31" s="64">
        <f>SUM(F31:W31)</f>
        <v>14021520.93</v>
      </c>
      <c r="F31" s="4">
        <f>10000*C36</f>
        <v>13593700</v>
      </c>
      <c r="G31" s="4">
        <f>314.72*C36</f>
        <v>427820.9264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57"/>
      <c r="AA31" s="57"/>
      <c r="AB31" s="57"/>
      <c r="AC31" s="57"/>
      <c r="AD31" s="57"/>
      <c r="AE31" s="57"/>
      <c r="AF31" s="57"/>
      <c r="AG31" s="57"/>
    </row>
    <row r="32" ht="15.75" customHeight="1">
      <c r="A32" s="57"/>
      <c r="B32" s="62"/>
      <c r="C32" s="63" t="s">
        <v>36</v>
      </c>
      <c r="D32" s="64">
        <f>10000*C36</f>
        <v>13593700</v>
      </c>
      <c r="E32" s="64">
        <f>SUM(G32:W32)</f>
        <v>0</v>
      </c>
      <c r="F32" s="4">
        <f>10000*C36</f>
        <v>13593700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57"/>
      <c r="AA32" s="57"/>
      <c r="AB32" s="57"/>
      <c r="AC32" s="57"/>
      <c r="AD32" s="57"/>
      <c r="AE32" s="57"/>
      <c r="AF32" s="57"/>
      <c r="AG32" s="57"/>
    </row>
    <row r="33" ht="15.75" customHeight="1">
      <c r="A33" s="57"/>
      <c r="B33" s="62"/>
      <c r="C33" s="63" t="s">
        <v>59</v>
      </c>
      <c r="D33" s="64">
        <v>0.0</v>
      </c>
      <c r="E33" s="64">
        <f t="shared" ref="E33:E35" si="3">SUM(F33:W33)</f>
        <v>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7"/>
      <c r="AA33" s="57"/>
      <c r="AB33" s="57"/>
      <c r="AC33" s="57"/>
      <c r="AD33" s="57"/>
      <c r="AE33" s="57"/>
      <c r="AF33" s="57"/>
      <c r="AG33" s="57"/>
    </row>
    <row r="34" ht="15.75" customHeight="1">
      <c r="A34" s="57"/>
      <c r="B34" s="62"/>
      <c r="C34" s="63" t="s">
        <v>60</v>
      </c>
      <c r="D34" s="64">
        <v>0.0</v>
      </c>
      <c r="E34" s="64">
        <f t="shared" si="3"/>
        <v>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57"/>
      <c r="AA34" s="57"/>
      <c r="AB34" s="57"/>
      <c r="AC34" s="57"/>
      <c r="AD34" s="57"/>
      <c r="AE34" s="57"/>
      <c r="AF34" s="57"/>
      <c r="AG34" s="57"/>
    </row>
    <row r="35" ht="15.75" customHeight="1">
      <c r="A35" s="57"/>
      <c r="B35" s="62"/>
      <c r="C35" s="65" t="s">
        <v>61</v>
      </c>
      <c r="D35" s="64">
        <f>3600*C36</f>
        <v>4893732</v>
      </c>
      <c r="E35" s="64">
        <f t="shared" si="3"/>
        <v>4893732</v>
      </c>
      <c r="F35" s="4"/>
      <c r="G35" s="4"/>
      <c r="H35" s="4"/>
      <c r="I35" s="4"/>
      <c r="J35" s="4"/>
      <c r="K35" s="4"/>
      <c r="L35" s="4"/>
      <c r="M35" s="4">
        <f>3600*C36</f>
        <v>4893732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57"/>
      <c r="AA35" s="57"/>
      <c r="AB35" s="57"/>
      <c r="AC35" s="57"/>
      <c r="AD35" s="57"/>
      <c r="AE35" s="57"/>
      <c r="AF35" s="57"/>
      <c r="AG35" s="57"/>
    </row>
    <row r="36" ht="15.75" customHeight="1">
      <c r="A36" s="57"/>
      <c r="B36" s="62"/>
      <c r="C36" s="80">
        <f>'Cash Report'!E31</f>
        <v>1359.37</v>
      </c>
      <c r="D36" s="81">
        <f t="shared" ref="D36:W36" si="4">SUM(D4:D35)</f>
        <v>119367991.8</v>
      </c>
      <c r="E36" s="81">
        <f t="shared" si="4"/>
        <v>105774291.8</v>
      </c>
      <c r="F36" s="81">
        <f t="shared" si="4"/>
        <v>59374800</v>
      </c>
      <c r="G36" s="81">
        <f t="shared" si="4"/>
        <v>1455945.756</v>
      </c>
      <c r="H36" s="81">
        <f t="shared" si="4"/>
        <v>0</v>
      </c>
      <c r="I36" s="81">
        <f t="shared" si="4"/>
        <v>0</v>
      </c>
      <c r="J36" s="81">
        <f t="shared" si="4"/>
        <v>0</v>
      </c>
      <c r="K36" s="81">
        <f t="shared" si="4"/>
        <v>0</v>
      </c>
      <c r="L36" s="81">
        <f t="shared" si="4"/>
        <v>0</v>
      </c>
      <c r="M36" s="81">
        <f t="shared" si="4"/>
        <v>58530046</v>
      </c>
      <c r="N36" s="81">
        <f t="shared" si="4"/>
        <v>7200</v>
      </c>
      <c r="O36" s="81">
        <f t="shared" si="4"/>
        <v>0</v>
      </c>
      <c r="P36" s="81">
        <f t="shared" si="4"/>
        <v>0</v>
      </c>
      <c r="Q36" s="81">
        <f t="shared" si="4"/>
        <v>0</v>
      </c>
      <c r="R36" s="81">
        <f t="shared" si="4"/>
        <v>0</v>
      </c>
      <c r="S36" s="81">
        <f t="shared" si="4"/>
        <v>0</v>
      </c>
      <c r="T36" s="81">
        <f t="shared" si="4"/>
        <v>0</v>
      </c>
      <c r="U36" s="81">
        <f t="shared" si="4"/>
        <v>0</v>
      </c>
      <c r="V36" s="81">
        <f t="shared" si="4"/>
        <v>0</v>
      </c>
      <c r="W36" s="81">
        <f t="shared" si="4"/>
        <v>0</v>
      </c>
      <c r="X36" s="57"/>
      <c r="Y36" s="57"/>
      <c r="Z36" s="57"/>
      <c r="AA36" s="57"/>
      <c r="AB36" s="57"/>
      <c r="AC36" s="57"/>
      <c r="AD36" s="57"/>
      <c r="AE36" s="57"/>
      <c r="AF36" s="57"/>
      <c r="AG36" s="57"/>
    </row>
    <row r="37" ht="15.75" customHeight="1">
      <c r="A37" s="57"/>
      <c r="B37" s="62"/>
      <c r="C37" s="57"/>
      <c r="D37" s="82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</row>
    <row r="38" ht="15.75" customHeight="1">
      <c r="A38" s="57"/>
      <c r="B38" s="57"/>
      <c r="C38" s="57"/>
      <c r="D38" s="60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</row>
    <row r="39" ht="15.75" customHeight="1">
      <c r="A39" s="57"/>
      <c r="B39" s="57"/>
      <c r="C39" s="57"/>
      <c r="D39" s="60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</row>
    <row r="40" ht="15.75" customHeight="1">
      <c r="A40" s="57"/>
      <c r="B40" s="57"/>
      <c r="C40" s="57"/>
      <c r="D40" s="60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</row>
    <row r="41" ht="15.75" customHeight="1">
      <c r="A41" s="57"/>
      <c r="B41" s="57"/>
      <c r="C41" s="57"/>
      <c r="D41" s="60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</row>
    <row r="42" ht="15.75" customHeight="1">
      <c r="A42" s="57"/>
      <c r="B42" s="57"/>
      <c r="C42" s="57"/>
      <c r="D42" s="60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</row>
    <row r="43" ht="15.75" customHeight="1">
      <c r="A43" s="57"/>
      <c r="B43" s="57"/>
      <c r="C43" s="57"/>
      <c r="D43" s="60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</row>
    <row r="44" ht="15.75" customHeight="1">
      <c r="A44" s="57"/>
      <c r="B44" s="57"/>
      <c r="C44" s="57"/>
      <c r="D44" s="60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</row>
    <row r="45" ht="15.75" customHeight="1">
      <c r="A45" s="57"/>
      <c r="B45" s="57"/>
      <c r="C45" s="57"/>
      <c r="D45" s="60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</row>
    <row r="46" ht="15.75" customHeight="1">
      <c r="A46" s="57"/>
      <c r="B46" s="57"/>
      <c r="C46" s="57"/>
      <c r="D46" s="60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</row>
    <row r="47" ht="15.75" customHeight="1">
      <c r="A47" s="57"/>
      <c r="B47" s="57"/>
      <c r="C47" s="57"/>
      <c r="D47" s="60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</row>
    <row r="48" ht="15.75" customHeight="1">
      <c r="A48" s="57"/>
      <c r="B48" s="57"/>
      <c r="C48" s="57"/>
      <c r="D48" s="60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</row>
    <row r="49" ht="15.75" customHeight="1">
      <c r="A49" s="57"/>
      <c r="B49" s="57"/>
      <c r="C49" s="57"/>
      <c r="D49" s="60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</row>
    <row r="50" ht="15.75" customHeight="1">
      <c r="A50" s="57"/>
      <c r="B50" s="57"/>
      <c r="C50" s="57"/>
      <c r="D50" s="60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</row>
    <row r="51" ht="15.75" customHeight="1">
      <c r="A51" s="57"/>
      <c r="B51" s="57"/>
      <c r="C51" s="57"/>
      <c r="D51" s="60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</row>
    <row r="52" ht="15.75" customHeight="1">
      <c r="A52" s="57"/>
      <c r="B52" s="57"/>
      <c r="C52" s="57"/>
      <c r="D52" s="60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</row>
    <row r="53" ht="15.75" customHeight="1">
      <c r="A53" s="57"/>
      <c r="B53" s="57"/>
      <c r="C53" s="57"/>
      <c r="D53" s="60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</row>
    <row r="54" ht="15.75" customHeight="1">
      <c r="A54" s="57"/>
      <c r="B54" s="57"/>
      <c r="C54" s="57"/>
      <c r="D54" s="60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</row>
    <row r="55" ht="15.75" customHeight="1">
      <c r="A55" s="57"/>
      <c r="B55" s="57"/>
      <c r="C55" s="57"/>
      <c r="D55" s="60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</row>
    <row r="56" ht="15.75" customHeight="1">
      <c r="A56" s="57"/>
      <c r="B56" s="57"/>
      <c r="C56" s="57"/>
      <c r="D56" s="60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</row>
    <row r="57" ht="15.75" customHeight="1">
      <c r="A57" s="57"/>
      <c r="B57" s="57"/>
      <c r="C57" s="57"/>
      <c r="D57" s="60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</row>
    <row r="58" ht="15.75" customHeight="1">
      <c r="A58" s="57"/>
      <c r="B58" s="57"/>
      <c r="C58" s="57"/>
      <c r="D58" s="60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</row>
    <row r="59" ht="15.75" customHeight="1">
      <c r="A59" s="57"/>
      <c r="B59" s="57"/>
      <c r="C59" s="57"/>
      <c r="D59" s="60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</row>
    <row r="60" ht="15.75" customHeight="1">
      <c r="A60" s="57"/>
      <c r="B60" s="57"/>
      <c r="C60" s="57"/>
      <c r="D60" s="60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</row>
    <row r="61" ht="15.75" customHeight="1">
      <c r="A61" s="57"/>
      <c r="B61" s="57"/>
      <c r="C61" s="57"/>
      <c r="D61" s="60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</row>
    <row r="62" ht="15.75" customHeight="1">
      <c r="A62" s="57"/>
      <c r="B62" s="57"/>
      <c r="C62" s="57"/>
      <c r="D62" s="60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</row>
    <row r="63" ht="15.75" customHeight="1">
      <c r="A63" s="57"/>
      <c r="B63" s="57"/>
      <c r="C63" s="57"/>
      <c r="D63" s="60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</row>
    <row r="64" ht="15.75" customHeight="1">
      <c r="A64" s="57"/>
      <c r="B64" s="57"/>
      <c r="C64" s="57"/>
      <c r="D64" s="60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</row>
    <row r="65" ht="15.75" customHeight="1">
      <c r="A65" s="57"/>
      <c r="B65" s="57"/>
      <c r="C65" s="57"/>
      <c r="D65" s="60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</row>
    <row r="66" ht="15.75" customHeight="1">
      <c r="A66" s="57"/>
      <c r="B66" s="57"/>
      <c r="C66" s="57"/>
      <c r="D66" s="60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</row>
    <row r="67" ht="15.75" customHeight="1">
      <c r="A67" s="57"/>
      <c r="B67" s="57"/>
      <c r="C67" s="57"/>
      <c r="D67" s="60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</row>
    <row r="68" ht="15.75" customHeight="1">
      <c r="A68" s="57"/>
      <c r="B68" s="57"/>
      <c r="C68" s="57"/>
      <c r="D68" s="60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</row>
    <row r="69" ht="15.75" customHeight="1">
      <c r="A69" s="57"/>
      <c r="B69" s="57"/>
      <c r="C69" s="57"/>
      <c r="D69" s="60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</row>
    <row r="70" ht="15.75" customHeight="1">
      <c r="A70" s="57"/>
      <c r="B70" s="57"/>
      <c r="C70" s="57"/>
      <c r="D70" s="60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</row>
    <row r="71" ht="15.75" customHeight="1">
      <c r="A71" s="57"/>
      <c r="B71" s="57"/>
      <c r="C71" s="57"/>
      <c r="D71" s="60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</row>
    <row r="72" ht="15.75" customHeight="1">
      <c r="A72" s="57"/>
      <c r="B72" s="57"/>
      <c r="C72" s="57"/>
      <c r="D72" s="60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</row>
    <row r="73" ht="15.75" customHeight="1">
      <c r="A73" s="57"/>
      <c r="B73" s="57"/>
      <c r="C73" s="57"/>
      <c r="D73" s="60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</row>
    <row r="74" ht="15.75" customHeight="1">
      <c r="A74" s="57"/>
      <c r="B74" s="57"/>
      <c r="C74" s="57"/>
      <c r="D74" s="60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</row>
    <row r="75" ht="15.75" customHeight="1">
      <c r="A75" s="57"/>
      <c r="B75" s="57"/>
      <c r="C75" s="57"/>
      <c r="D75" s="60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</row>
    <row r="76" ht="15.75" customHeight="1">
      <c r="A76" s="57"/>
      <c r="B76" s="57"/>
      <c r="C76" s="57"/>
      <c r="D76" s="60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</row>
    <row r="77" ht="15.75" customHeight="1">
      <c r="A77" s="57"/>
      <c r="B77" s="57"/>
      <c r="C77" s="57"/>
      <c r="D77" s="60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</row>
    <row r="78" ht="15.75" customHeight="1">
      <c r="A78" s="57"/>
      <c r="B78" s="57"/>
      <c r="C78" s="57"/>
      <c r="D78" s="60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</row>
    <row r="79" ht="15.75" customHeight="1">
      <c r="A79" s="57"/>
      <c r="B79" s="57"/>
      <c r="C79" s="57"/>
      <c r="D79" s="60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</row>
    <row r="80" ht="15.75" customHeight="1">
      <c r="A80" s="57"/>
      <c r="B80" s="57"/>
      <c r="C80" s="57"/>
      <c r="D80" s="60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</row>
    <row r="81" ht="15.75" customHeight="1">
      <c r="A81" s="57"/>
      <c r="B81" s="57"/>
      <c r="C81" s="57"/>
      <c r="D81" s="60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</row>
    <row r="82" ht="15.75" customHeight="1">
      <c r="A82" s="57"/>
      <c r="B82" s="57"/>
      <c r="C82" s="57"/>
      <c r="D82" s="60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</row>
    <row r="83" ht="15.75" customHeight="1">
      <c r="A83" s="57"/>
      <c r="B83" s="57"/>
      <c r="C83" s="57"/>
      <c r="D83" s="60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</row>
    <row r="84" ht="15.75" customHeight="1">
      <c r="A84" s="57"/>
      <c r="B84" s="57"/>
      <c r="C84" s="57"/>
      <c r="D84" s="60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</row>
    <row r="85" ht="15.75" customHeight="1">
      <c r="A85" s="57"/>
      <c r="B85" s="57"/>
      <c r="C85" s="57"/>
      <c r="D85" s="60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</row>
    <row r="86" ht="15.75" customHeight="1">
      <c r="A86" s="57"/>
      <c r="B86" s="57"/>
      <c r="C86" s="57"/>
      <c r="D86" s="60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</row>
    <row r="87" ht="15.75" customHeight="1">
      <c r="A87" s="57"/>
      <c r="B87" s="57"/>
      <c r="C87" s="57"/>
      <c r="D87" s="60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</row>
    <row r="88" ht="15.75" customHeight="1">
      <c r="A88" s="57"/>
      <c r="B88" s="57"/>
      <c r="C88" s="57"/>
      <c r="D88" s="60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</row>
    <row r="89" ht="15.75" customHeight="1">
      <c r="A89" s="57"/>
      <c r="B89" s="57"/>
      <c r="C89" s="57"/>
      <c r="D89" s="60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</row>
    <row r="90" ht="15.75" customHeight="1">
      <c r="A90" s="57"/>
      <c r="B90" s="57"/>
      <c r="C90" s="57"/>
      <c r="D90" s="60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</row>
    <row r="91" ht="15.75" customHeight="1">
      <c r="A91" s="57"/>
      <c r="B91" s="57"/>
      <c r="C91" s="57"/>
      <c r="D91" s="60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</row>
    <row r="92" ht="15.75" customHeight="1">
      <c r="A92" s="57"/>
      <c r="B92" s="57"/>
      <c r="C92" s="57"/>
      <c r="D92" s="60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</row>
    <row r="93" ht="15.75" customHeight="1">
      <c r="A93" s="57"/>
      <c r="B93" s="57"/>
      <c r="C93" s="57"/>
      <c r="D93" s="60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</row>
    <row r="94" ht="15.75" customHeight="1">
      <c r="A94" s="57"/>
      <c r="B94" s="57"/>
      <c r="C94" s="57"/>
      <c r="D94" s="60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</row>
    <row r="95" ht="15.75" customHeight="1">
      <c r="A95" s="57"/>
      <c r="B95" s="57"/>
      <c r="C95" s="57"/>
      <c r="D95" s="60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</row>
    <row r="96" ht="15.75" customHeight="1">
      <c r="A96" s="57"/>
      <c r="B96" s="57"/>
      <c r="C96" s="57"/>
      <c r="D96" s="60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</row>
    <row r="97" ht="15.75" customHeight="1">
      <c r="A97" s="57"/>
      <c r="B97" s="57"/>
      <c r="C97" s="57"/>
      <c r="D97" s="60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</row>
    <row r="98" ht="15.75" customHeight="1">
      <c r="A98" s="57"/>
      <c r="B98" s="57"/>
      <c r="C98" s="57"/>
      <c r="D98" s="60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</row>
    <row r="99" ht="15.75" customHeight="1">
      <c r="A99" s="57"/>
      <c r="B99" s="57"/>
      <c r="C99" s="57"/>
      <c r="D99" s="60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</row>
    <row r="100" ht="15.75" customHeight="1">
      <c r="A100" s="57"/>
      <c r="B100" s="57"/>
      <c r="C100" s="57"/>
      <c r="D100" s="60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</row>
    <row r="101" ht="15.75" customHeight="1">
      <c r="A101" s="57"/>
      <c r="B101" s="57"/>
      <c r="C101" s="57"/>
      <c r="D101" s="60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</row>
    <row r="102" ht="15.75" customHeight="1">
      <c r="A102" s="57"/>
      <c r="B102" s="57"/>
      <c r="C102" s="57"/>
      <c r="D102" s="60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</row>
    <row r="103" ht="15.75" customHeight="1">
      <c r="A103" s="57"/>
      <c r="B103" s="57"/>
      <c r="C103" s="57"/>
      <c r="D103" s="60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</row>
    <row r="104" ht="15.75" customHeight="1">
      <c r="A104" s="57"/>
      <c r="B104" s="57"/>
      <c r="C104" s="57"/>
      <c r="D104" s="60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</row>
    <row r="105" ht="15.75" customHeight="1">
      <c r="A105" s="57"/>
      <c r="B105" s="57"/>
      <c r="C105" s="57"/>
      <c r="D105" s="60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</row>
    <row r="106" ht="15.75" customHeight="1">
      <c r="A106" s="57"/>
      <c r="B106" s="57"/>
      <c r="C106" s="57"/>
      <c r="D106" s="60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</row>
    <row r="107" ht="15.75" customHeight="1">
      <c r="A107" s="57"/>
      <c r="B107" s="57"/>
      <c r="C107" s="57"/>
      <c r="D107" s="60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</row>
    <row r="108" ht="15.75" customHeight="1">
      <c r="A108" s="57"/>
      <c r="B108" s="57"/>
      <c r="C108" s="57"/>
      <c r="D108" s="60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</row>
    <row r="109" ht="15.75" customHeight="1">
      <c r="A109" s="57"/>
      <c r="B109" s="57"/>
      <c r="C109" s="57"/>
      <c r="D109" s="60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</row>
    <row r="110" ht="15.75" customHeight="1">
      <c r="A110" s="57"/>
      <c r="B110" s="57"/>
      <c r="C110" s="57"/>
      <c r="D110" s="60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</row>
    <row r="111" ht="15.75" customHeight="1">
      <c r="A111" s="57"/>
      <c r="B111" s="57"/>
      <c r="C111" s="57"/>
      <c r="D111" s="60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</row>
    <row r="112" ht="15.75" customHeight="1">
      <c r="A112" s="57"/>
      <c r="B112" s="57"/>
      <c r="C112" s="57"/>
      <c r="D112" s="60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</row>
    <row r="113" ht="15.75" customHeight="1">
      <c r="A113" s="57"/>
      <c r="B113" s="57"/>
      <c r="C113" s="57"/>
      <c r="D113" s="60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</row>
    <row r="114" ht="15.75" customHeight="1">
      <c r="A114" s="57"/>
      <c r="B114" s="57"/>
      <c r="C114" s="57"/>
      <c r="D114" s="60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</row>
    <row r="115" ht="15.75" customHeight="1">
      <c r="A115" s="57"/>
      <c r="B115" s="57"/>
      <c r="C115" s="57"/>
      <c r="D115" s="60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</row>
    <row r="116" ht="15.75" customHeight="1">
      <c r="A116" s="57"/>
      <c r="B116" s="57"/>
      <c r="C116" s="57"/>
      <c r="D116" s="60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</row>
    <row r="117" ht="15.75" customHeight="1">
      <c r="A117" s="57"/>
      <c r="B117" s="57"/>
      <c r="C117" s="57"/>
      <c r="D117" s="60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</row>
    <row r="118" ht="15.75" customHeight="1">
      <c r="A118" s="57"/>
      <c r="B118" s="57"/>
      <c r="C118" s="57"/>
      <c r="D118" s="60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</row>
    <row r="119" ht="15.75" customHeight="1">
      <c r="A119" s="57"/>
      <c r="B119" s="57"/>
      <c r="C119" s="57"/>
      <c r="D119" s="60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</row>
    <row r="120" ht="15.75" customHeight="1">
      <c r="A120" s="57"/>
      <c r="B120" s="57"/>
      <c r="C120" s="57"/>
      <c r="D120" s="60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</row>
    <row r="121" ht="15.75" customHeight="1">
      <c r="A121" s="57"/>
      <c r="B121" s="57"/>
      <c r="C121" s="57"/>
      <c r="D121" s="60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</row>
    <row r="122" ht="15.75" customHeight="1">
      <c r="A122" s="57"/>
      <c r="B122" s="57"/>
      <c r="C122" s="57"/>
      <c r="D122" s="60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</row>
    <row r="123" ht="15.75" customHeight="1">
      <c r="A123" s="57"/>
      <c r="B123" s="57"/>
      <c r="C123" s="57"/>
      <c r="D123" s="60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</row>
    <row r="124" ht="15.75" customHeight="1">
      <c r="A124" s="57"/>
      <c r="B124" s="57"/>
      <c r="C124" s="57"/>
      <c r="D124" s="60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</row>
    <row r="125" ht="15.75" customHeight="1">
      <c r="A125" s="57"/>
      <c r="B125" s="57"/>
      <c r="C125" s="57"/>
      <c r="D125" s="60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</row>
    <row r="126" ht="15.75" customHeight="1">
      <c r="A126" s="57"/>
      <c r="B126" s="57"/>
      <c r="C126" s="57"/>
      <c r="D126" s="60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</row>
    <row r="127" ht="15.75" customHeight="1">
      <c r="A127" s="57"/>
      <c r="B127" s="57"/>
      <c r="C127" s="57"/>
      <c r="D127" s="60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</row>
    <row r="128" ht="15.75" customHeight="1">
      <c r="A128" s="57"/>
      <c r="B128" s="57"/>
      <c r="C128" s="57"/>
      <c r="D128" s="60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</row>
    <row r="129" ht="15.75" customHeight="1">
      <c r="A129" s="57"/>
      <c r="B129" s="57"/>
      <c r="C129" s="57"/>
      <c r="D129" s="60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</row>
    <row r="130" ht="15.75" customHeight="1">
      <c r="A130" s="57"/>
      <c r="B130" s="57"/>
      <c r="C130" s="57"/>
      <c r="D130" s="60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</row>
    <row r="131" ht="15.75" customHeight="1">
      <c r="A131" s="57"/>
      <c r="B131" s="57"/>
      <c r="C131" s="57"/>
      <c r="D131" s="60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</row>
    <row r="132" ht="15.75" customHeight="1">
      <c r="A132" s="57"/>
      <c r="B132" s="57"/>
      <c r="C132" s="57"/>
      <c r="D132" s="60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</row>
    <row r="133" ht="15.75" customHeight="1">
      <c r="A133" s="57"/>
      <c r="B133" s="57"/>
      <c r="C133" s="57"/>
      <c r="D133" s="60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</row>
    <row r="134" ht="15.75" customHeight="1">
      <c r="A134" s="57"/>
      <c r="B134" s="57"/>
      <c r="C134" s="57"/>
      <c r="D134" s="60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</row>
    <row r="135" ht="15.75" customHeight="1">
      <c r="A135" s="57"/>
      <c r="B135" s="57"/>
      <c r="C135" s="57"/>
      <c r="D135" s="60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</row>
    <row r="136" ht="15.75" customHeight="1">
      <c r="A136" s="57"/>
      <c r="B136" s="57"/>
      <c r="C136" s="57"/>
      <c r="D136" s="60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</row>
    <row r="137" ht="15.75" customHeight="1">
      <c r="A137" s="57"/>
      <c r="B137" s="57"/>
      <c r="C137" s="57"/>
      <c r="D137" s="60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</row>
    <row r="138" ht="15.75" customHeight="1">
      <c r="A138" s="57"/>
      <c r="B138" s="57"/>
      <c r="C138" s="57"/>
      <c r="D138" s="60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</row>
    <row r="139" ht="15.75" customHeight="1">
      <c r="A139" s="57"/>
      <c r="B139" s="57"/>
      <c r="C139" s="57"/>
      <c r="D139" s="60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</row>
    <row r="140" ht="15.75" customHeight="1">
      <c r="A140" s="57"/>
      <c r="B140" s="57"/>
      <c r="C140" s="57"/>
      <c r="D140" s="60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</row>
    <row r="141" ht="15.75" customHeight="1">
      <c r="A141" s="57"/>
      <c r="B141" s="57"/>
      <c r="C141" s="57"/>
      <c r="D141" s="60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</row>
    <row r="142" ht="15.75" customHeight="1">
      <c r="A142" s="57"/>
      <c r="B142" s="57"/>
      <c r="C142" s="57"/>
      <c r="D142" s="60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</row>
    <row r="143" ht="15.75" customHeight="1">
      <c r="A143" s="57"/>
      <c r="B143" s="57"/>
      <c r="C143" s="57"/>
      <c r="D143" s="60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</row>
    <row r="144" ht="15.75" customHeight="1">
      <c r="A144" s="57"/>
      <c r="B144" s="57"/>
      <c r="C144" s="57"/>
      <c r="D144" s="60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</row>
    <row r="145" ht="15.75" customHeight="1">
      <c r="A145" s="57"/>
      <c r="B145" s="57"/>
      <c r="C145" s="57"/>
      <c r="D145" s="60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</row>
    <row r="146" ht="15.75" customHeight="1">
      <c r="A146" s="57"/>
      <c r="B146" s="57"/>
      <c r="C146" s="57"/>
      <c r="D146" s="60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</row>
    <row r="147" ht="15.75" customHeight="1">
      <c r="A147" s="57"/>
      <c r="B147" s="57"/>
      <c r="C147" s="57"/>
      <c r="D147" s="60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</row>
    <row r="148" ht="15.75" customHeight="1">
      <c r="A148" s="57"/>
      <c r="B148" s="57"/>
      <c r="C148" s="57"/>
      <c r="D148" s="60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</row>
    <row r="149" ht="15.75" customHeight="1">
      <c r="A149" s="57"/>
      <c r="B149" s="57"/>
      <c r="C149" s="57"/>
      <c r="D149" s="60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</row>
    <row r="150" ht="15.75" customHeight="1">
      <c r="A150" s="57"/>
      <c r="B150" s="57"/>
      <c r="C150" s="57"/>
      <c r="D150" s="60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</row>
    <row r="151" ht="15.75" customHeight="1">
      <c r="A151" s="57"/>
      <c r="B151" s="57"/>
      <c r="C151" s="57"/>
      <c r="D151" s="60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</row>
    <row r="152" ht="15.75" customHeight="1">
      <c r="A152" s="57"/>
      <c r="B152" s="57"/>
      <c r="C152" s="57"/>
      <c r="D152" s="60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</row>
    <row r="153" ht="15.75" customHeight="1">
      <c r="A153" s="57"/>
      <c r="B153" s="57"/>
      <c r="C153" s="57"/>
      <c r="D153" s="60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</row>
    <row r="154" ht="15.75" customHeight="1">
      <c r="A154" s="57"/>
      <c r="B154" s="57"/>
      <c r="C154" s="57"/>
      <c r="D154" s="60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</row>
    <row r="155" ht="15.75" customHeight="1">
      <c r="A155" s="57"/>
      <c r="B155" s="57"/>
      <c r="C155" s="57"/>
      <c r="D155" s="60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</row>
    <row r="156" ht="15.75" customHeight="1">
      <c r="A156" s="57"/>
      <c r="B156" s="57"/>
      <c r="C156" s="57"/>
      <c r="D156" s="60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</row>
    <row r="157" ht="15.75" customHeight="1">
      <c r="A157" s="57"/>
      <c r="B157" s="57"/>
      <c r="C157" s="57"/>
      <c r="D157" s="60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</row>
    <row r="158" ht="15.75" customHeight="1">
      <c r="A158" s="57"/>
      <c r="B158" s="57"/>
      <c r="C158" s="57"/>
      <c r="D158" s="60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</row>
    <row r="159" ht="15.75" customHeight="1">
      <c r="A159" s="57"/>
      <c r="B159" s="57"/>
      <c r="C159" s="57"/>
      <c r="D159" s="60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</row>
    <row r="160" ht="15.75" customHeight="1">
      <c r="A160" s="57"/>
      <c r="B160" s="57"/>
      <c r="C160" s="57"/>
      <c r="D160" s="60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</row>
    <row r="161" ht="15.75" customHeight="1">
      <c r="A161" s="57"/>
      <c r="B161" s="57"/>
      <c r="C161" s="57"/>
      <c r="D161" s="60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</row>
    <row r="162" ht="15.75" customHeight="1">
      <c r="A162" s="57"/>
      <c r="B162" s="57"/>
      <c r="C162" s="57"/>
      <c r="D162" s="60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</row>
    <row r="163" ht="15.75" customHeight="1">
      <c r="A163" s="57"/>
      <c r="B163" s="57"/>
      <c r="C163" s="57"/>
      <c r="D163" s="60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</row>
    <row r="164" ht="15.75" customHeight="1">
      <c r="A164" s="57"/>
      <c r="B164" s="57"/>
      <c r="C164" s="57"/>
      <c r="D164" s="60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</row>
    <row r="165" ht="15.75" customHeight="1">
      <c r="A165" s="57"/>
      <c r="B165" s="57"/>
      <c r="C165" s="57"/>
      <c r="D165" s="60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</row>
    <row r="166" ht="15.75" customHeight="1">
      <c r="A166" s="57"/>
      <c r="B166" s="57"/>
      <c r="C166" s="57"/>
      <c r="D166" s="60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</row>
    <row r="167" ht="15.75" customHeight="1">
      <c r="A167" s="57"/>
      <c r="B167" s="57"/>
      <c r="C167" s="57"/>
      <c r="D167" s="60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</row>
    <row r="168" ht="15.75" customHeight="1">
      <c r="A168" s="57"/>
      <c r="B168" s="57"/>
      <c r="C168" s="57"/>
      <c r="D168" s="60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</row>
    <row r="169" ht="15.75" customHeight="1">
      <c r="A169" s="57"/>
      <c r="B169" s="57"/>
      <c r="C169" s="57"/>
      <c r="D169" s="60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</row>
    <row r="170" ht="15.75" customHeight="1">
      <c r="A170" s="57"/>
      <c r="B170" s="57"/>
      <c r="C170" s="57"/>
      <c r="D170" s="60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</row>
    <row r="171" ht="15.75" customHeight="1">
      <c r="A171" s="57"/>
      <c r="B171" s="57"/>
      <c r="C171" s="57"/>
      <c r="D171" s="60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</row>
    <row r="172" ht="15.75" customHeight="1">
      <c r="A172" s="57"/>
      <c r="B172" s="57"/>
      <c r="C172" s="57"/>
      <c r="D172" s="60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</row>
    <row r="173" ht="15.75" customHeight="1">
      <c r="A173" s="57"/>
      <c r="B173" s="57"/>
      <c r="C173" s="57"/>
      <c r="D173" s="60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</row>
    <row r="174" ht="15.75" customHeight="1">
      <c r="A174" s="57"/>
      <c r="B174" s="57"/>
      <c r="C174" s="57"/>
      <c r="D174" s="60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</row>
    <row r="175" ht="15.75" customHeight="1">
      <c r="A175" s="57"/>
      <c r="B175" s="57"/>
      <c r="C175" s="57"/>
      <c r="D175" s="60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</row>
    <row r="176" ht="15.75" customHeight="1">
      <c r="A176" s="57"/>
      <c r="B176" s="57"/>
      <c r="C176" s="57"/>
      <c r="D176" s="60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</row>
    <row r="177" ht="15.75" customHeight="1">
      <c r="A177" s="57"/>
      <c r="B177" s="57"/>
      <c r="C177" s="57"/>
      <c r="D177" s="60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</row>
    <row r="178" ht="15.75" customHeight="1">
      <c r="A178" s="57"/>
      <c r="B178" s="57"/>
      <c r="C178" s="57"/>
      <c r="D178" s="60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</row>
    <row r="179" ht="15.75" customHeight="1">
      <c r="A179" s="57"/>
      <c r="B179" s="57"/>
      <c r="C179" s="57"/>
      <c r="D179" s="60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</row>
    <row r="180" ht="15.75" customHeight="1">
      <c r="A180" s="57"/>
      <c r="B180" s="57"/>
      <c r="C180" s="57"/>
      <c r="D180" s="60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</row>
    <row r="181" ht="15.75" customHeight="1">
      <c r="A181" s="57"/>
      <c r="B181" s="57"/>
      <c r="C181" s="57"/>
      <c r="D181" s="60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</row>
    <row r="182" ht="15.75" customHeight="1">
      <c r="A182" s="57"/>
      <c r="B182" s="57"/>
      <c r="C182" s="57"/>
      <c r="D182" s="60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</row>
    <row r="183" ht="15.75" customHeight="1">
      <c r="A183" s="57"/>
      <c r="B183" s="57"/>
      <c r="C183" s="57"/>
      <c r="D183" s="60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</row>
    <row r="184" ht="15.75" customHeight="1">
      <c r="A184" s="57"/>
      <c r="B184" s="57"/>
      <c r="C184" s="57"/>
      <c r="D184" s="60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</row>
    <row r="185" ht="15.75" customHeight="1">
      <c r="A185" s="57"/>
      <c r="B185" s="57"/>
      <c r="C185" s="57"/>
      <c r="D185" s="60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</row>
    <row r="186" ht="15.75" customHeight="1">
      <c r="A186" s="57"/>
      <c r="B186" s="57"/>
      <c r="C186" s="57"/>
      <c r="D186" s="60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</row>
    <row r="187" ht="15.75" customHeight="1">
      <c r="A187" s="57"/>
      <c r="B187" s="57"/>
      <c r="C187" s="57"/>
      <c r="D187" s="60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</row>
    <row r="188" ht="15.75" customHeight="1">
      <c r="A188" s="57"/>
      <c r="B188" s="57"/>
      <c r="C188" s="57"/>
      <c r="D188" s="60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</row>
    <row r="189" ht="15.75" customHeight="1">
      <c r="A189" s="57"/>
      <c r="B189" s="57"/>
      <c r="C189" s="57"/>
      <c r="D189" s="60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</row>
    <row r="190" ht="15.75" customHeight="1">
      <c r="A190" s="57"/>
      <c r="B190" s="57"/>
      <c r="C190" s="57"/>
      <c r="D190" s="60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</row>
    <row r="191" ht="15.75" customHeight="1">
      <c r="A191" s="57"/>
      <c r="B191" s="57"/>
      <c r="C191" s="57"/>
      <c r="D191" s="60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</row>
    <row r="192" ht="15.75" customHeight="1">
      <c r="A192" s="57"/>
      <c r="B192" s="57"/>
      <c r="C192" s="57"/>
      <c r="D192" s="60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</row>
    <row r="193" ht="15.75" customHeight="1">
      <c r="A193" s="57"/>
      <c r="B193" s="57"/>
      <c r="C193" s="57"/>
      <c r="D193" s="60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</row>
    <row r="194" ht="15.75" customHeight="1">
      <c r="A194" s="57"/>
      <c r="B194" s="57"/>
      <c r="C194" s="57"/>
      <c r="D194" s="60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</row>
    <row r="195" ht="15.75" customHeight="1">
      <c r="A195" s="57"/>
      <c r="B195" s="57"/>
      <c r="C195" s="57"/>
      <c r="D195" s="60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</row>
    <row r="196" ht="15.75" customHeight="1">
      <c r="A196" s="57"/>
      <c r="B196" s="57"/>
      <c r="C196" s="57"/>
      <c r="D196" s="60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</row>
    <row r="197" ht="15.75" customHeight="1">
      <c r="A197" s="57"/>
      <c r="B197" s="57"/>
      <c r="C197" s="57"/>
      <c r="D197" s="60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</row>
    <row r="198" ht="15.75" customHeight="1">
      <c r="A198" s="57"/>
      <c r="B198" s="57"/>
      <c r="C198" s="57"/>
      <c r="D198" s="60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</row>
    <row r="199" ht="15.75" customHeight="1">
      <c r="A199" s="57"/>
      <c r="B199" s="57"/>
      <c r="C199" s="57"/>
      <c r="D199" s="60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</row>
    <row r="200" ht="15.75" customHeight="1">
      <c r="A200" s="57"/>
      <c r="B200" s="57"/>
      <c r="C200" s="57"/>
      <c r="D200" s="60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</row>
    <row r="201" ht="15.75" customHeight="1">
      <c r="A201" s="57"/>
      <c r="B201" s="57"/>
      <c r="C201" s="57"/>
      <c r="D201" s="60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</row>
    <row r="202" ht="15.75" customHeight="1">
      <c r="A202" s="57"/>
      <c r="B202" s="57"/>
      <c r="C202" s="57"/>
      <c r="D202" s="60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</row>
    <row r="203" ht="15.75" customHeight="1">
      <c r="A203" s="57"/>
      <c r="B203" s="57"/>
      <c r="C203" s="57"/>
      <c r="D203" s="60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</row>
    <row r="204" ht="15.75" customHeight="1">
      <c r="A204" s="57"/>
      <c r="B204" s="57"/>
      <c r="C204" s="57"/>
      <c r="D204" s="60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</row>
    <row r="205" ht="15.75" customHeight="1">
      <c r="A205" s="57"/>
      <c r="B205" s="57"/>
      <c r="C205" s="57"/>
      <c r="D205" s="60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</row>
    <row r="206" ht="15.75" customHeight="1">
      <c r="A206" s="57"/>
      <c r="B206" s="57"/>
      <c r="C206" s="57"/>
      <c r="D206" s="60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</row>
    <row r="207" ht="15.75" customHeight="1">
      <c r="A207" s="57"/>
      <c r="B207" s="57"/>
      <c r="C207" s="57"/>
      <c r="D207" s="60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</row>
    <row r="208" ht="15.75" customHeight="1">
      <c r="A208" s="57"/>
      <c r="B208" s="57"/>
      <c r="C208" s="57"/>
      <c r="D208" s="60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</row>
    <row r="209" ht="15.75" customHeight="1">
      <c r="A209" s="57"/>
      <c r="B209" s="57"/>
      <c r="C209" s="57"/>
      <c r="D209" s="60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</row>
    <row r="210" ht="15.75" customHeight="1">
      <c r="A210" s="57"/>
      <c r="B210" s="57"/>
      <c r="C210" s="57"/>
      <c r="D210" s="60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</row>
    <row r="211" ht="15.75" customHeight="1">
      <c r="A211" s="57"/>
      <c r="B211" s="57"/>
      <c r="C211" s="57"/>
      <c r="D211" s="60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</row>
    <row r="212" ht="15.75" customHeight="1">
      <c r="A212" s="57"/>
      <c r="B212" s="57"/>
      <c r="C212" s="57"/>
      <c r="D212" s="60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</row>
    <row r="213" ht="15.75" customHeight="1">
      <c r="A213" s="57"/>
      <c r="B213" s="57"/>
      <c r="C213" s="57"/>
      <c r="D213" s="60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</row>
    <row r="214" ht="15.75" customHeight="1">
      <c r="A214" s="57"/>
      <c r="B214" s="57"/>
      <c r="C214" s="57"/>
      <c r="D214" s="60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</row>
    <row r="215" ht="15.75" customHeight="1">
      <c r="A215" s="57"/>
      <c r="B215" s="57"/>
      <c r="C215" s="57"/>
      <c r="D215" s="60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</row>
    <row r="216" ht="15.75" customHeight="1">
      <c r="A216" s="57"/>
      <c r="B216" s="57"/>
      <c r="C216" s="57"/>
      <c r="D216" s="60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</row>
    <row r="217" ht="15.75" customHeight="1">
      <c r="A217" s="57"/>
      <c r="B217" s="57"/>
      <c r="C217" s="57"/>
      <c r="D217" s="60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</row>
    <row r="218" ht="15.75" customHeight="1">
      <c r="A218" s="57"/>
      <c r="B218" s="57"/>
      <c r="C218" s="57"/>
      <c r="D218" s="60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</row>
    <row r="219" ht="15.75" customHeight="1">
      <c r="A219" s="57"/>
      <c r="B219" s="57"/>
      <c r="C219" s="57"/>
      <c r="D219" s="60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</row>
    <row r="220" ht="15.75" customHeight="1">
      <c r="A220" s="57"/>
      <c r="B220" s="57"/>
      <c r="C220" s="57"/>
      <c r="D220" s="60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</row>
    <row r="221" ht="15.75" customHeight="1">
      <c r="A221" s="57"/>
      <c r="B221" s="57"/>
      <c r="C221" s="57"/>
      <c r="D221" s="60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</row>
    <row r="222" ht="15.75" customHeight="1">
      <c r="A222" s="57"/>
      <c r="B222" s="57"/>
      <c r="C222" s="57"/>
      <c r="D222" s="60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</row>
    <row r="223" ht="15.75" customHeight="1">
      <c r="A223" s="57"/>
      <c r="B223" s="57"/>
      <c r="C223" s="57"/>
      <c r="D223" s="60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</row>
    <row r="224" ht="15.75" customHeight="1">
      <c r="A224" s="57"/>
      <c r="B224" s="57"/>
      <c r="C224" s="57"/>
      <c r="D224" s="60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</row>
    <row r="225" ht="15.75" customHeight="1">
      <c r="A225" s="57"/>
      <c r="B225" s="57"/>
      <c r="C225" s="57"/>
      <c r="D225" s="60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</row>
    <row r="226" ht="15.75" customHeight="1">
      <c r="A226" s="57"/>
      <c r="B226" s="57"/>
      <c r="C226" s="57"/>
      <c r="D226" s="60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</row>
    <row r="227" ht="15.75" customHeight="1">
      <c r="A227" s="57"/>
      <c r="B227" s="57"/>
      <c r="C227" s="57"/>
      <c r="D227" s="60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</row>
    <row r="228" ht="15.75" customHeight="1">
      <c r="A228" s="57"/>
      <c r="B228" s="57"/>
      <c r="C228" s="57"/>
      <c r="D228" s="60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</row>
    <row r="229" ht="15.75" customHeight="1">
      <c r="A229" s="57"/>
      <c r="B229" s="57"/>
      <c r="C229" s="57"/>
      <c r="D229" s="60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</row>
    <row r="230" ht="15.75" customHeight="1">
      <c r="A230" s="57"/>
      <c r="B230" s="57"/>
      <c r="C230" s="57"/>
      <c r="D230" s="60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</row>
    <row r="231" ht="15.75" customHeight="1">
      <c r="A231" s="57"/>
      <c r="B231" s="57"/>
      <c r="C231" s="57"/>
      <c r="D231" s="60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</row>
    <row r="232" ht="15.75" customHeight="1">
      <c r="A232" s="57"/>
      <c r="B232" s="57"/>
      <c r="C232" s="57"/>
      <c r="D232" s="60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</row>
    <row r="233" ht="15.75" customHeight="1">
      <c r="A233" s="57"/>
      <c r="B233" s="57"/>
      <c r="C233" s="57"/>
      <c r="D233" s="60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</row>
    <row r="234" ht="15.75" customHeight="1">
      <c r="A234" s="57"/>
      <c r="B234" s="57"/>
      <c r="C234" s="57"/>
      <c r="D234" s="60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</row>
    <row r="235" ht="15.75" customHeight="1">
      <c r="A235" s="57"/>
      <c r="B235" s="57"/>
      <c r="C235" s="57"/>
      <c r="D235" s="60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</row>
    <row r="236" ht="15.75" customHeight="1">
      <c r="A236" s="57"/>
      <c r="B236" s="57"/>
      <c r="C236" s="57"/>
      <c r="D236" s="60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.5"/>
    <col customWidth="1" min="2" max="2" width="5.13"/>
    <col customWidth="1" min="3" max="3" width="21.63"/>
    <col customWidth="1" min="4" max="4" width="17.13"/>
    <col customWidth="1" min="5" max="5" width="10.63"/>
    <col customWidth="1" min="6" max="6" width="18.38"/>
    <col customWidth="1" min="7" max="7" width="14.0"/>
    <col customWidth="1" min="8" max="8" width="15.63"/>
    <col customWidth="1" min="9" max="9" width="13.13"/>
    <col customWidth="1" min="10" max="10" width="15.38"/>
    <col customWidth="1" min="11" max="11" width="38.25"/>
    <col customWidth="1" min="12" max="12" width="12.13"/>
    <col customWidth="1" min="13" max="24" width="12.63"/>
  </cols>
  <sheetData>
    <row r="1">
      <c r="A1" s="57"/>
      <c r="B1" s="57"/>
      <c r="C1" s="57"/>
      <c r="D1" s="83"/>
      <c r="E1" s="84"/>
      <c r="F1" s="84"/>
      <c r="G1" s="85"/>
      <c r="H1" s="59"/>
      <c r="I1" s="59"/>
      <c r="J1" s="86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>
      <c r="A2" s="57"/>
      <c r="B2" s="87" t="s">
        <v>79</v>
      </c>
      <c r="C2" s="88"/>
      <c r="D2" s="88"/>
      <c r="E2" s="88"/>
      <c r="F2" s="88"/>
      <c r="G2" s="88"/>
      <c r="H2" s="88"/>
      <c r="I2" s="88"/>
      <c r="J2" s="88"/>
      <c r="K2" s="89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>
      <c r="A3" s="4"/>
      <c r="B3" s="87" t="s">
        <v>80</v>
      </c>
      <c r="C3" s="88"/>
      <c r="D3" s="88"/>
      <c r="E3" s="88"/>
      <c r="F3" s="88"/>
      <c r="G3" s="88"/>
      <c r="H3" s="88"/>
      <c r="I3" s="88"/>
      <c r="J3" s="88"/>
      <c r="K3" s="89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>
      <c r="A4" s="57"/>
      <c r="B4" s="87" t="s">
        <v>81</v>
      </c>
      <c r="C4" s="88"/>
      <c r="D4" s="88"/>
      <c r="E4" s="88"/>
      <c r="F4" s="88"/>
      <c r="G4" s="88"/>
      <c r="H4" s="88"/>
      <c r="I4" s="88"/>
      <c r="J4" s="88"/>
      <c r="K4" s="89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>
      <c r="A5" s="4"/>
      <c r="B5" s="90" t="s">
        <v>82</v>
      </c>
      <c r="C5" s="91" t="s">
        <v>83</v>
      </c>
      <c r="D5" s="92" t="s">
        <v>84</v>
      </c>
      <c r="E5" s="92" t="s">
        <v>85</v>
      </c>
      <c r="F5" s="92" t="s">
        <v>86</v>
      </c>
      <c r="G5" s="92" t="s">
        <v>87</v>
      </c>
      <c r="H5" s="92" t="s">
        <v>88</v>
      </c>
      <c r="I5" s="92" t="s">
        <v>89</v>
      </c>
      <c r="J5" s="92" t="s">
        <v>90</v>
      </c>
      <c r="K5" s="92" t="s">
        <v>91</v>
      </c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>
      <c r="A6" s="57"/>
      <c r="B6" s="93">
        <v>1.0</v>
      </c>
      <c r="C6" s="94" t="s">
        <v>28</v>
      </c>
      <c r="D6" s="95">
        <f>157792208.39-103000000</f>
        <v>54792208.39</v>
      </c>
      <c r="E6" s="96">
        <v>1.0</v>
      </c>
      <c r="F6" s="64">
        <f t="shared" ref="F6:F27" si="1">D6*E6</f>
        <v>54792208.39</v>
      </c>
      <c r="G6" s="64">
        <v>0.0</v>
      </c>
      <c r="H6" s="97">
        <v>0.0</v>
      </c>
      <c r="I6" s="98">
        <f t="shared" ref="I6:I27" si="2">G6-H6</f>
        <v>0</v>
      </c>
      <c r="J6" s="64">
        <f t="shared" ref="J6:J27" si="3">F6+I6</f>
        <v>54792208.39</v>
      </c>
      <c r="K6" s="99" t="s">
        <v>92</v>
      </c>
      <c r="L6" s="100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>
      <c r="A7" s="57"/>
      <c r="B7" s="93">
        <v>2.0</v>
      </c>
      <c r="C7" s="98" t="s">
        <v>30</v>
      </c>
      <c r="D7" s="64">
        <v>73124.13</v>
      </c>
      <c r="E7" s="96">
        <v>1.0</v>
      </c>
      <c r="F7" s="64">
        <f t="shared" si="1"/>
        <v>73124.13</v>
      </c>
      <c r="G7" s="64">
        <v>0.0</v>
      </c>
      <c r="H7" s="97">
        <v>0.0</v>
      </c>
      <c r="I7" s="98">
        <f t="shared" si="2"/>
        <v>0</v>
      </c>
      <c r="J7" s="64">
        <f t="shared" si="3"/>
        <v>73124.13</v>
      </c>
      <c r="K7" s="99" t="s">
        <v>93</v>
      </c>
      <c r="L7" s="100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>
      <c r="A8" s="100"/>
      <c r="B8" s="93">
        <v>3.0</v>
      </c>
      <c r="C8" s="101" t="s">
        <v>32</v>
      </c>
      <c r="D8" s="95">
        <v>1239057.9299999997</v>
      </c>
      <c r="E8" s="96">
        <v>1.0</v>
      </c>
      <c r="F8" s="64">
        <f t="shared" si="1"/>
        <v>1239057.93</v>
      </c>
      <c r="G8" s="64">
        <v>0.0</v>
      </c>
      <c r="H8" s="97">
        <v>0.0</v>
      </c>
      <c r="I8" s="98">
        <f t="shared" si="2"/>
        <v>0</v>
      </c>
      <c r="J8" s="64">
        <f t="shared" si="3"/>
        <v>1239057.93</v>
      </c>
      <c r="K8" s="99" t="s">
        <v>93</v>
      </c>
      <c r="L8" s="100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>
      <c r="A9" s="57"/>
      <c r="B9" s="93">
        <v>4.0</v>
      </c>
      <c r="C9" s="98" t="s">
        <v>33</v>
      </c>
      <c r="D9" s="64">
        <v>31493.46</v>
      </c>
      <c r="E9" s="96">
        <v>1.0</v>
      </c>
      <c r="F9" s="64">
        <f t="shared" si="1"/>
        <v>31493.46</v>
      </c>
      <c r="G9" s="64">
        <v>0.0</v>
      </c>
      <c r="H9" s="97">
        <v>0.0</v>
      </c>
      <c r="I9" s="98">
        <f t="shared" si="2"/>
        <v>0</v>
      </c>
      <c r="J9" s="64">
        <f t="shared" si="3"/>
        <v>31493.46</v>
      </c>
      <c r="K9" s="99" t="s">
        <v>93</v>
      </c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>
      <c r="A10" s="100"/>
      <c r="B10" s="93">
        <v>5.0</v>
      </c>
      <c r="C10" s="98" t="s">
        <v>34</v>
      </c>
      <c r="D10" s="64">
        <v>208999.86</v>
      </c>
      <c r="E10" s="96">
        <v>1.0</v>
      </c>
      <c r="F10" s="64">
        <f t="shared" si="1"/>
        <v>208999.86</v>
      </c>
      <c r="G10" s="64">
        <v>0.0</v>
      </c>
      <c r="H10" s="97">
        <v>0.0</v>
      </c>
      <c r="I10" s="98">
        <f t="shared" si="2"/>
        <v>0</v>
      </c>
      <c r="J10" s="64">
        <f t="shared" si="3"/>
        <v>208999.86</v>
      </c>
      <c r="K10" s="99" t="s">
        <v>93</v>
      </c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>
      <c r="A11" s="57"/>
      <c r="B11" s="93">
        <v>6.0</v>
      </c>
      <c r="C11" s="94" t="s">
        <v>36</v>
      </c>
      <c r="D11" s="95">
        <v>1861662.0299999998</v>
      </c>
      <c r="E11" s="96">
        <v>1.0</v>
      </c>
      <c r="F11" s="64">
        <f t="shared" si="1"/>
        <v>1861662.03</v>
      </c>
      <c r="G11" s="64">
        <v>0.0</v>
      </c>
      <c r="H11" s="97">
        <v>0.0</v>
      </c>
      <c r="I11" s="98">
        <f t="shared" si="2"/>
        <v>0</v>
      </c>
      <c r="J11" s="64">
        <f t="shared" si="3"/>
        <v>1861662.03</v>
      </c>
      <c r="K11" s="99" t="s">
        <v>94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>
      <c r="A12" s="4"/>
      <c r="B12" s="93">
        <v>7.0</v>
      </c>
      <c r="C12" s="94" t="s">
        <v>77</v>
      </c>
      <c r="D12" s="95">
        <v>3425873.18</v>
      </c>
      <c r="E12" s="96">
        <v>1.0</v>
      </c>
      <c r="F12" s="64">
        <f t="shared" si="1"/>
        <v>3425873.18</v>
      </c>
      <c r="G12" s="64">
        <v>0.0</v>
      </c>
      <c r="H12" s="97">
        <v>12.0</v>
      </c>
      <c r="I12" s="98">
        <f t="shared" si="2"/>
        <v>-12</v>
      </c>
      <c r="J12" s="64">
        <f t="shared" si="3"/>
        <v>3425861.18</v>
      </c>
      <c r="K12" s="99" t="s">
        <v>95</v>
      </c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>
      <c r="A13" s="57"/>
      <c r="B13" s="93">
        <v>8.0</v>
      </c>
      <c r="C13" s="94" t="s">
        <v>38</v>
      </c>
      <c r="D13" s="95">
        <v>369411.21</v>
      </c>
      <c r="E13" s="96">
        <v>1.0</v>
      </c>
      <c r="F13" s="64">
        <f t="shared" si="1"/>
        <v>369411.21</v>
      </c>
      <c r="G13" s="64">
        <v>0.0</v>
      </c>
      <c r="H13" s="97">
        <v>0.0</v>
      </c>
      <c r="I13" s="98">
        <f t="shared" si="2"/>
        <v>0</v>
      </c>
      <c r="J13" s="64">
        <f t="shared" si="3"/>
        <v>369411.21</v>
      </c>
      <c r="K13" s="99" t="s">
        <v>96</v>
      </c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>
      <c r="A14" s="57"/>
      <c r="B14" s="93">
        <v>9.0</v>
      </c>
      <c r="C14" s="98" t="s">
        <v>39</v>
      </c>
      <c r="D14" s="95">
        <v>564653.8400000004</v>
      </c>
      <c r="E14" s="96">
        <v>1.0</v>
      </c>
      <c r="F14" s="64">
        <f t="shared" si="1"/>
        <v>564653.84</v>
      </c>
      <c r="G14" s="64">
        <v>0.0</v>
      </c>
      <c r="H14" s="97">
        <v>0.0</v>
      </c>
      <c r="I14" s="98">
        <f t="shared" si="2"/>
        <v>0</v>
      </c>
      <c r="J14" s="64">
        <f t="shared" si="3"/>
        <v>564653.84</v>
      </c>
      <c r="K14" s="99" t="s">
        <v>93</v>
      </c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>
      <c r="A15" s="57"/>
      <c r="B15" s="93">
        <v>10.0</v>
      </c>
      <c r="C15" s="94" t="s">
        <v>41</v>
      </c>
      <c r="D15" s="95">
        <v>745578.1000000015</v>
      </c>
      <c r="E15" s="96">
        <v>1.0</v>
      </c>
      <c r="F15" s="64">
        <f t="shared" si="1"/>
        <v>745578.1</v>
      </c>
      <c r="G15" s="64">
        <v>7200.0</v>
      </c>
      <c r="H15" s="97">
        <v>0.0</v>
      </c>
      <c r="I15" s="98">
        <f t="shared" si="2"/>
        <v>7200</v>
      </c>
      <c r="J15" s="64">
        <f t="shared" si="3"/>
        <v>752778.1</v>
      </c>
      <c r="K15" s="99" t="s">
        <v>97</v>
      </c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>
      <c r="A16" s="57"/>
      <c r="B16" s="93">
        <v>11.0</v>
      </c>
      <c r="C16" s="98" t="s">
        <v>43</v>
      </c>
      <c r="D16" s="64">
        <v>11745.64</v>
      </c>
      <c r="E16" s="96">
        <v>1.0</v>
      </c>
      <c r="F16" s="64">
        <f t="shared" si="1"/>
        <v>11745.64</v>
      </c>
      <c r="G16" s="64">
        <v>0.0</v>
      </c>
      <c r="H16" s="97">
        <v>0.0</v>
      </c>
      <c r="I16" s="98">
        <f t="shared" si="2"/>
        <v>0</v>
      </c>
      <c r="J16" s="64">
        <f t="shared" si="3"/>
        <v>11745.64</v>
      </c>
      <c r="K16" s="99" t="s">
        <v>93</v>
      </c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>
      <c r="A17" s="57"/>
      <c r="B17" s="93">
        <v>12.0</v>
      </c>
      <c r="C17" s="101" t="s">
        <v>44</v>
      </c>
      <c r="D17" s="102">
        <v>158755.70999999996</v>
      </c>
      <c r="E17" s="96">
        <v>1.0</v>
      </c>
      <c r="F17" s="64">
        <f t="shared" si="1"/>
        <v>158755.71</v>
      </c>
      <c r="G17" s="64">
        <v>0.0</v>
      </c>
      <c r="H17" s="97">
        <v>0.0</v>
      </c>
      <c r="I17" s="98">
        <f t="shared" si="2"/>
        <v>0</v>
      </c>
      <c r="J17" s="64">
        <f t="shared" si="3"/>
        <v>158755.71</v>
      </c>
      <c r="K17" s="99" t="s">
        <v>98</v>
      </c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>
      <c r="A18" s="57"/>
      <c r="B18" s="93">
        <v>13.0</v>
      </c>
      <c r="C18" s="101" t="s">
        <v>45</v>
      </c>
      <c r="D18" s="103">
        <v>5095196.75</v>
      </c>
      <c r="E18" s="96">
        <v>1.0</v>
      </c>
      <c r="F18" s="64">
        <f t="shared" si="1"/>
        <v>5095196.75</v>
      </c>
      <c r="G18" s="64">
        <v>0.0</v>
      </c>
      <c r="H18" s="97">
        <v>0.0</v>
      </c>
      <c r="I18" s="98">
        <f t="shared" si="2"/>
        <v>0</v>
      </c>
      <c r="J18" s="64">
        <f t="shared" si="3"/>
        <v>5095196.75</v>
      </c>
      <c r="K18" s="99" t="s">
        <v>95</v>
      </c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>
      <c r="A19" s="57"/>
      <c r="B19" s="93">
        <v>14.0</v>
      </c>
      <c r="C19" s="98" t="s">
        <v>46</v>
      </c>
      <c r="D19" s="64">
        <v>5687.28</v>
      </c>
      <c r="E19" s="96">
        <v>1.0</v>
      </c>
      <c r="F19" s="104">
        <f t="shared" si="1"/>
        <v>5687.28</v>
      </c>
      <c r="G19" s="104">
        <v>0.0</v>
      </c>
      <c r="H19" s="105">
        <v>0.0</v>
      </c>
      <c r="I19" s="98">
        <f t="shared" si="2"/>
        <v>0</v>
      </c>
      <c r="J19" s="64">
        <f t="shared" si="3"/>
        <v>5687.28</v>
      </c>
      <c r="K19" s="99" t="s">
        <v>93</v>
      </c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ht="30.75" customHeight="1">
      <c r="A20" s="57"/>
      <c r="B20" s="93">
        <v>15.0</v>
      </c>
      <c r="C20" s="101" t="s">
        <v>47</v>
      </c>
      <c r="D20" s="106">
        <v>7.638786296000001E7</v>
      </c>
      <c r="E20" s="107">
        <v>1.0</v>
      </c>
      <c r="F20" s="64">
        <f t="shared" si="1"/>
        <v>76387862.96</v>
      </c>
      <c r="G20" s="97">
        <v>3.7052E7</v>
      </c>
      <c r="H20" s="97">
        <v>6.1729842510000005E7</v>
      </c>
      <c r="I20" s="108">
        <f t="shared" si="2"/>
        <v>-24677842.51</v>
      </c>
      <c r="J20" s="64">
        <f t="shared" si="3"/>
        <v>51710020.45</v>
      </c>
      <c r="K20" s="99" t="s">
        <v>99</v>
      </c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ht="21.75" customHeight="1">
      <c r="A21" s="4"/>
      <c r="B21" s="93">
        <v>16.0</v>
      </c>
      <c r="C21" s="101" t="s">
        <v>48</v>
      </c>
      <c r="D21" s="106">
        <v>3356546.280000001</v>
      </c>
      <c r="E21" s="107">
        <v>1.0</v>
      </c>
      <c r="F21" s="64">
        <f t="shared" si="1"/>
        <v>3356546.28</v>
      </c>
      <c r="G21" s="64">
        <v>5000000.0</v>
      </c>
      <c r="H21" s="97">
        <v>2700900.0</v>
      </c>
      <c r="I21" s="108">
        <f t="shared" si="2"/>
        <v>2299100</v>
      </c>
      <c r="J21" s="64">
        <f t="shared" si="3"/>
        <v>5655646.28</v>
      </c>
      <c r="K21" s="109" t="s">
        <v>100</v>
      </c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ht="34.5" customHeight="1">
      <c r="A22" s="100" t="s">
        <v>101</v>
      </c>
      <c r="B22" s="93">
        <v>17.0</v>
      </c>
      <c r="C22" s="94" t="s">
        <v>49</v>
      </c>
      <c r="D22" s="106">
        <v>8.680429273E7</v>
      </c>
      <c r="E22" s="96">
        <v>1.0</v>
      </c>
      <c r="F22" s="110">
        <f t="shared" si="1"/>
        <v>86804292.73</v>
      </c>
      <c r="G22" s="64">
        <v>132300.0</v>
      </c>
      <c r="H22" s="111">
        <v>5458924.94</v>
      </c>
      <c r="I22" s="98">
        <f t="shared" si="2"/>
        <v>-5326624.94</v>
      </c>
      <c r="J22" s="64">
        <f t="shared" si="3"/>
        <v>81477667.79</v>
      </c>
      <c r="K22" s="99" t="s">
        <v>102</v>
      </c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ht="21.0" customHeight="1">
      <c r="A23" s="100"/>
      <c r="B23" s="93">
        <v>18.0</v>
      </c>
      <c r="C23" s="94" t="s">
        <v>50</v>
      </c>
      <c r="D23" s="112">
        <v>881685.06</v>
      </c>
      <c r="E23" s="96">
        <v>1.0</v>
      </c>
      <c r="F23" s="64">
        <f t="shared" si="1"/>
        <v>881685.06</v>
      </c>
      <c r="G23" s="64">
        <v>0.0</v>
      </c>
      <c r="H23" s="97">
        <v>0.0</v>
      </c>
      <c r="I23" s="98">
        <f t="shared" si="2"/>
        <v>0</v>
      </c>
      <c r="J23" s="64">
        <f t="shared" si="3"/>
        <v>881685.06</v>
      </c>
      <c r="K23" s="109" t="s">
        <v>103</v>
      </c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ht="25.5" customHeight="1">
      <c r="A24" s="57"/>
      <c r="B24" s="93">
        <v>19.0</v>
      </c>
      <c r="C24" s="98" t="s">
        <v>104</v>
      </c>
      <c r="D24" s="64">
        <v>101797.4</v>
      </c>
      <c r="E24" s="96">
        <v>1.0</v>
      </c>
      <c r="F24" s="64">
        <f t="shared" si="1"/>
        <v>101797.4</v>
      </c>
      <c r="G24" s="64">
        <v>0.0</v>
      </c>
      <c r="H24" s="97">
        <v>0.0</v>
      </c>
      <c r="I24" s="98">
        <f t="shared" si="2"/>
        <v>0</v>
      </c>
      <c r="J24" s="64">
        <f t="shared" si="3"/>
        <v>101797.4</v>
      </c>
      <c r="K24" s="99" t="s">
        <v>93</v>
      </c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ht="22.5" customHeight="1">
      <c r="A25" s="100"/>
      <c r="B25" s="93">
        <v>20.0</v>
      </c>
      <c r="C25" s="94" t="s">
        <v>105</v>
      </c>
      <c r="D25" s="113">
        <v>982589.85</v>
      </c>
      <c r="E25" s="96">
        <v>1.0</v>
      </c>
      <c r="F25" s="64">
        <f t="shared" si="1"/>
        <v>982589.85</v>
      </c>
      <c r="G25" s="64">
        <v>0.0</v>
      </c>
      <c r="H25" s="97">
        <v>335000.0</v>
      </c>
      <c r="I25" s="98">
        <f t="shared" si="2"/>
        <v>-335000</v>
      </c>
      <c r="J25" s="64">
        <f t="shared" si="3"/>
        <v>647589.85</v>
      </c>
      <c r="K25" s="99" t="s">
        <v>92</v>
      </c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ht="22.5" customHeight="1">
      <c r="A26" s="57"/>
      <c r="B26" s="93">
        <v>21.0</v>
      </c>
      <c r="C26" s="98" t="s">
        <v>52</v>
      </c>
      <c r="D26" s="64">
        <v>990050.45</v>
      </c>
      <c r="E26" s="96">
        <v>1.0</v>
      </c>
      <c r="F26" s="64">
        <f t="shared" si="1"/>
        <v>990050.45</v>
      </c>
      <c r="G26" s="64">
        <v>0.0</v>
      </c>
      <c r="H26" s="97">
        <v>0.0</v>
      </c>
      <c r="I26" s="98">
        <f t="shared" si="2"/>
        <v>0</v>
      </c>
      <c r="J26" s="64">
        <f t="shared" si="3"/>
        <v>990050.45</v>
      </c>
      <c r="K26" s="99" t="s">
        <v>93</v>
      </c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ht="25.5" customHeight="1">
      <c r="A27" s="57"/>
      <c r="B27" s="93">
        <v>22.0</v>
      </c>
      <c r="C27" s="114" t="s">
        <v>106</v>
      </c>
      <c r="D27" s="64">
        <v>0.0</v>
      </c>
      <c r="E27" s="96">
        <v>1.0</v>
      </c>
      <c r="F27" s="64">
        <f t="shared" si="1"/>
        <v>0</v>
      </c>
      <c r="G27" s="64">
        <v>0.0</v>
      </c>
      <c r="H27" s="97">
        <v>0.0</v>
      </c>
      <c r="I27" s="98">
        <f t="shared" si="2"/>
        <v>0</v>
      </c>
      <c r="J27" s="64">
        <f t="shared" si="3"/>
        <v>0</v>
      </c>
      <c r="K27" s="99" t="s">
        <v>93</v>
      </c>
      <c r="L27" s="57"/>
      <c r="M27" s="4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ht="21.0" customHeight="1">
      <c r="A28" s="100"/>
      <c r="B28" s="115"/>
      <c r="C28" s="116" t="s">
        <v>107</v>
      </c>
      <c r="D28" s="117">
        <f>SUM(D6:D27)</f>
        <v>238088272.2</v>
      </c>
      <c r="E28" s="118"/>
      <c r="F28" s="119">
        <f t="shared" ref="F28:J28" si="4">SUM(F6:F27)</f>
        <v>238088272.2</v>
      </c>
      <c r="G28" s="119">
        <f t="shared" si="4"/>
        <v>42191500</v>
      </c>
      <c r="H28" s="119">
        <f t="shared" si="4"/>
        <v>70224679.45</v>
      </c>
      <c r="I28" s="119">
        <f t="shared" si="4"/>
        <v>-28033179.45</v>
      </c>
      <c r="J28" s="119">
        <f t="shared" si="4"/>
        <v>210055092.8</v>
      </c>
      <c r="K28" s="99" t="s">
        <v>93</v>
      </c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ht="15.75" customHeight="1">
      <c r="A29" s="57"/>
      <c r="B29" s="120"/>
      <c r="C29" s="121"/>
      <c r="D29" s="122"/>
      <c r="E29" s="96"/>
      <c r="F29" s="123"/>
      <c r="G29" s="124"/>
      <c r="H29" s="124"/>
      <c r="I29" s="124"/>
      <c r="J29" s="125"/>
      <c r="K29" s="99"/>
      <c r="L29" s="57"/>
      <c r="M29" s="126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ht="21.0" customHeight="1">
      <c r="A30" s="57"/>
      <c r="B30" s="93">
        <v>23.0</v>
      </c>
      <c r="C30" s="127" t="s">
        <v>56</v>
      </c>
      <c r="D30" s="128">
        <v>2525.0</v>
      </c>
      <c r="E30" s="129">
        <v>1812.06</v>
      </c>
      <c r="F30" s="124">
        <f t="shared" ref="F30:F38" si="5">D30*E30</f>
        <v>4575451.5</v>
      </c>
      <c r="G30" s="124">
        <v>0.0</v>
      </c>
      <c r="H30" s="124">
        <v>0.0</v>
      </c>
      <c r="I30" s="124">
        <f t="shared" ref="I30:I38" si="6">G30-H30</f>
        <v>0</v>
      </c>
      <c r="J30" s="64">
        <f t="shared" ref="J30:J38" si="7">F30+I30</f>
        <v>4575451.5</v>
      </c>
      <c r="K30" s="99" t="s">
        <v>93</v>
      </c>
      <c r="L30" s="4"/>
      <c r="M30" s="100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ht="21.0" customHeight="1">
      <c r="A31" s="57"/>
      <c r="B31" s="93">
        <v>24.0</v>
      </c>
      <c r="C31" s="130" t="s">
        <v>108</v>
      </c>
      <c r="D31" s="131">
        <v>10635.119999999999</v>
      </c>
      <c r="E31" s="129">
        <v>1359.37</v>
      </c>
      <c r="F31" s="124">
        <f t="shared" si="5"/>
        <v>14457063.07</v>
      </c>
      <c r="G31" s="124">
        <v>0.0</v>
      </c>
      <c r="H31" s="124">
        <v>0.0</v>
      </c>
      <c r="I31" s="124">
        <f t="shared" si="6"/>
        <v>0</v>
      </c>
      <c r="J31" s="64">
        <f t="shared" si="7"/>
        <v>14457063.07</v>
      </c>
      <c r="K31" s="99" t="s">
        <v>109</v>
      </c>
      <c r="L31" s="4"/>
      <c r="M31" s="100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ht="21.0" customHeight="1">
      <c r="A32" s="57"/>
      <c r="B32" s="93">
        <v>25.0</v>
      </c>
      <c r="C32" s="132" t="s">
        <v>55</v>
      </c>
      <c r="D32" s="133">
        <v>9314.999999999996</v>
      </c>
      <c r="E32" s="96">
        <f t="shared" ref="E32:E39" si="8">$E$31</f>
        <v>1359.37</v>
      </c>
      <c r="F32" s="124">
        <f t="shared" si="5"/>
        <v>12662531.55</v>
      </c>
      <c r="G32" s="124">
        <f>20659*E32</f>
        <v>28083224.83</v>
      </c>
      <c r="H32" s="124">
        <f>1800*E32</f>
        <v>2446866</v>
      </c>
      <c r="I32" s="124">
        <f t="shared" si="6"/>
        <v>25636358.83</v>
      </c>
      <c r="J32" s="64">
        <f t="shared" si="7"/>
        <v>38298890.38</v>
      </c>
      <c r="K32" s="99" t="s">
        <v>110</v>
      </c>
      <c r="L32" s="4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ht="23.25" customHeight="1">
      <c r="A33" s="57"/>
      <c r="B33" s="93">
        <v>26.0</v>
      </c>
      <c r="C33" s="98" t="s">
        <v>57</v>
      </c>
      <c r="D33" s="134">
        <v>0.0</v>
      </c>
      <c r="E33" s="96">
        <f t="shared" si="8"/>
        <v>1359.37</v>
      </c>
      <c r="F33" s="124">
        <f t="shared" si="5"/>
        <v>0</v>
      </c>
      <c r="G33" s="124">
        <v>0.0</v>
      </c>
      <c r="H33" s="124">
        <v>0.0</v>
      </c>
      <c r="I33" s="124">
        <f t="shared" si="6"/>
        <v>0</v>
      </c>
      <c r="J33" s="64">
        <f t="shared" si="7"/>
        <v>0</v>
      </c>
      <c r="K33" s="99" t="s">
        <v>94</v>
      </c>
      <c r="L33" s="4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ht="24.0" customHeight="1">
      <c r="A34" s="57"/>
      <c r="B34" s="93">
        <v>27.0</v>
      </c>
      <c r="C34" s="101" t="s">
        <v>111</v>
      </c>
      <c r="D34" s="135">
        <v>148072.16</v>
      </c>
      <c r="E34" s="96">
        <f t="shared" si="8"/>
        <v>1359.37</v>
      </c>
      <c r="F34" s="124">
        <f t="shared" si="5"/>
        <v>201284852.1</v>
      </c>
      <c r="G34" s="124">
        <f>12200*E34</f>
        <v>16584314</v>
      </c>
      <c r="H34" s="124">
        <f>40016.13*E34</f>
        <v>54396726.64</v>
      </c>
      <c r="I34" s="124">
        <f t="shared" si="6"/>
        <v>-37812412.64</v>
      </c>
      <c r="J34" s="64">
        <f t="shared" si="7"/>
        <v>163472439.5</v>
      </c>
      <c r="K34" s="99" t="s">
        <v>112</v>
      </c>
      <c r="L34" s="4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21.0" customHeight="1">
      <c r="A35" s="57"/>
      <c r="B35" s="93">
        <v>28.0</v>
      </c>
      <c r="C35" s="101" t="s">
        <v>113</v>
      </c>
      <c r="D35" s="135">
        <v>9176.700000000004</v>
      </c>
      <c r="E35" s="96">
        <f t="shared" si="8"/>
        <v>1359.37</v>
      </c>
      <c r="F35" s="124">
        <f t="shared" si="5"/>
        <v>12474530.68</v>
      </c>
      <c r="G35" s="124">
        <f>10314.72*E35</f>
        <v>14021520.93</v>
      </c>
      <c r="H35" s="124">
        <f>12066.89*E35</f>
        <v>16403368.26</v>
      </c>
      <c r="I35" s="124">
        <f t="shared" si="6"/>
        <v>-2381847.333</v>
      </c>
      <c r="J35" s="64">
        <f t="shared" si="7"/>
        <v>10092683.35</v>
      </c>
      <c r="K35" s="99" t="s">
        <v>114</v>
      </c>
      <c r="L35" s="4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ht="21.75" customHeight="1">
      <c r="A36" s="57"/>
      <c r="B36" s="93">
        <v>29.0</v>
      </c>
      <c r="C36" s="94" t="s">
        <v>36</v>
      </c>
      <c r="D36" s="135">
        <v>95485.94000000002</v>
      </c>
      <c r="E36" s="96">
        <f t="shared" si="8"/>
        <v>1359.37</v>
      </c>
      <c r="F36" s="124">
        <f t="shared" si="5"/>
        <v>129800722.3</v>
      </c>
      <c r="G36" s="124">
        <f>10000*E36</f>
        <v>13593700</v>
      </c>
      <c r="H36" s="124">
        <v>0.0</v>
      </c>
      <c r="I36" s="124">
        <f t="shared" si="6"/>
        <v>13593700</v>
      </c>
      <c r="J36" s="64">
        <f t="shared" si="7"/>
        <v>143394422.3</v>
      </c>
      <c r="K36" s="99" t="s">
        <v>115</v>
      </c>
      <c r="L36" s="4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ht="21.0" customHeight="1">
      <c r="A37" s="57"/>
      <c r="B37" s="93">
        <v>30.0</v>
      </c>
      <c r="C37" s="94" t="s">
        <v>60</v>
      </c>
      <c r="D37" s="135">
        <v>13406.850000000004</v>
      </c>
      <c r="E37" s="96">
        <f t="shared" si="8"/>
        <v>1359.37</v>
      </c>
      <c r="F37" s="124">
        <f t="shared" si="5"/>
        <v>18224869.68</v>
      </c>
      <c r="G37" s="124">
        <v>0.0</v>
      </c>
      <c r="H37" s="124">
        <v>0.0</v>
      </c>
      <c r="I37" s="124">
        <f t="shared" si="6"/>
        <v>0</v>
      </c>
      <c r="J37" s="64">
        <f t="shared" si="7"/>
        <v>18224869.68</v>
      </c>
      <c r="K37" s="99" t="s">
        <v>94</v>
      </c>
      <c r="L37" s="4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ht="22.5" customHeight="1">
      <c r="A38" s="57"/>
      <c r="B38" s="93">
        <v>31.0</v>
      </c>
      <c r="C38" s="136" t="s">
        <v>61</v>
      </c>
      <c r="D38" s="135">
        <v>68354.20000000001</v>
      </c>
      <c r="E38" s="96">
        <f t="shared" si="8"/>
        <v>1359.37</v>
      </c>
      <c r="F38" s="124">
        <f t="shared" si="5"/>
        <v>92918648.85</v>
      </c>
      <c r="G38" s="124">
        <f>3600*E38</f>
        <v>4893732</v>
      </c>
      <c r="H38" s="124">
        <v>0.0</v>
      </c>
      <c r="I38" s="124">
        <f t="shared" si="6"/>
        <v>4893732</v>
      </c>
      <c r="J38" s="64">
        <f t="shared" si="7"/>
        <v>97812380.85</v>
      </c>
      <c r="K38" s="99" t="s">
        <v>116</v>
      </c>
      <c r="L38" s="4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ht="15.75" customHeight="1">
      <c r="A39" s="57"/>
      <c r="B39" s="137" t="s">
        <v>117</v>
      </c>
      <c r="C39" s="89"/>
      <c r="D39" s="135">
        <f>SUM(D31:D38)</f>
        <v>354445.97</v>
      </c>
      <c r="E39" s="96">
        <f t="shared" si="8"/>
        <v>1359.37</v>
      </c>
      <c r="F39" s="119">
        <f t="shared" ref="F39:J39" si="9">SUM(F31:F38)</f>
        <v>481823218.2</v>
      </c>
      <c r="G39" s="138">
        <f t="shared" si="9"/>
        <v>77176491.76</v>
      </c>
      <c r="H39" s="138">
        <f t="shared" si="9"/>
        <v>73246960.9</v>
      </c>
      <c r="I39" s="119">
        <f t="shared" si="9"/>
        <v>3929530.859</v>
      </c>
      <c r="J39" s="139">
        <f t="shared" si="9"/>
        <v>485752749.1</v>
      </c>
      <c r="K39" s="140"/>
      <c r="L39" s="4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ht="15.75" customHeight="1">
      <c r="A40" s="57"/>
      <c r="B40" s="141"/>
      <c r="C40" s="141"/>
      <c r="D40" s="59"/>
      <c r="E40" s="142"/>
      <c r="F40" s="142"/>
      <c r="G40" s="71"/>
      <c r="H40" s="71"/>
      <c r="I40" s="71"/>
      <c r="J40" s="59"/>
      <c r="K40" s="61"/>
      <c r="L40" s="4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ht="15.75" customHeight="1">
      <c r="A41" s="57"/>
      <c r="B41" s="141"/>
      <c r="C41" s="141"/>
      <c r="D41" s="143"/>
      <c r="E41" s="4"/>
      <c r="F41" s="144"/>
      <c r="G41" s="141"/>
      <c r="H41" s="141"/>
      <c r="I41" s="71"/>
      <c r="J41" s="142"/>
      <c r="K41" s="61"/>
      <c r="L41" s="4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ht="15.75" customHeight="1">
      <c r="A42" s="57"/>
      <c r="B42" s="141"/>
      <c r="C42" s="141"/>
      <c r="D42" s="57"/>
      <c r="E42" s="141"/>
      <c r="F42" s="141"/>
      <c r="G42" s="141"/>
      <c r="H42" s="57"/>
      <c r="I42" s="4"/>
      <c r="J42" s="57"/>
      <c r="K42" s="61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ht="15.75" customHeight="1">
      <c r="A43" s="57"/>
      <c r="B43" s="145" t="s">
        <v>118</v>
      </c>
      <c r="C43" s="88"/>
      <c r="D43" s="88"/>
      <c r="E43" s="88"/>
      <c r="F43" s="88"/>
      <c r="G43" s="88"/>
      <c r="H43" s="88"/>
      <c r="I43" s="88"/>
      <c r="J43" s="89"/>
      <c r="K43" s="146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ht="21.0" customHeight="1">
      <c r="A44" s="57"/>
      <c r="B44" s="147"/>
      <c r="C44" s="148" t="s">
        <v>119</v>
      </c>
      <c r="D44" s="149" t="s">
        <v>120</v>
      </c>
      <c r="E44" s="149" t="s">
        <v>85</v>
      </c>
      <c r="F44" s="149" t="s">
        <v>86</v>
      </c>
      <c r="G44" s="149" t="s">
        <v>87</v>
      </c>
      <c r="H44" s="149" t="s">
        <v>88</v>
      </c>
      <c r="I44" s="149" t="s">
        <v>89</v>
      </c>
      <c r="J44" s="149" t="s">
        <v>90</v>
      </c>
      <c r="K44" s="150" t="s">
        <v>121</v>
      </c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ht="15.75" customHeight="1">
      <c r="A45" s="57"/>
      <c r="B45" s="151">
        <v>32.0</v>
      </c>
      <c r="C45" s="152" t="s">
        <v>122</v>
      </c>
      <c r="D45" s="153">
        <v>9255303.43</v>
      </c>
      <c r="E45" s="154">
        <v>1.0</v>
      </c>
      <c r="F45" s="155">
        <f t="shared" ref="F45:F48" si="10">D45*E45</f>
        <v>9255303.43</v>
      </c>
      <c r="G45" s="155">
        <v>0.0</v>
      </c>
      <c r="H45" s="156">
        <v>0.0</v>
      </c>
      <c r="I45" s="155">
        <f t="shared" ref="I45:I48" si="11">G45-H45</f>
        <v>0</v>
      </c>
      <c r="J45" s="155">
        <f t="shared" ref="J45:J48" si="12">F45+G45-H45</f>
        <v>9255303.43</v>
      </c>
      <c r="K45" s="157"/>
      <c r="L45" s="158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ht="15.75" customHeight="1">
      <c r="A46" s="57"/>
      <c r="B46" s="151">
        <v>33.0</v>
      </c>
      <c r="C46" s="152" t="s">
        <v>123</v>
      </c>
      <c r="D46" s="159">
        <v>7786750.58</v>
      </c>
      <c r="E46" s="154">
        <v>1.0</v>
      </c>
      <c r="F46" s="155">
        <f t="shared" si="10"/>
        <v>7786750.58</v>
      </c>
      <c r="G46" s="155">
        <v>0.0</v>
      </c>
      <c r="H46" s="156">
        <v>0.0</v>
      </c>
      <c r="I46" s="155">
        <f t="shared" si="11"/>
        <v>0</v>
      </c>
      <c r="J46" s="155">
        <f t="shared" si="12"/>
        <v>7786750.58</v>
      </c>
      <c r="K46" s="157"/>
      <c r="L46" s="158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ht="15.75" customHeight="1">
      <c r="A47" s="57"/>
      <c r="B47" s="151">
        <v>34.0</v>
      </c>
      <c r="C47" s="152" t="s">
        <v>122</v>
      </c>
      <c r="D47" s="153">
        <v>1115165.23</v>
      </c>
      <c r="E47" s="154">
        <v>1.0</v>
      </c>
      <c r="F47" s="155">
        <f t="shared" si="10"/>
        <v>1115165.23</v>
      </c>
      <c r="G47" s="155">
        <v>0.0</v>
      </c>
      <c r="H47" s="156">
        <v>0.0</v>
      </c>
      <c r="I47" s="155">
        <f t="shared" si="11"/>
        <v>0</v>
      </c>
      <c r="J47" s="155">
        <f t="shared" si="12"/>
        <v>1115165.23</v>
      </c>
      <c r="K47" s="160" t="s">
        <v>124</v>
      </c>
      <c r="L47" s="158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ht="15.75" customHeight="1">
      <c r="A48" s="57"/>
      <c r="B48" s="151">
        <v>35.0</v>
      </c>
      <c r="C48" s="152" t="s">
        <v>125</v>
      </c>
      <c r="D48" s="153">
        <v>17791.369999997318</v>
      </c>
      <c r="E48" s="154">
        <v>1.0</v>
      </c>
      <c r="F48" s="155">
        <f t="shared" si="10"/>
        <v>17791.37</v>
      </c>
      <c r="G48" s="155">
        <v>0.0</v>
      </c>
      <c r="H48" s="156">
        <v>0.0</v>
      </c>
      <c r="I48" s="155">
        <f t="shared" si="11"/>
        <v>0</v>
      </c>
      <c r="J48" s="155">
        <f t="shared" si="12"/>
        <v>17791.37</v>
      </c>
      <c r="K48" s="160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ht="15.75" customHeight="1">
      <c r="A49" s="57"/>
      <c r="B49" s="161" t="s">
        <v>126</v>
      </c>
      <c r="C49" s="162"/>
      <c r="D49" s="162"/>
      <c r="E49" s="163"/>
      <c r="F49" s="164">
        <f t="shared" ref="F49:J49" si="13">SUM(F45:F48)</f>
        <v>18175010.61</v>
      </c>
      <c r="G49" s="164">
        <f t="shared" si="13"/>
        <v>0</v>
      </c>
      <c r="H49" s="164">
        <f t="shared" si="13"/>
        <v>0</v>
      </c>
      <c r="I49" s="164">
        <f t="shared" si="13"/>
        <v>0</v>
      </c>
      <c r="J49" s="164">
        <f t="shared" si="13"/>
        <v>18175010.61</v>
      </c>
      <c r="K49" s="1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ht="15.75" customHeight="1">
      <c r="A50" s="57"/>
      <c r="B50" s="57"/>
      <c r="C50" s="57"/>
      <c r="D50" s="57"/>
      <c r="E50" s="4"/>
      <c r="F50" s="57"/>
      <c r="G50" s="57"/>
      <c r="H50" s="57"/>
      <c r="I50" s="57"/>
      <c r="J50" s="4"/>
      <c r="K50" s="4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ht="15.75" customHeight="1">
      <c r="A51" s="57"/>
      <c r="B51" s="57"/>
      <c r="C51" s="57"/>
      <c r="D51" s="57"/>
      <c r="E51" s="165"/>
      <c r="F51" s="57"/>
      <c r="G51" s="57"/>
      <c r="H51" s="57"/>
      <c r="I51" s="4"/>
      <c r="J51" s="57"/>
      <c r="K51" s="61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ht="15.75" customHeight="1">
      <c r="A52" s="57"/>
      <c r="B52" s="87" t="s">
        <v>127</v>
      </c>
      <c r="C52" s="88"/>
      <c r="D52" s="88"/>
      <c r="E52" s="88"/>
      <c r="F52" s="88"/>
      <c r="G52" s="88"/>
      <c r="H52" s="88"/>
      <c r="I52" s="88"/>
      <c r="J52" s="89"/>
      <c r="K52" s="146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ht="22.5" customHeight="1">
      <c r="A53" s="57"/>
      <c r="B53" s="166"/>
      <c r="C53" s="167" t="s">
        <v>119</v>
      </c>
      <c r="D53" s="92" t="s">
        <v>128</v>
      </c>
      <c r="E53" s="168" t="s">
        <v>129</v>
      </c>
      <c r="F53" s="168" t="s">
        <v>88</v>
      </c>
      <c r="G53" s="168" t="s">
        <v>89</v>
      </c>
      <c r="H53" s="168" t="s">
        <v>90</v>
      </c>
      <c r="I53" s="169" t="s">
        <v>121</v>
      </c>
      <c r="J53" s="168" t="s">
        <v>130</v>
      </c>
      <c r="K53" s="168" t="s">
        <v>131</v>
      </c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ht="15.75" customHeight="1">
      <c r="A54" s="57"/>
      <c r="B54" s="151"/>
      <c r="C54" s="152" t="s">
        <v>132</v>
      </c>
      <c r="D54" s="170">
        <v>689.68</v>
      </c>
      <c r="E54" s="170">
        <v>0.0</v>
      </c>
      <c r="F54" s="171">
        <v>0.0</v>
      </c>
      <c r="G54" s="171">
        <f t="shared" ref="G54:G59" si="14">E54-F54</f>
        <v>0</v>
      </c>
      <c r="H54" s="171">
        <f t="shared" ref="H54:H59" si="15">D54+G54</f>
        <v>689.68</v>
      </c>
      <c r="I54" s="172"/>
      <c r="J54" s="173" t="s">
        <v>133</v>
      </c>
      <c r="K54" s="174" t="s">
        <v>133</v>
      </c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ht="15.75" customHeight="1">
      <c r="A55" s="57"/>
      <c r="B55" s="151"/>
      <c r="C55" s="152" t="s">
        <v>134</v>
      </c>
      <c r="D55" s="170">
        <v>600753.41</v>
      </c>
      <c r="E55" s="170">
        <v>0.0</v>
      </c>
      <c r="F55" s="171">
        <v>0.0</v>
      </c>
      <c r="G55" s="171">
        <f t="shared" si="14"/>
        <v>0</v>
      </c>
      <c r="H55" s="171">
        <f t="shared" si="15"/>
        <v>600753.41</v>
      </c>
      <c r="I55" s="172"/>
      <c r="J55" s="173" t="s">
        <v>133</v>
      </c>
      <c r="K55" s="174" t="s">
        <v>133</v>
      </c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ht="15.75" customHeight="1">
      <c r="A56" s="57"/>
      <c r="B56" s="175"/>
      <c r="C56" s="176" t="s">
        <v>135</v>
      </c>
      <c r="D56" s="170">
        <v>40812.36</v>
      </c>
      <c r="E56" s="170">
        <v>0.0</v>
      </c>
      <c r="F56" s="171">
        <v>0.0</v>
      </c>
      <c r="G56" s="171">
        <f t="shared" si="14"/>
        <v>0</v>
      </c>
      <c r="H56" s="171">
        <f t="shared" si="15"/>
        <v>40812.36</v>
      </c>
      <c r="I56" s="172"/>
      <c r="J56" s="173" t="s">
        <v>133</v>
      </c>
      <c r="K56" s="174" t="s">
        <v>133</v>
      </c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ht="15.75" customHeight="1">
      <c r="A57" s="57"/>
      <c r="B57" s="161"/>
      <c r="C57" s="176" t="s">
        <v>135</v>
      </c>
      <c r="D57" s="170">
        <v>113064.99</v>
      </c>
      <c r="E57" s="170">
        <v>0.0</v>
      </c>
      <c r="F57" s="171">
        <v>0.0</v>
      </c>
      <c r="G57" s="171">
        <f t="shared" si="14"/>
        <v>0</v>
      </c>
      <c r="H57" s="171">
        <f t="shared" si="15"/>
        <v>113064.99</v>
      </c>
      <c r="I57" s="172"/>
      <c r="J57" s="173" t="s">
        <v>133</v>
      </c>
      <c r="K57" s="174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ht="15.75" customHeight="1">
      <c r="A58" s="57"/>
      <c r="B58" s="161"/>
      <c r="C58" s="177" t="s">
        <v>136</v>
      </c>
      <c r="D58" s="170">
        <v>29881.75</v>
      </c>
      <c r="E58" s="170">
        <v>0.0</v>
      </c>
      <c r="F58" s="171">
        <v>0.0</v>
      </c>
      <c r="G58" s="171">
        <f t="shared" si="14"/>
        <v>0</v>
      </c>
      <c r="H58" s="171">
        <f t="shared" si="15"/>
        <v>29881.75</v>
      </c>
      <c r="I58" s="172"/>
      <c r="J58" s="173" t="s">
        <v>133</v>
      </c>
      <c r="K58" s="178">
        <v>46063.0</v>
      </c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ht="15.75" customHeight="1">
      <c r="A59" s="57"/>
      <c r="B59" s="161"/>
      <c r="C59" s="177" t="s">
        <v>137</v>
      </c>
      <c r="D59" s="179">
        <v>0.0</v>
      </c>
      <c r="E59" s="179">
        <v>465000.0</v>
      </c>
      <c r="F59" s="180">
        <v>0.0</v>
      </c>
      <c r="G59" s="171">
        <f t="shared" si="14"/>
        <v>465000</v>
      </c>
      <c r="H59" s="171">
        <f t="shared" si="15"/>
        <v>465000</v>
      </c>
      <c r="I59" s="172"/>
      <c r="J59" s="181"/>
      <c r="K59" s="175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ht="15.75" customHeight="1">
      <c r="A60" s="57"/>
      <c r="B60" s="161" t="s">
        <v>138</v>
      </c>
      <c r="C60" s="162"/>
      <c r="D60" s="182">
        <f t="shared" ref="D60:H60" si="16">SUM(D54:D59)</f>
        <v>785202.19</v>
      </c>
      <c r="E60" s="182">
        <f t="shared" si="16"/>
        <v>465000</v>
      </c>
      <c r="F60" s="182">
        <f t="shared" si="16"/>
        <v>0</v>
      </c>
      <c r="G60" s="182">
        <f t="shared" si="16"/>
        <v>465000</v>
      </c>
      <c r="H60" s="182">
        <f t="shared" si="16"/>
        <v>1250202.19</v>
      </c>
      <c r="I60" s="183"/>
      <c r="J60" s="181">
        <f>SUM(J54:J58)</f>
        <v>0</v>
      </c>
      <c r="K60" s="175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ht="15.75" customHeight="1">
      <c r="A61" s="57"/>
      <c r="B61" s="57"/>
      <c r="C61" s="57"/>
      <c r="D61" s="57"/>
      <c r="E61" s="57"/>
      <c r="F61" s="57"/>
      <c r="G61" s="165"/>
      <c r="H61" s="57"/>
      <c r="I61" s="57"/>
      <c r="J61" s="57"/>
      <c r="K61" s="61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ht="9.0" customHeight="1">
      <c r="A62" s="57"/>
      <c r="B62" s="57"/>
      <c r="C62" s="184"/>
      <c r="D62" s="184"/>
      <c r="E62" s="184"/>
      <c r="F62" s="184"/>
      <c r="G62" s="57"/>
      <c r="H62" s="4"/>
      <c r="I62" s="165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ht="20.25" customHeight="1">
      <c r="A63" s="57"/>
      <c r="B63" s="57"/>
      <c r="C63" s="92" t="s">
        <v>139</v>
      </c>
      <c r="D63" s="185" t="s">
        <v>140</v>
      </c>
      <c r="E63" s="185" t="s">
        <v>141</v>
      </c>
      <c r="F63" s="92" t="s">
        <v>142</v>
      </c>
      <c r="G63" s="158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ht="15.75" customHeight="1">
      <c r="A64" s="57"/>
      <c r="B64" s="57"/>
      <c r="C64" s="186" t="s">
        <v>143</v>
      </c>
      <c r="D64" s="187">
        <f>J28</f>
        <v>210055092.8</v>
      </c>
      <c r="E64" s="188">
        <v>1.0</v>
      </c>
      <c r="F64" s="189">
        <f t="shared" ref="F64:F66" si="17">D64*E64</f>
        <v>210055092.8</v>
      </c>
      <c r="G64" s="158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ht="15.75" customHeight="1">
      <c r="A65" s="57"/>
      <c r="B65" s="57"/>
      <c r="C65" s="186" t="s">
        <v>144</v>
      </c>
      <c r="D65" s="190">
        <f>J39/E39</f>
        <v>357336.67</v>
      </c>
      <c r="E65" s="191">
        <f>$E$31</f>
        <v>1359.37</v>
      </c>
      <c r="F65" s="189">
        <f t="shared" si="17"/>
        <v>485752749.1</v>
      </c>
      <c r="G65" s="158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ht="15.75" customHeight="1">
      <c r="A66" s="57"/>
      <c r="B66" s="57"/>
      <c r="C66" s="186" t="s">
        <v>145</v>
      </c>
      <c r="D66" s="192">
        <f>J30/E30</f>
        <v>2525</v>
      </c>
      <c r="E66" s="193">
        <f>E30</f>
        <v>1812.06</v>
      </c>
      <c r="F66" s="189">
        <f t="shared" si="17"/>
        <v>4575451.5</v>
      </c>
      <c r="G66" s="59"/>
      <c r="H66" s="57"/>
      <c r="I66" s="4"/>
      <c r="J66" s="4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ht="15.75" customHeight="1">
      <c r="A67" s="57"/>
      <c r="B67" s="57"/>
      <c r="C67" s="194" t="s">
        <v>146</v>
      </c>
      <c r="D67" s="162"/>
      <c r="E67" s="162"/>
      <c r="F67" s="195">
        <f>SUM(F64:F66)</f>
        <v>700383293.4</v>
      </c>
      <c r="G67" s="59"/>
      <c r="H67" s="57"/>
      <c r="I67" s="4"/>
      <c r="J67" s="4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ht="15.75" customHeight="1">
      <c r="A68" s="57"/>
      <c r="B68" s="57"/>
      <c r="C68" s="57"/>
      <c r="D68" s="57"/>
      <c r="E68" s="57"/>
      <c r="F68" s="57"/>
      <c r="G68" s="59"/>
      <c r="H68" s="165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ht="15.75" customHeight="1">
      <c r="A69" s="57"/>
      <c r="B69" s="57"/>
      <c r="C69" s="57"/>
      <c r="D69" s="57"/>
      <c r="E69" s="57"/>
      <c r="F69" s="4"/>
      <c r="G69" s="4"/>
      <c r="H69" s="165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ht="15.75" customHeight="1">
      <c r="A70" s="57"/>
      <c r="B70" s="57"/>
      <c r="C70" s="57"/>
      <c r="D70" s="57"/>
      <c r="E70" s="57"/>
      <c r="F70" s="57"/>
      <c r="G70" s="4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ht="15.75" customHeight="1">
      <c r="A71" s="57"/>
      <c r="B71" s="57"/>
      <c r="C71" s="57"/>
      <c r="D71" s="57"/>
      <c r="E71" s="57"/>
      <c r="F71" s="57"/>
      <c r="G71" s="4"/>
      <c r="H71" s="71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ht="15.75" customHeight="1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ht="15.75" customHeight="1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ht="15.75" customHeight="1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ht="15.75" customHeight="1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ht="15.75" customHeight="1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ht="15.75" customHeight="1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ht="15.75" customHeight="1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ht="15.75" customHeight="1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ht="15.75" customHeight="1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ht="15.75" customHeight="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ht="15.75" customHeight="1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ht="15.75" customHeight="1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ht="15.75" customHeight="1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ht="15.75" customHeight="1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ht="15.75" customHeight="1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ht="15.75" customHeight="1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ht="15.75" customHeight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ht="15.75" customHeight="1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ht="15.75" customHeight="1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ht="15.75" customHeight="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ht="15.75" customHeight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ht="15.75" customHeight="1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ht="15.75" customHeight="1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ht="15.75" customHeight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ht="15.75" customHeight="1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ht="15.75" customHeight="1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ht="15.75" customHeight="1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ht="15.75" customHeight="1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ht="15.75" customHeight="1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ht="15.75" customHeight="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ht="15.75" customHeight="1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ht="15.75" customHeight="1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ht="15.75" customHeight="1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ht="15.75" customHeight="1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ht="15.75" customHeight="1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ht="15.75" customHeight="1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ht="15.75" customHeight="1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ht="15.75" customHeight="1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ht="15.75" customHeight="1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ht="15.75" customHeight="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ht="15.75" customHeight="1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ht="15.75" customHeight="1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ht="15.75" customHeight="1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ht="15.75" customHeight="1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ht="15.75" customHeight="1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ht="15.75" customHeight="1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ht="15.75" customHeight="1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ht="15.75" customHeight="1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ht="15.75" customHeight="1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ht="15.75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ht="15.75" customHeight="1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ht="15.75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ht="15.75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ht="15.75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ht="15.75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ht="15.75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ht="15.75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ht="15.75" customHeight="1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ht="15.75" customHeight="1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ht="15.75" customHeight="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ht="15.75" customHeight="1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ht="15.75" customHeight="1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ht="15.75" customHeight="1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ht="15.75" customHeight="1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ht="15.75" customHeight="1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ht="15.75" customHeight="1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ht="15.75" customHeight="1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ht="15.75" customHeight="1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ht="15.75" customHeight="1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ht="15.75" customHeight="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ht="15.75" customHeight="1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ht="15.75" customHeight="1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ht="15.75" customHeight="1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ht="15.75" customHeight="1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ht="15.75" customHeight="1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ht="15.75" customHeight="1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ht="15.75" customHeight="1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ht="15.75" customHeight="1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ht="15.75" customHeight="1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ht="15.75" customHeight="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ht="15.75" customHeight="1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ht="15.75" customHeight="1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ht="15.75" customHeight="1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ht="15.75" customHeight="1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ht="15.75" customHeight="1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ht="15.75" customHeight="1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ht="15.75" customHeight="1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ht="15.75" customHeight="1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ht="15.75" customHeight="1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ht="15.75" customHeight="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ht="15.75" customHeight="1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ht="15.75" customHeight="1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ht="15.75" customHeight="1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ht="15.75" customHeight="1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ht="15.75" customHeight="1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ht="15.75" customHeight="1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ht="15.75" customHeight="1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ht="15.75" customHeight="1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ht="15.75" customHeight="1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ht="15.75" customHeight="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ht="15.75" customHeight="1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ht="15.75" customHeight="1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ht="15.75" customHeight="1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ht="15.75" customHeight="1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ht="15.75" customHeight="1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ht="15.75" customHeight="1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ht="15.75" customHeight="1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ht="15.75" customHeight="1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ht="15.75" customHeight="1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ht="15.75" customHeight="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ht="15.75" customHeight="1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ht="15.75" customHeight="1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ht="15.75" customHeight="1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ht="15.75" customHeight="1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ht="15.75" customHeight="1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ht="15.75" customHeight="1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ht="15.75" customHeight="1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ht="15.75" customHeight="1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ht="15.75" customHeight="1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ht="15.75" customHeight="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ht="15.75" customHeight="1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ht="15.75" customHeight="1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ht="15.75" customHeight="1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ht="15.75" customHeight="1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ht="15.75" customHeight="1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ht="15.75" customHeight="1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ht="15.75" customHeight="1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ht="15.75" customHeight="1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ht="15.75" customHeight="1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ht="15.75" customHeight="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ht="15.75" customHeight="1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ht="15.75" customHeight="1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ht="15.75" customHeight="1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ht="15.75" customHeight="1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ht="15.75" customHeight="1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ht="15.75" customHeight="1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ht="15.75" customHeight="1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ht="15.75" customHeight="1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ht="15.75" customHeight="1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ht="15.75" customHeight="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ht="15.75" customHeight="1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ht="15.75" customHeight="1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ht="15.75" customHeight="1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ht="15.75" customHeight="1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ht="15.75" customHeight="1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ht="15.75" customHeight="1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ht="15.75" customHeight="1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ht="15.75" customHeight="1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ht="15.75" customHeight="1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 ht="15.75" customHeight="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 ht="15.75" customHeight="1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 ht="15.75" customHeight="1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ht="15.75" customHeight="1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 ht="15.75" customHeight="1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 ht="15.75" customHeight="1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 ht="15.75" customHeight="1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 ht="15.75" customHeight="1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 ht="15.75" customHeight="1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 ht="15.75" customHeight="1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 ht="15.75" customHeight="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 ht="15.75" customHeight="1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 ht="15.75" customHeight="1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 ht="15.75" customHeight="1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 ht="15.75" customHeight="1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 ht="15.75" customHeight="1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 ht="15.75" customHeight="1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 ht="15.75" customHeight="1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 ht="15.75" customHeight="1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 ht="15.75" customHeight="1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 ht="15.75" customHeight="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 ht="15.75" customHeight="1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 ht="15.75" customHeight="1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 ht="15.75" customHeight="1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 ht="15.75" customHeight="1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 ht="15.75" customHeight="1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 ht="15.75" customHeight="1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 ht="15.75" customHeight="1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 ht="15.75" customHeight="1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 ht="15.75" customHeight="1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 ht="15.75" customHeight="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 ht="15.75" customHeight="1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 ht="15.75" customHeight="1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 ht="15.75" customHeight="1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 ht="15.75" customHeight="1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 ht="15.75" customHeight="1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 ht="15.75" customHeight="1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 ht="15.75" customHeight="1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 ht="15.75" customHeight="1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 ht="15.75" customHeight="1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 ht="15.75" customHeight="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 ht="15.75" customHeight="1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 ht="15.75" customHeight="1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 ht="15.75" customHeight="1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 ht="15.75" customHeight="1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 ht="15.75" customHeight="1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 ht="15.75" customHeight="1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60:C60"/>
    <mergeCell ref="C67:E67"/>
    <mergeCell ref="B2:K2"/>
    <mergeCell ref="B3:K3"/>
    <mergeCell ref="B4:K4"/>
    <mergeCell ref="B39:C39"/>
    <mergeCell ref="B43:J43"/>
    <mergeCell ref="B49:E49"/>
    <mergeCell ref="B52:J5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.0"/>
    <col customWidth="1" min="2" max="2" width="33.63"/>
    <col customWidth="1" min="3" max="3" width="16.5"/>
    <col customWidth="1" min="4" max="4" width="11.88"/>
    <col customWidth="1" min="5" max="5" width="2.75"/>
    <col customWidth="1" min="6" max="6" width="6.88"/>
    <col customWidth="1" min="7" max="7" width="37.38"/>
    <col customWidth="1" min="8" max="8" width="15.63"/>
    <col customWidth="1" min="9" max="9" width="23.38"/>
    <col customWidth="1" min="10" max="10" width="15.13"/>
    <col customWidth="1" min="11" max="11" width="14.13"/>
    <col customWidth="1" min="13" max="13" width="13.5"/>
  </cols>
  <sheetData>
    <row r="1" ht="15.75" customHeight="1">
      <c r="A1" s="1"/>
      <c r="B1" s="13"/>
      <c r="C1" s="13"/>
      <c r="D1" s="13"/>
      <c r="E1" s="1"/>
      <c r="F1" s="1"/>
      <c r="G1" s="196"/>
      <c r="H1" s="196"/>
      <c r="I1" s="196"/>
      <c r="J1" s="19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1"/>
      <c r="B2" s="13"/>
      <c r="C2" s="13"/>
      <c r="D2" s="13"/>
      <c r="E2" s="1"/>
      <c r="F2" s="1"/>
      <c r="G2" s="197" t="s">
        <v>147</v>
      </c>
      <c r="H2" s="88"/>
      <c r="I2" s="88"/>
      <c r="J2" s="89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75" customHeight="1">
      <c r="A3" s="1"/>
      <c r="B3" s="198" t="s">
        <v>148</v>
      </c>
      <c r="C3" s="199" t="s">
        <v>149</v>
      </c>
      <c r="D3" s="200" t="s">
        <v>150</v>
      </c>
      <c r="E3" s="1"/>
      <c r="F3" s="1"/>
      <c r="G3" s="201" t="s">
        <v>151</v>
      </c>
      <c r="H3" s="200" t="s">
        <v>149</v>
      </c>
      <c r="I3" s="201" t="s">
        <v>152</v>
      </c>
      <c r="J3" s="201" t="s">
        <v>153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75" customHeight="1">
      <c r="A4" s="1"/>
      <c r="B4" s="202" t="s">
        <v>75</v>
      </c>
      <c r="C4" s="203">
        <v>5.8530046E7</v>
      </c>
      <c r="D4" s="204">
        <f t="shared" ref="D4:D6" si="1">C4/$C$7</f>
        <v>0.97561147</v>
      </c>
      <c r="E4" s="1"/>
      <c r="F4" s="1"/>
      <c r="G4" s="196" t="s">
        <v>154</v>
      </c>
      <c r="H4" s="205">
        <f>'Cash Report'!F28</f>
        <v>238088272.2</v>
      </c>
      <c r="I4" s="206">
        <v>1.0</v>
      </c>
      <c r="J4" s="207">
        <f t="shared" ref="J4:J6" si="2">H4*I4</f>
        <v>238088272.2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75" customHeight="1">
      <c r="A5" s="1"/>
      <c r="B5" s="202" t="s">
        <v>62</v>
      </c>
      <c r="C5" s="203">
        <v>1455945.7563999998</v>
      </c>
      <c r="D5" s="204">
        <f t="shared" si="1"/>
        <v>0.02426851637</v>
      </c>
      <c r="E5" s="1"/>
      <c r="F5" s="1"/>
      <c r="G5" s="196" t="s">
        <v>155</v>
      </c>
      <c r="H5" s="208">
        <f>'Cash Report'!D39</f>
        <v>354445.97</v>
      </c>
      <c r="I5" s="209">
        <f>'Cash Report'!$E$31</f>
        <v>1359.37</v>
      </c>
      <c r="J5" s="207">
        <f t="shared" si="2"/>
        <v>481823218.2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75" customHeight="1">
      <c r="A6" s="1"/>
      <c r="B6" s="202" t="s">
        <v>69</v>
      </c>
      <c r="C6" s="203">
        <v>7200.0</v>
      </c>
      <c r="D6" s="204">
        <f t="shared" si="1"/>
        <v>0.000120013618</v>
      </c>
      <c r="E6" s="1"/>
      <c r="F6" s="1"/>
      <c r="G6" s="196" t="s">
        <v>156</v>
      </c>
      <c r="H6" s="210">
        <v>2525.0</v>
      </c>
      <c r="I6" s="211">
        <f>'Cash Report'!E30</f>
        <v>1812.06</v>
      </c>
      <c r="J6" s="207">
        <f t="shared" si="2"/>
        <v>4575451.5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75" customHeight="1">
      <c r="A7" s="1"/>
      <c r="B7" s="212" t="s">
        <v>157</v>
      </c>
      <c r="C7" s="213">
        <f>SUM(C4:C6)</f>
        <v>59993191.76</v>
      </c>
      <c r="D7" s="213">
        <f>C7/$C$7*100</f>
        <v>100</v>
      </c>
      <c r="E7" s="1"/>
      <c r="F7" s="1"/>
      <c r="G7" s="214"/>
      <c r="H7" s="207"/>
      <c r="I7" s="196"/>
      <c r="J7" s="21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5.75" customHeight="1">
      <c r="A8" s="1"/>
      <c r="B8" s="215"/>
      <c r="C8" s="216"/>
      <c r="D8" s="207"/>
      <c r="E8" s="1"/>
      <c r="F8" s="1"/>
      <c r="G8" s="214" t="s">
        <v>158</v>
      </c>
      <c r="H8" s="207"/>
      <c r="I8" s="196"/>
      <c r="J8" s="213">
        <f>J4+J5+J6</f>
        <v>724486942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5.75" customHeight="1">
      <c r="A9" s="1"/>
      <c r="B9" s="212" t="s">
        <v>27</v>
      </c>
      <c r="C9" s="201" t="s">
        <v>149</v>
      </c>
      <c r="D9" s="200" t="s">
        <v>150</v>
      </c>
      <c r="E9" s="1"/>
      <c r="F9" s="1"/>
      <c r="G9" s="215"/>
      <c r="H9" s="217"/>
      <c r="I9" s="215"/>
      <c r="J9" s="215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5.75" customHeight="1">
      <c r="A10" s="1"/>
      <c r="B10" s="218" t="s">
        <v>31</v>
      </c>
      <c r="C10" s="219">
        <v>5457599.94</v>
      </c>
      <c r="D10" s="207">
        <f t="shared" ref="D10:D18" si="3">C10/C$19*100</f>
        <v>6.489661107</v>
      </c>
      <c r="E10" s="1"/>
      <c r="F10" s="1"/>
      <c r="G10" s="220" t="s">
        <v>159</v>
      </c>
      <c r="H10" s="200" t="s">
        <v>149</v>
      </c>
      <c r="I10" s="200" t="s">
        <v>150</v>
      </c>
      <c r="J10" s="215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5.75" customHeight="1">
      <c r="A11" s="1"/>
      <c r="B11" s="218" t="s">
        <v>16</v>
      </c>
      <c r="C11" s="203">
        <v>2789427.2399999998</v>
      </c>
      <c r="D11" s="207">
        <f t="shared" si="3"/>
        <v>3.316922762</v>
      </c>
      <c r="E11" s="1"/>
      <c r="F11" s="1"/>
      <c r="G11" s="221" t="s">
        <v>75</v>
      </c>
      <c r="H11" s="203">
        <v>5.8530046E7</v>
      </c>
      <c r="I11" s="204">
        <v>0.975611470009113</v>
      </c>
      <c r="J11" s="196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5.75" customHeight="1">
      <c r="A12" s="1"/>
      <c r="B12" s="218" t="s">
        <v>11</v>
      </c>
      <c r="C12" s="219">
        <v>1.6314841019299999E7</v>
      </c>
      <c r="D12" s="207">
        <f t="shared" si="3"/>
        <v>19.4000642</v>
      </c>
      <c r="E12" s="1"/>
      <c r="F12" s="1"/>
      <c r="G12" s="221" t="s">
        <v>62</v>
      </c>
      <c r="H12" s="216">
        <v>1455945.7563999998</v>
      </c>
      <c r="I12" s="204">
        <v>0.024268516372854616</v>
      </c>
      <c r="J12" s="19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5.75" customHeight="1">
      <c r="A13" s="1"/>
      <c r="B13" s="202" t="s">
        <v>35</v>
      </c>
      <c r="C13" s="203">
        <v>2.252781675E7</v>
      </c>
      <c r="D13" s="207">
        <f t="shared" si="3"/>
        <v>26.78794668</v>
      </c>
      <c r="E13" s="1"/>
      <c r="F13" s="1"/>
      <c r="G13" s="215" t="s">
        <v>69</v>
      </c>
      <c r="H13" s="222">
        <v>7200.0</v>
      </c>
      <c r="I13" s="204">
        <v>1.2001361803244804E-4</v>
      </c>
      <c r="J13" s="19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5.75" customHeight="1">
      <c r="A14" s="1"/>
      <c r="B14" s="202" t="s">
        <v>8</v>
      </c>
      <c r="C14" s="203">
        <v>3.420132576E7</v>
      </c>
      <c r="D14" s="207">
        <f t="shared" si="3"/>
        <v>40.66897831</v>
      </c>
      <c r="E14" s="1"/>
      <c r="F14" s="1"/>
      <c r="G14" s="223"/>
      <c r="H14" s="224">
        <f t="shared" ref="H14:I14" si="4">SUM(H11:H13)</f>
        <v>59993191.76</v>
      </c>
      <c r="I14" s="225">
        <f t="shared" si="4"/>
        <v>1</v>
      </c>
      <c r="J14" s="226">
        <f>H14</f>
        <v>59993191.76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5.75" customHeight="1">
      <c r="A15" s="1"/>
      <c r="B15" s="215" t="s">
        <v>20</v>
      </c>
      <c r="C15" s="222">
        <v>2174992.0</v>
      </c>
      <c r="D15" s="207">
        <f t="shared" si="3"/>
        <v>2.586294552</v>
      </c>
      <c r="E15" s="1"/>
      <c r="F15" s="1"/>
      <c r="G15" s="227" t="s">
        <v>160</v>
      </c>
      <c r="H15" s="207"/>
      <c r="I15" s="196"/>
      <c r="J15" s="228">
        <f>SUM(J8:J14)</f>
        <v>784480133.7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>
      <c r="A16" s="1"/>
      <c r="B16" s="202" t="s">
        <v>14</v>
      </c>
      <c r="C16" s="203">
        <v>271874.0</v>
      </c>
      <c r="D16" s="207">
        <f t="shared" si="3"/>
        <v>0.323286819</v>
      </c>
      <c r="E16" s="1"/>
      <c r="F16" s="1"/>
      <c r="G16" s="214"/>
      <c r="H16" s="207"/>
      <c r="I16" s="196"/>
      <c r="J16" s="228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>
      <c r="A17" s="1"/>
      <c r="B17" s="202" t="s">
        <v>40</v>
      </c>
      <c r="C17" s="203">
        <v>23963.638099999996</v>
      </c>
      <c r="D17" s="207">
        <f t="shared" si="3"/>
        <v>0.02849528948</v>
      </c>
      <c r="E17" s="1"/>
      <c r="F17" s="1"/>
      <c r="G17" s="214" t="s">
        <v>27</v>
      </c>
      <c r="H17" s="229"/>
      <c r="I17" s="200" t="s">
        <v>150</v>
      </c>
      <c r="J17" s="19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1"/>
      <c r="B18" s="202" t="s">
        <v>42</v>
      </c>
      <c r="C18" s="219">
        <v>335000.0</v>
      </c>
      <c r="D18" s="207">
        <f t="shared" si="3"/>
        <v>0.3983502812</v>
      </c>
      <c r="E18" s="1"/>
      <c r="F18" s="1"/>
      <c r="G18" s="218" t="s">
        <v>31</v>
      </c>
      <c r="H18" s="219">
        <v>5457599.94</v>
      </c>
      <c r="I18" s="207">
        <v>6.489661106713306</v>
      </c>
      <c r="J18" s="196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1"/>
      <c r="B19" s="196" t="s">
        <v>161</v>
      </c>
      <c r="C19" s="230">
        <f t="shared" ref="C19:D19" si="5">SUM(C10:C18)</f>
        <v>84096840.35</v>
      </c>
      <c r="D19" s="213">
        <f t="shared" si="5"/>
        <v>100</v>
      </c>
      <c r="E19" s="1"/>
      <c r="F19" s="1"/>
      <c r="G19" s="218" t="s">
        <v>16</v>
      </c>
      <c r="H19" s="203">
        <v>2789427.2399999998</v>
      </c>
      <c r="I19" s="207">
        <v>3.316922762468852</v>
      </c>
      <c r="J19" s="196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1"/>
      <c r="B20" s="231" t="s">
        <v>162</v>
      </c>
      <c r="C20" s="232">
        <f>C7-C19</f>
        <v>-24103648.59</v>
      </c>
      <c r="D20" s="196"/>
      <c r="E20" s="1"/>
      <c r="F20" s="1"/>
      <c r="G20" s="218" t="s">
        <v>11</v>
      </c>
      <c r="H20" s="219">
        <v>1.6314841019299999E7</v>
      </c>
      <c r="I20" s="207">
        <v>19.400064202060598</v>
      </c>
      <c r="J20" s="196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1"/>
      <c r="E21" s="1"/>
      <c r="F21" s="1"/>
      <c r="G21" s="202" t="s">
        <v>35</v>
      </c>
      <c r="H21" s="203">
        <v>2.252781675E7</v>
      </c>
      <c r="I21" s="207">
        <v>26.787946677828412</v>
      </c>
      <c r="J21" s="196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1"/>
      <c r="E22" s="1"/>
      <c r="F22" s="1"/>
      <c r="G22" s="202" t="s">
        <v>8</v>
      </c>
      <c r="H22" s="203">
        <v>3.420132576E7</v>
      </c>
      <c r="I22" s="207">
        <v>40.66897830966772</v>
      </c>
      <c r="J22" s="228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3.5" customHeight="1">
      <c r="A23" s="1"/>
      <c r="E23" s="1"/>
      <c r="F23" s="1"/>
      <c r="G23" s="202" t="s">
        <v>20</v>
      </c>
      <c r="H23" s="203">
        <v>2174992.0</v>
      </c>
      <c r="I23" s="207">
        <v>2.586294551632633</v>
      </c>
      <c r="J23" s="228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3.5" customHeight="1">
      <c r="A24" s="1"/>
      <c r="E24" s="1"/>
      <c r="F24" s="1"/>
      <c r="G24" s="202" t="s">
        <v>14</v>
      </c>
      <c r="H24" s="203">
        <v>271874.0</v>
      </c>
      <c r="I24" s="207">
        <v>0.3232868189540791</v>
      </c>
      <c r="J24" s="228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3.5" customHeight="1">
      <c r="A25" s="1"/>
      <c r="B25" s="13"/>
      <c r="C25" s="13"/>
      <c r="D25" s="1"/>
      <c r="E25" s="1"/>
      <c r="F25" s="1"/>
      <c r="G25" s="202" t="s">
        <v>40</v>
      </c>
      <c r="H25" s="203">
        <v>23963.638099999996</v>
      </c>
      <c r="I25" s="207">
        <v>0.02849528947937564</v>
      </c>
      <c r="J25" s="228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3.5" customHeight="1">
      <c r="A26" s="1"/>
      <c r="B26" s="13"/>
      <c r="C26" s="13"/>
      <c r="D26" s="1"/>
      <c r="E26" s="1"/>
      <c r="F26" s="1"/>
      <c r="G26" s="202" t="s">
        <v>42</v>
      </c>
      <c r="H26" s="219">
        <v>335000.0</v>
      </c>
      <c r="I26" s="207">
        <v>0.398350281195026</v>
      </c>
      <c r="J26" s="228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3.5" customHeight="1">
      <c r="A27" s="1"/>
      <c r="B27" s="13"/>
      <c r="C27" s="13"/>
      <c r="D27" s="1"/>
      <c r="E27" s="1"/>
      <c r="F27" s="1"/>
      <c r="G27" s="196"/>
      <c r="H27" s="213">
        <f t="shared" ref="H27:I27" si="6">SUM(H18:H26)</f>
        <v>84096840.35</v>
      </c>
      <c r="I27" s="228">
        <f t="shared" si="6"/>
        <v>100</v>
      </c>
      <c r="J27" s="228">
        <f>H27</f>
        <v>84096840.35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3.5" customHeight="1">
      <c r="A28" s="1"/>
      <c r="B28" s="13"/>
      <c r="C28" s="13"/>
      <c r="D28" s="1"/>
      <c r="E28" s="1"/>
      <c r="F28" s="1"/>
      <c r="G28" s="214" t="s">
        <v>163</v>
      </c>
      <c r="H28" s="213"/>
      <c r="I28" s="196"/>
      <c r="J28" s="228">
        <f>J15-J27</f>
        <v>700383293.4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3.5" customHeight="1">
      <c r="A29" s="1"/>
      <c r="B29" s="13"/>
      <c r="C29" s="13"/>
      <c r="D29" s="1"/>
      <c r="E29" s="1"/>
      <c r="F29" s="1"/>
      <c r="G29" s="196"/>
      <c r="H29" s="213"/>
      <c r="I29" s="196"/>
      <c r="J29" s="228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/>
      <c r="B30" s="13"/>
      <c r="C30" s="13"/>
      <c r="D30" s="1"/>
      <c r="E30" s="1"/>
      <c r="F30" s="1"/>
      <c r="G30" s="233" t="s">
        <v>164</v>
      </c>
      <c r="H30" s="234"/>
      <c r="I30" s="235"/>
      <c r="J30" s="228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"/>
      <c r="B31" s="13"/>
      <c r="C31" s="13"/>
      <c r="D31" s="1"/>
      <c r="E31" s="1"/>
      <c r="F31" s="1"/>
      <c r="G31" s="236" t="s">
        <v>165</v>
      </c>
      <c r="H31" s="237">
        <v>768.9400000000005</v>
      </c>
      <c r="I31" s="238">
        <f>'Cash Report'!$E$31</f>
        <v>1359.37</v>
      </c>
      <c r="J31" s="239">
        <f>H31*I31</f>
        <v>1045273.968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/>
      <c r="B32" s="1"/>
      <c r="C32" s="1"/>
      <c r="D32" s="1"/>
      <c r="E32" s="1"/>
      <c r="F32" s="1"/>
      <c r="G32" s="240"/>
      <c r="H32" s="241"/>
      <c r="I32" s="242"/>
      <c r="J32" s="24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"/>
      <c r="B33" s="1"/>
      <c r="C33" s="1"/>
      <c r="D33" s="1"/>
      <c r="E33" s="1"/>
      <c r="F33" s="1"/>
      <c r="G33" s="244" t="s">
        <v>166</v>
      </c>
      <c r="H33" s="237">
        <f>SUM(H31)</f>
        <v>768.94</v>
      </c>
      <c r="I33" s="238">
        <f>'Cash Report'!$E$31</f>
        <v>1359.37</v>
      </c>
      <c r="J33" s="228">
        <f>H33*I33</f>
        <v>1045273.968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/>
      <c r="B34" s="1"/>
      <c r="C34" s="1"/>
      <c r="D34" s="1"/>
      <c r="E34" s="1"/>
      <c r="F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"/>
      <c r="B35" s="1"/>
      <c r="C35" s="1"/>
      <c r="D35" s="1"/>
      <c r="E35" s="1"/>
      <c r="F35" s="1"/>
      <c r="G35" s="13"/>
      <c r="H35" s="13"/>
      <c r="I35" s="13"/>
      <c r="J35" s="1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"/>
      <c r="B36" s="1"/>
      <c r="C36" s="1"/>
      <c r="D36" s="1"/>
      <c r="E36" s="1"/>
      <c r="F36" s="1"/>
      <c r="G36" s="13"/>
      <c r="H36" s="13"/>
      <c r="I36" s="13"/>
      <c r="J36" s="1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/>
      <c r="B37" s="1"/>
      <c r="C37" s="1"/>
      <c r="D37" s="1"/>
      <c r="E37" s="1"/>
      <c r="F37" s="1"/>
      <c r="G37" s="245" t="s">
        <v>167</v>
      </c>
      <c r="H37" s="88"/>
      <c r="I37" s="88"/>
      <c r="J37" s="246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/>
      <c r="B38" s="1"/>
      <c r="C38" s="1"/>
      <c r="D38" s="1"/>
      <c r="E38" s="1"/>
      <c r="F38" s="1"/>
      <c r="G38" s="247" t="s">
        <v>168</v>
      </c>
      <c r="H38" s="247" t="s">
        <v>169</v>
      </c>
      <c r="I38" s="248" t="s">
        <v>170</v>
      </c>
      <c r="J38" s="246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/>
      <c r="B39" s="1"/>
      <c r="C39" s="1"/>
      <c r="D39" s="1"/>
      <c r="E39" s="1"/>
      <c r="F39" s="1"/>
      <c r="G39" s="249" t="s">
        <v>171</v>
      </c>
      <c r="H39" s="250">
        <v>1400000.0</v>
      </c>
      <c r="I39" s="251" t="s">
        <v>172</v>
      </c>
      <c r="J39" s="25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/>
      <c r="B40" s="1"/>
      <c r="C40" s="1"/>
      <c r="D40" s="1"/>
      <c r="E40" s="1"/>
      <c r="F40" s="1"/>
      <c r="G40" s="249" t="s">
        <v>173</v>
      </c>
      <c r="H40" s="250">
        <v>200000.0</v>
      </c>
      <c r="I40" s="251" t="s">
        <v>174</v>
      </c>
      <c r="J40" s="25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1"/>
      <c r="C41" s="1"/>
      <c r="D41" s="1"/>
      <c r="E41" s="1"/>
      <c r="F41" s="1"/>
      <c r="G41" s="249" t="s">
        <v>175</v>
      </c>
      <c r="H41" s="250">
        <v>77437.0</v>
      </c>
      <c r="I41" s="249" t="s">
        <v>176</v>
      </c>
      <c r="J41" s="25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1"/>
      <c r="C42" s="1"/>
      <c r="D42" s="1"/>
      <c r="E42" s="1"/>
      <c r="F42" s="1"/>
      <c r="G42" s="251" t="s">
        <v>177</v>
      </c>
      <c r="H42" s="250">
        <v>24000.0</v>
      </c>
      <c r="I42" s="249" t="s">
        <v>178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1"/>
      <c r="C43" s="1"/>
      <c r="D43" s="1"/>
      <c r="E43" s="1"/>
      <c r="F43" s="1"/>
      <c r="G43" s="249" t="s">
        <v>179</v>
      </c>
      <c r="H43" s="250">
        <v>16660.0</v>
      </c>
      <c r="I43" s="249" t="s">
        <v>180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1"/>
      <c r="C44" s="1"/>
      <c r="D44" s="1"/>
      <c r="E44" s="1"/>
      <c r="F44" s="1"/>
      <c r="G44" s="249" t="s">
        <v>181</v>
      </c>
      <c r="H44" s="250">
        <v>148040.0</v>
      </c>
      <c r="I44" s="249" t="s">
        <v>182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1"/>
      <c r="C45" s="1"/>
      <c r="D45" s="1"/>
      <c r="E45" s="1"/>
      <c r="F45" s="1"/>
      <c r="G45" s="249" t="s">
        <v>183</v>
      </c>
      <c r="H45" s="250">
        <v>85000.0</v>
      </c>
      <c r="I45" s="249" t="s">
        <v>184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1"/>
      <c r="C46" s="1"/>
      <c r="D46" s="1"/>
      <c r="E46" s="1"/>
      <c r="F46" s="1"/>
      <c r="G46" s="251" t="s">
        <v>185</v>
      </c>
      <c r="H46" s="250">
        <v>2169440.0</v>
      </c>
      <c r="I46" s="249" t="s">
        <v>186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1"/>
      <c r="C47" s="1"/>
      <c r="D47" s="1"/>
      <c r="E47" s="1"/>
      <c r="F47" s="1"/>
      <c r="G47" s="249" t="s">
        <v>183</v>
      </c>
      <c r="H47" s="250">
        <v>14700.0</v>
      </c>
      <c r="I47" s="249" t="s">
        <v>187</v>
      </c>
      <c r="J47" s="1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13"/>
      <c r="C48" s="13"/>
      <c r="D48" s="13"/>
      <c r="E48" s="1"/>
      <c r="F48" s="1"/>
      <c r="G48" s="249" t="s">
        <v>188</v>
      </c>
      <c r="H48" s="250">
        <v>395985.74</v>
      </c>
      <c r="I48" s="249" t="s">
        <v>189</v>
      </c>
      <c r="J48" s="1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3"/>
      <c r="B49" s="13"/>
      <c r="C49" s="13"/>
      <c r="D49" s="13"/>
      <c r="E49" s="13"/>
      <c r="F49" s="13"/>
      <c r="G49" s="251" t="s">
        <v>190</v>
      </c>
      <c r="H49" s="250">
        <v>172725.58</v>
      </c>
      <c r="I49" s="249" t="s">
        <v>191</v>
      </c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ht="15.75" customHeight="1">
      <c r="A50" s="13"/>
      <c r="B50" s="13"/>
      <c r="C50" s="13"/>
      <c r="D50" s="13"/>
      <c r="E50" s="13"/>
      <c r="F50" s="13"/>
      <c r="G50" s="251" t="s">
        <v>192</v>
      </c>
      <c r="H50" s="250">
        <v>341325.0</v>
      </c>
      <c r="I50" s="249" t="s">
        <v>193</v>
      </c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ht="15.75" customHeight="1">
      <c r="A51" s="13"/>
      <c r="B51" s="13"/>
      <c r="C51" s="13"/>
      <c r="D51" s="13"/>
      <c r="E51" s="13"/>
      <c r="F51" s="13"/>
      <c r="G51" s="251" t="s">
        <v>194</v>
      </c>
      <c r="H51" s="250">
        <v>412286.62</v>
      </c>
      <c r="I51" s="249" t="s">
        <v>195</v>
      </c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ht="15.75" customHeight="1">
      <c r="A52" s="13"/>
      <c r="B52" s="13"/>
      <c r="C52" s="13"/>
      <c r="D52" s="13"/>
      <c r="E52" s="13"/>
      <c r="F52" s="13"/>
      <c r="G52" s="253"/>
      <c r="H52" s="254">
        <f>SUM(H39:H51)</f>
        <v>5457599.94</v>
      </c>
      <c r="I52" s="25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G2:J2"/>
    <mergeCell ref="G37:I3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33.13"/>
    <col customWidth="1" min="3" max="3" width="15.38"/>
    <col customWidth="1" min="4" max="4" width="15.5"/>
    <col customWidth="1" min="5" max="6" width="17.5"/>
    <col customWidth="1" min="7" max="7" width="16.63"/>
    <col customWidth="1" min="8" max="8" width="34.63"/>
    <col customWidth="1" min="9" max="9" width="18.0"/>
    <col customWidth="1" min="10" max="10" width="19.5"/>
    <col customWidth="1" min="11" max="11" width="17.75"/>
    <col customWidth="1" min="12" max="12" width="16.13"/>
  </cols>
  <sheetData>
    <row r="1" ht="15.7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5.75" customHeight="1">
      <c r="A2" s="13"/>
      <c r="B2" s="255" t="s">
        <v>196</v>
      </c>
      <c r="C2" s="88"/>
      <c r="D2" s="88"/>
      <c r="E2" s="88"/>
      <c r="F2" s="88"/>
      <c r="G2" s="89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5.75" customHeight="1">
      <c r="A3" s="13"/>
      <c r="B3" s="256" t="s">
        <v>197</v>
      </c>
      <c r="C3" s="257" t="s">
        <v>198</v>
      </c>
      <c r="D3" s="258" t="s">
        <v>199</v>
      </c>
      <c r="E3" s="258" t="s">
        <v>200</v>
      </c>
      <c r="F3" s="259" t="s">
        <v>201</v>
      </c>
      <c r="G3" s="259" t="s">
        <v>153</v>
      </c>
      <c r="H3" s="260"/>
      <c r="I3" s="260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5.75" customHeight="1">
      <c r="A4" s="13"/>
      <c r="B4" s="215" t="s">
        <v>202</v>
      </c>
      <c r="C4" s="261">
        <f>'Cash Report'!D64</f>
        <v>210055092.8</v>
      </c>
      <c r="D4" s="216">
        <v>0.0</v>
      </c>
      <c r="E4" s="262">
        <v>0.0</v>
      </c>
      <c r="F4" s="263">
        <v>1.0</v>
      </c>
      <c r="G4" s="261">
        <f>C4*F4</f>
        <v>210055092.8</v>
      </c>
      <c r="H4" s="264"/>
      <c r="I4" s="260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5.75" customHeight="1">
      <c r="A5" s="13"/>
      <c r="B5" s="215" t="s">
        <v>203</v>
      </c>
      <c r="C5" s="261">
        <v>0.0</v>
      </c>
      <c r="D5" s="131">
        <f>'Cash Report'!D65</f>
        <v>357336.67</v>
      </c>
      <c r="E5" s="265">
        <v>0.0</v>
      </c>
      <c r="F5" s="211">
        <f>'Cash Report'!$E$31</f>
        <v>1359.37</v>
      </c>
      <c r="G5" s="261">
        <f>'Cash Report'!J39</f>
        <v>485752749.1</v>
      </c>
      <c r="H5" s="260"/>
      <c r="I5" s="260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5.75" customHeight="1">
      <c r="A6" s="13"/>
      <c r="B6" s="215" t="s">
        <v>204</v>
      </c>
      <c r="C6" s="261">
        <v>0.0</v>
      </c>
      <c r="D6" s="131">
        <v>0.0</v>
      </c>
      <c r="E6" s="265">
        <f>'Cash Report'!D66</f>
        <v>2525</v>
      </c>
      <c r="F6" s="266">
        <f>'Cash Report'!E30</f>
        <v>1812.06</v>
      </c>
      <c r="G6" s="261">
        <f>'Cash Report'!F66</f>
        <v>4575451.5</v>
      </c>
      <c r="H6" s="267"/>
      <c r="I6" s="260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5.75" customHeight="1">
      <c r="A7" s="13"/>
      <c r="B7" s="268" t="s">
        <v>205</v>
      </c>
      <c r="C7" s="261">
        <v>0.0</v>
      </c>
      <c r="D7" s="131">
        <f>'Breakdown of Income and Expendi'!H33</f>
        <v>768.94</v>
      </c>
      <c r="E7" s="265">
        <v>0.0</v>
      </c>
      <c r="F7" s="211">
        <f>'Cash Report'!$E$31</f>
        <v>1359.37</v>
      </c>
      <c r="G7" s="261">
        <f>D7*F7</f>
        <v>1045273.968</v>
      </c>
      <c r="H7" s="267"/>
      <c r="I7" s="260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5.75" customHeight="1">
      <c r="A8" s="13"/>
      <c r="B8" s="245" t="s">
        <v>146</v>
      </c>
      <c r="C8" s="269">
        <f t="shared" ref="C8:E8" si="1">SUM(C4:C7)</f>
        <v>210055092.8</v>
      </c>
      <c r="D8" s="270">
        <f t="shared" si="1"/>
        <v>358105.61</v>
      </c>
      <c r="E8" s="271">
        <f t="shared" si="1"/>
        <v>2525</v>
      </c>
      <c r="F8" s="259"/>
      <c r="G8" s="272">
        <f>SUM(G4:G7)</f>
        <v>701428567.4</v>
      </c>
      <c r="H8" s="77"/>
      <c r="I8" s="260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5.75" customHeight="1">
      <c r="A9" s="13"/>
      <c r="B9" s="13"/>
      <c r="C9" s="273"/>
      <c r="D9" s="13"/>
      <c r="E9" s="27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5.75" customHeight="1">
      <c r="A11" s="13"/>
      <c r="B11" s="255" t="s">
        <v>206</v>
      </c>
      <c r="C11" s="88"/>
      <c r="D11" s="88"/>
      <c r="E11" s="88"/>
      <c r="F11" s="88"/>
      <c r="G11" s="88"/>
      <c r="H11" s="89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5.75" customHeight="1">
      <c r="A12" s="13"/>
      <c r="B12" s="274" t="s">
        <v>207</v>
      </c>
      <c r="C12" s="275" t="s">
        <v>208</v>
      </c>
      <c r="D12" s="275" t="s">
        <v>209</v>
      </c>
      <c r="E12" s="275" t="s">
        <v>4</v>
      </c>
      <c r="F12" s="275" t="s">
        <v>131</v>
      </c>
      <c r="G12" s="259" t="s">
        <v>210</v>
      </c>
      <c r="H12" s="275" t="s">
        <v>211</v>
      </c>
      <c r="I12" s="13"/>
      <c r="J12" s="13"/>
      <c r="K12" s="276"/>
      <c r="L12" s="27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5.75" customHeight="1">
      <c r="A13" s="13"/>
      <c r="B13" s="253" t="s">
        <v>212</v>
      </c>
      <c r="C13" s="277">
        <f>59500-59500</f>
        <v>0</v>
      </c>
      <c r="D13" s="278">
        <v>689.68</v>
      </c>
      <c r="E13" s="277">
        <f t="shared" ref="E13:E18" si="2">SUM(C13:D13)</f>
        <v>689.68</v>
      </c>
      <c r="F13" s="279" t="s">
        <v>133</v>
      </c>
      <c r="G13" s="215" t="s">
        <v>213</v>
      </c>
      <c r="H13" s="279"/>
      <c r="I13" s="280"/>
      <c r="J13" s="13"/>
      <c r="K13" s="273"/>
      <c r="L13" s="27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5.75" customHeight="1">
      <c r="A14" s="13"/>
      <c r="B14" s="253" t="s">
        <v>214</v>
      </c>
      <c r="C14" s="131">
        <f>752544.4-123000-60000-100000</f>
        <v>469544.4</v>
      </c>
      <c r="D14" s="278">
        <v>131209.01</v>
      </c>
      <c r="E14" s="277">
        <f t="shared" si="2"/>
        <v>600753.41</v>
      </c>
      <c r="F14" s="279" t="s">
        <v>133</v>
      </c>
      <c r="G14" s="215" t="s">
        <v>213</v>
      </c>
      <c r="H14" s="279"/>
      <c r="I14" s="280"/>
      <c r="J14" s="13"/>
      <c r="K14" s="27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281"/>
      <c r="B15" s="253" t="s">
        <v>215</v>
      </c>
      <c r="C15" s="131">
        <v>111975.34870967735</v>
      </c>
      <c r="D15" s="278">
        <v>1089.64</v>
      </c>
      <c r="E15" s="277">
        <f t="shared" si="2"/>
        <v>113064.9887</v>
      </c>
      <c r="F15" s="279" t="s">
        <v>133</v>
      </c>
      <c r="G15" s="215" t="s">
        <v>213</v>
      </c>
      <c r="H15" s="282"/>
      <c r="I15" s="280"/>
      <c r="J15" s="283">
        <f>E19+E25</f>
        <v>1250971.179</v>
      </c>
      <c r="K15" s="281"/>
      <c r="L15" s="281"/>
      <c r="M15" s="281"/>
      <c r="N15" s="281"/>
      <c r="O15" s="281"/>
      <c r="P15" s="281"/>
      <c r="Q15" s="281"/>
      <c r="R15" s="281"/>
      <c r="S15" s="281"/>
      <c r="T15" s="281"/>
      <c r="U15" s="281"/>
      <c r="V15" s="281"/>
      <c r="W15" s="281"/>
      <c r="X15" s="281"/>
      <c r="Y15" s="281"/>
      <c r="Z15" s="281"/>
    </row>
    <row r="16" ht="15.75" customHeight="1">
      <c r="A16" s="13"/>
      <c r="B16" s="253" t="s">
        <v>216</v>
      </c>
      <c r="C16" s="131">
        <v>0.0</v>
      </c>
      <c r="D16" s="284">
        <v>29881.75</v>
      </c>
      <c r="E16" s="277">
        <f t="shared" si="2"/>
        <v>29881.75</v>
      </c>
      <c r="F16" s="285"/>
      <c r="G16" s="215"/>
      <c r="H16" s="279"/>
      <c r="I16" s="286"/>
      <c r="J16" s="66">
        <f>J15*F7</f>
        <v>1700532691</v>
      </c>
      <c r="K16" s="27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5.75" customHeight="1">
      <c r="A17" s="13"/>
      <c r="B17" s="253" t="s">
        <v>217</v>
      </c>
      <c r="C17" s="277">
        <v>465000.0</v>
      </c>
      <c r="D17" s="131">
        <v>0.0</v>
      </c>
      <c r="E17" s="277">
        <f t="shared" si="2"/>
        <v>465000</v>
      </c>
      <c r="F17" s="279"/>
      <c r="G17" s="215" t="s">
        <v>213</v>
      </c>
      <c r="H17" s="279"/>
      <c r="I17" s="13"/>
      <c r="J17" s="66">
        <f>J16+G8+E32</f>
        <v>2401979050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5.75" customHeight="1">
      <c r="A18" s="13"/>
      <c r="B18" s="253" t="s">
        <v>218</v>
      </c>
      <c r="C18" s="277">
        <v>769.0</v>
      </c>
      <c r="D18" s="131">
        <v>0.0</v>
      </c>
      <c r="E18" s="277">
        <f t="shared" si="2"/>
        <v>769</v>
      </c>
      <c r="F18" s="279" t="s">
        <v>133</v>
      </c>
      <c r="G18" s="215" t="s">
        <v>133</v>
      </c>
      <c r="H18" s="279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5.75" customHeight="1">
      <c r="A19" s="13"/>
      <c r="B19" s="253"/>
      <c r="C19" s="287">
        <f t="shared" ref="C19:E19" si="3">SUM(C13:C18)</f>
        <v>1047288.749</v>
      </c>
      <c r="D19" s="287">
        <f t="shared" si="3"/>
        <v>162870.08</v>
      </c>
      <c r="E19" s="288">
        <f t="shared" si="3"/>
        <v>1210158.829</v>
      </c>
      <c r="F19" s="215"/>
      <c r="G19" s="289"/>
      <c r="H19" s="289"/>
      <c r="I19" s="66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5.75" customHeight="1">
      <c r="A20" s="13"/>
      <c r="B20" s="13"/>
      <c r="C20" s="13"/>
      <c r="D20" s="13"/>
      <c r="E20" s="290"/>
      <c r="F20" s="273"/>
      <c r="G20" s="291"/>
      <c r="H20" s="292"/>
      <c r="I20" s="13"/>
      <c r="J20" s="13"/>
      <c r="K20" s="293"/>
      <c r="L20" s="294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295"/>
      <c r="J21" s="13"/>
      <c r="K21" s="296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13"/>
      <c r="B22" s="255" t="s">
        <v>219</v>
      </c>
      <c r="C22" s="88"/>
      <c r="D22" s="88"/>
      <c r="E22" s="88"/>
      <c r="F22" s="88"/>
      <c r="G22" s="88"/>
      <c r="H22" s="89"/>
      <c r="I22" s="295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75" customHeight="1">
      <c r="A23" s="13"/>
      <c r="B23" s="259" t="s">
        <v>207</v>
      </c>
      <c r="C23" s="259" t="s">
        <v>208</v>
      </c>
      <c r="D23" s="259" t="s">
        <v>209</v>
      </c>
      <c r="E23" s="259" t="s">
        <v>4</v>
      </c>
      <c r="F23" s="259" t="s">
        <v>131</v>
      </c>
      <c r="G23" s="259" t="s">
        <v>210</v>
      </c>
      <c r="H23" s="259" t="s">
        <v>211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5.75" customHeight="1">
      <c r="A24" s="13"/>
      <c r="B24" s="215" t="s">
        <v>220</v>
      </c>
      <c r="C24" s="284">
        <v>38400.0</v>
      </c>
      <c r="D24" s="297">
        <v>2412.3500000000004</v>
      </c>
      <c r="E24" s="298">
        <f>C24+D24</f>
        <v>40812.35</v>
      </c>
      <c r="F24" s="299" t="s">
        <v>133</v>
      </c>
      <c r="G24" s="215" t="s">
        <v>213</v>
      </c>
      <c r="H24" s="300" t="s">
        <v>221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75" customHeight="1">
      <c r="A25" s="13"/>
      <c r="B25" s="301" t="s">
        <v>222</v>
      </c>
      <c r="C25" s="302">
        <f t="shared" ref="C25:E25" si="4">SUM(C24)</f>
        <v>38400</v>
      </c>
      <c r="D25" s="302">
        <f t="shared" si="4"/>
        <v>2412.35</v>
      </c>
      <c r="E25" s="303">
        <f t="shared" si="4"/>
        <v>40812.35</v>
      </c>
      <c r="F25" s="289"/>
      <c r="G25" s="289"/>
      <c r="H25" s="304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75" customHeight="1">
      <c r="A26" s="13"/>
      <c r="B26" s="13"/>
      <c r="C26" s="13"/>
      <c r="D26" s="13"/>
      <c r="E26" s="13"/>
      <c r="F26" s="305"/>
      <c r="G26" s="291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75" customHeight="1">
      <c r="A27" s="13"/>
      <c r="B27" s="13"/>
      <c r="C27" s="13"/>
      <c r="D27" s="306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75" customHeight="1">
      <c r="A28" s="13"/>
      <c r="B28" s="255" t="s">
        <v>223</v>
      </c>
      <c r="C28" s="88"/>
      <c r="D28" s="88"/>
      <c r="E28" s="88"/>
      <c r="F28" s="88"/>
      <c r="G28" s="88"/>
      <c r="H28" s="307"/>
      <c r="I28" s="66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13"/>
      <c r="B29" s="274" t="s">
        <v>207</v>
      </c>
      <c r="C29" s="275" t="s">
        <v>208</v>
      </c>
      <c r="D29" s="275" t="s">
        <v>209</v>
      </c>
      <c r="E29" s="275" t="s">
        <v>4</v>
      </c>
      <c r="F29" s="259" t="s">
        <v>131</v>
      </c>
      <c r="G29" s="259" t="s">
        <v>210</v>
      </c>
      <c r="H29" s="259" t="s">
        <v>211</v>
      </c>
      <c r="I29" s="66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13"/>
      <c r="B30" s="253" t="s">
        <v>224</v>
      </c>
      <c r="C30" s="153">
        <v>17791.369999997318</v>
      </c>
      <c r="D30" s="308">
        <v>0.0</v>
      </c>
      <c r="E30" s="309">
        <f>C30+D30</f>
        <v>17791.37</v>
      </c>
      <c r="F30" s="310" t="s">
        <v>133</v>
      </c>
      <c r="G30" s="215" t="s">
        <v>213</v>
      </c>
      <c r="H30" s="215"/>
      <c r="I30" s="311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13"/>
      <c r="B31" s="312"/>
      <c r="C31" s="313"/>
      <c r="D31" s="308"/>
      <c r="E31" s="309"/>
      <c r="F31" s="310"/>
      <c r="G31" s="215"/>
      <c r="H31" s="215" t="s">
        <v>225</v>
      </c>
      <c r="I31" s="311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13"/>
      <c r="B32" s="301" t="s">
        <v>226</v>
      </c>
      <c r="C32" s="272">
        <f t="shared" ref="C32:E32" si="5">SUM(C30:C31)</f>
        <v>17791.37</v>
      </c>
      <c r="D32" s="272">
        <f t="shared" si="5"/>
        <v>0</v>
      </c>
      <c r="E32" s="272">
        <f t="shared" si="5"/>
        <v>17791.37</v>
      </c>
      <c r="F32" s="215"/>
      <c r="G32" s="215"/>
      <c r="H32" s="215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13"/>
      <c r="B34" s="13"/>
      <c r="C34" s="13"/>
      <c r="D34" s="77"/>
      <c r="E34" s="13"/>
      <c r="F34" s="314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13"/>
      <c r="B35" s="255" t="s">
        <v>227</v>
      </c>
      <c r="C35" s="88"/>
      <c r="D35" s="88"/>
      <c r="E35" s="88"/>
      <c r="F35" s="88"/>
      <c r="G35" s="88"/>
      <c r="H35" s="307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13"/>
      <c r="B36" s="315" t="s">
        <v>228</v>
      </c>
      <c r="C36" s="162"/>
      <c r="D36" s="162"/>
      <c r="E36" s="162"/>
      <c r="F36" s="163"/>
      <c r="G36" s="316">
        <v>44531.0</v>
      </c>
      <c r="H36" s="215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customHeight="1">
      <c r="A37" s="13"/>
      <c r="B37" s="315" t="s">
        <v>229</v>
      </c>
      <c r="C37" s="162"/>
      <c r="D37" s="162"/>
      <c r="E37" s="162"/>
      <c r="F37" s="163"/>
      <c r="G37" s="317">
        <v>2.028E7</v>
      </c>
      <c r="H37" s="215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customHeight="1">
      <c r="A38" s="13"/>
      <c r="B38" s="315" t="s">
        <v>230</v>
      </c>
      <c r="C38" s="162"/>
      <c r="D38" s="162"/>
      <c r="E38" s="162"/>
      <c r="F38" s="163"/>
      <c r="G38" s="317">
        <v>9.519539051E7</v>
      </c>
      <c r="H38" s="215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13"/>
      <c r="B39" s="315" t="s">
        <v>231</v>
      </c>
      <c r="C39" s="162"/>
      <c r="D39" s="162"/>
      <c r="E39" s="162"/>
      <c r="F39" s="163"/>
      <c r="G39" s="317">
        <v>9.265811551E7</v>
      </c>
      <c r="H39" s="215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38:F38"/>
    <mergeCell ref="B39:F39"/>
    <mergeCell ref="B2:G2"/>
    <mergeCell ref="B11:H11"/>
    <mergeCell ref="B22:H22"/>
    <mergeCell ref="B28:H28"/>
    <mergeCell ref="B35:H35"/>
    <mergeCell ref="B36:F36"/>
    <mergeCell ref="B37:F37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2" width="12.63"/>
    <col customWidth="1" min="3" max="3" width="42.25"/>
    <col customWidth="1" min="4" max="6" width="12.63"/>
  </cols>
  <sheetData>
    <row r="1" ht="15.0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>
      <c r="A2" s="13"/>
      <c r="B2" s="245" t="s">
        <v>232</v>
      </c>
      <c r="C2" s="88"/>
      <c r="D2" s="88"/>
      <c r="E2" s="88"/>
      <c r="F2" s="89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ht="15.0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>
      <c r="A4" s="13"/>
      <c r="B4" s="259" t="s">
        <v>233</v>
      </c>
      <c r="C4" s="259" t="s">
        <v>170</v>
      </c>
      <c r="D4" s="259" t="s">
        <v>234</v>
      </c>
      <c r="E4" s="259" t="s">
        <v>235</v>
      </c>
      <c r="F4" s="259" t="s">
        <v>236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ht="15.0" customHeight="1">
      <c r="A5" s="13"/>
      <c r="B5" s="217" t="s">
        <v>237</v>
      </c>
      <c r="C5" s="318" t="s">
        <v>238</v>
      </c>
      <c r="D5" s="222"/>
      <c r="E5" s="131"/>
      <c r="F5" s="131">
        <v>2406.0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ht="15.0" customHeight="1">
      <c r="A6" s="13"/>
      <c r="B6" s="217" t="s">
        <v>237</v>
      </c>
      <c r="C6" s="215" t="s">
        <v>239</v>
      </c>
      <c r="D6" s="216">
        <v>13000.0</v>
      </c>
      <c r="E6" s="215"/>
      <c r="F6" s="131">
        <f t="shared" ref="F6:F31" si="1">F5+D6-E6</f>
        <v>15406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ht="15.0" customHeight="1">
      <c r="A7" s="13"/>
      <c r="B7" s="217" t="s">
        <v>237</v>
      </c>
      <c r="C7" s="215" t="s">
        <v>240</v>
      </c>
      <c r="D7" s="215"/>
      <c r="E7" s="319">
        <v>3250.0</v>
      </c>
      <c r="F7" s="131">
        <f t="shared" si="1"/>
        <v>12156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ht="15.0" customHeight="1">
      <c r="A8" s="13"/>
      <c r="B8" s="217" t="s">
        <v>237</v>
      </c>
      <c r="C8" s="215" t="s">
        <v>241</v>
      </c>
      <c r="D8" s="215"/>
      <c r="E8" s="319">
        <v>3250.0</v>
      </c>
      <c r="F8" s="131">
        <f t="shared" si="1"/>
        <v>8906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ht="15.0" customHeight="1">
      <c r="A9" s="13"/>
      <c r="B9" s="217" t="s">
        <v>237</v>
      </c>
      <c r="C9" s="215" t="s">
        <v>242</v>
      </c>
      <c r="D9" s="215"/>
      <c r="E9" s="319">
        <v>1625.0</v>
      </c>
      <c r="F9" s="131">
        <f t="shared" si="1"/>
        <v>7281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ht="15.0" customHeight="1">
      <c r="A10" s="13"/>
      <c r="B10" s="217" t="s">
        <v>243</v>
      </c>
      <c r="C10" s="215" t="s">
        <v>244</v>
      </c>
      <c r="D10" s="215"/>
      <c r="E10" s="319">
        <v>5300.0</v>
      </c>
      <c r="F10" s="131">
        <f t="shared" si="1"/>
        <v>1981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ht="15.0" customHeight="1">
      <c r="A11" s="13"/>
      <c r="B11" s="320">
        <v>46235.0</v>
      </c>
      <c r="C11" s="215" t="s">
        <v>245</v>
      </c>
      <c r="D11" s="222"/>
      <c r="E11" s="131">
        <v>1280.0</v>
      </c>
      <c r="F11" s="131">
        <f t="shared" si="1"/>
        <v>701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ht="15.0" customHeight="1">
      <c r="A12" s="13"/>
      <c r="B12" s="217" t="s">
        <v>246</v>
      </c>
      <c r="C12" s="215" t="s">
        <v>247</v>
      </c>
      <c r="D12" s="131">
        <v>22000.0</v>
      </c>
      <c r="E12" s="284"/>
      <c r="F12" s="131">
        <f t="shared" si="1"/>
        <v>22701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>
      <c r="A13" s="13"/>
      <c r="B13" s="217" t="s">
        <v>246</v>
      </c>
      <c r="C13" s="215" t="s">
        <v>248</v>
      </c>
      <c r="D13" s="222"/>
      <c r="E13" s="131">
        <v>500.0</v>
      </c>
      <c r="F13" s="131">
        <f t="shared" si="1"/>
        <v>22201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>
      <c r="A14" s="13"/>
      <c r="B14" s="217" t="s">
        <v>249</v>
      </c>
      <c r="C14" s="215" t="s">
        <v>250</v>
      </c>
      <c r="D14" s="222"/>
      <c r="E14" s="319">
        <v>1500.0</v>
      </c>
      <c r="F14" s="131">
        <f t="shared" si="1"/>
        <v>20701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>
      <c r="A15" s="13"/>
      <c r="B15" s="217" t="s">
        <v>249</v>
      </c>
      <c r="C15" s="215" t="s">
        <v>251</v>
      </c>
      <c r="D15" s="222"/>
      <c r="E15" s="319">
        <v>3500.0</v>
      </c>
      <c r="F15" s="131">
        <f t="shared" si="1"/>
        <v>17201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>
      <c r="A16" s="13"/>
      <c r="B16" s="217" t="s">
        <v>249</v>
      </c>
      <c r="C16" s="215" t="s">
        <v>252</v>
      </c>
      <c r="D16" s="222"/>
      <c r="E16" s="319">
        <v>2000.0</v>
      </c>
      <c r="F16" s="131">
        <f t="shared" si="1"/>
        <v>15201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>
      <c r="A17" s="13"/>
      <c r="B17" s="217" t="s">
        <v>249</v>
      </c>
      <c r="C17" s="215" t="s">
        <v>253</v>
      </c>
      <c r="D17" s="222"/>
      <c r="E17" s="319">
        <v>4500.0</v>
      </c>
      <c r="F17" s="131">
        <f t="shared" si="1"/>
        <v>10701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>
      <c r="A18" s="13"/>
      <c r="B18" s="217" t="s">
        <v>249</v>
      </c>
      <c r="C18" s="215" t="s">
        <v>254</v>
      </c>
      <c r="D18" s="284"/>
      <c r="E18" s="319">
        <v>2000.0</v>
      </c>
      <c r="F18" s="131">
        <f t="shared" si="1"/>
        <v>8701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>
      <c r="A19" s="13"/>
      <c r="B19" s="320">
        <v>46205.0</v>
      </c>
      <c r="C19" s="215" t="s">
        <v>255</v>
      </c>
      <c r="D19" s="215"/>
      <c r="E19" s="319">
        <v>1105.0</v>
      </c>
      <c r="F19" s="131">
        <f t="shared" si="1"/>
        <v>7596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>
      <c r="A20" s="13"/>
      <c r="B20" s="320">
        <v>46205.0</v>
      </c>
      <c r="C20" s="215" t="s">
        <v>256</v>
      </c>
      <c r="D20" s="215"/>
      <c r="E20" s="319">
        <v>650.0</v>
      </c>
      <c r="F20" s="131">
        <f t="shared" si="1"/>
        <v>6946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ht="15.75" customHeight="1">
      <c r="A21" s="13"/>
      <c r="B21" s="217" t="s">
        <v>257</v>
      </c>
      <c r="C21" s="215" t="s">
        <v>258</v>
      </c>
      <c r="D21" s="215"/>
      <c r="E21" s="321">
        <v>1000.0</v>
      </c>
      <c r="F21" s="131">
        <f t="shared" si="1"/>
        <v>5946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ht="15.75" customHeight="1">
      <c r="A22" s="13"/>
      <c r="B22" s="217" t="s">
        <v>259</v>
      </c>
      <c r="C22" s="215" t="s">
        <v>260</v>
      </c>
      <c r="D22" s="222"/>
      <c r="E22" s="319">
        <v>940.0</v>
      </c>
      <c r="F22" s="131">
        <f t="shared" si="1"/>
        <v>5006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ht="15.75" customHeight="1">
      <c r="A23" s="13"/>
      <c r="B23" s="217" t="s">
        <v>259</v>
      </c>
      <c r="C23" s="215" t="s">
        <v>261</v>
      </c>
      <c r="D23" s="216">
        <v>240.0</v>
      </c>
      <c r="E23" s="321"/>
      <c r="F23" s="131">
        <f t="shared" si="1"/>
        <v>5246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ht="15.75" customHeight="1">
      <c r="A24" s="13"/>
      <c r="B24" s="217" t="s">
        <v>259</v>
      </c>
      <c r="C24" s="215" t="s">
        <v>262</v>
      </c>
      <c r="D24" s="222"/>
      <c r="E24" s="319">
        <v>51.0</v>
      </c>
      <c r="F24" s="131">
        <f t="shared" si="1"/>
        <v>5195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ht="15.75" customHeight="1">
      <c r="A25" s="13"/>
      <c r="B25" s="217" t="s">
        <v>263</v>
      </c>
      <c r="C25" s="215" t="s">
        <v>264</v>
      </c>
      <c r="D25" s="216">
        <v>15000.0</v>
      </c>
      <c r="E25" s="321"/>
      <c r="F25" s="131">
        <f t="shared" si="1"/>
        <v>20195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ht="15.75" customHeight="1">
      <c r="A26" s="13"/>
      <c r="B26" s="320">
        <v>46025.0</v>
      </c>
      <c r="C26" s="215" t="s">
        <v>252</v>
      </c>
      <c r="D26" s="222"/>
      <c r="E26" s="319">
        <v>2000.0</v>
      </c>
      <c r="F26" s="131">
        <f t="shared" si="1"/>
        <v>18195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ht="15.75" customHeight="1">
      <c r="A27" s="13"/>
      <c r="B27" s="320">
        <v>46025.0</v>
      </c>
      <c r="C27" s="215" t="s">
        <v>253</v>
      </c>
      <c r="D27" s="222"/>
      <c r="E27" s="319">
        <v>4500.0</v>
      </c>
      <c r="F27" s="131">
        <f t="shared" si="1"/>
        <v>13695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ht="15.75" customHeight="1">
      <c r="A28" s="13"/>
      <c r="B28" s="320">
        <v>46025.0</v>
      </c>
      <c r="C28" s="215" t="s">
        <v>254</v>
      </c>
      <c r="D28" s="284"/>
      <c r="E28" s="319">
        <v>2000.0</v>
      </c>
      <c r="F28" s="131">
        <f t="shared" si="1"/>
        <v>11695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ht="15.75" customHeight="1">
      <c r="A29" s="13"/>
      <c r="B29" s="320">
        <v>46025.0</v>
      </c>
      <c r="C29" s="215" t="s">
        <v>265</v>
      </c>
      <c r="D29" s="222"/>
      <c r="E29" s="319">
        <v>1450.0</v>
      </c>
      <c r="F29" s="131">
        <f t="shared" si="1"/>
        <v>10245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ht="15.75" customHeight="1">
      <c r="A30" s="13"/>
      <c r="B30" s="320">
        <v>46268.0</v>
      </c>
      <c r="C30" s="215" t="s">
        <v>266</v>
      </c>
      <c r="D30" s="222"/>
      <c r="E30" s="319">
        <v>780.0</v>
      </c>
      <c r="F30" s="131">
        <f t="shared" si="1"/>
        <v>9465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ht="15.75" customHeight="1">
      <c r="A31" s="13"/>
      <c r="B31" s="322">
        <v>46268.0</v>
      </c>
      <c r="C31" s="289" t="s">
        <v>267</v>
      </c>
      <c r="D31" s="323"/>
      <c r="E31" s="324">
        <v>150.0</v>
      </c>
      <c r="F31" s="325">
        <f t="shared" si="1"/>
        <v>9315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ht="15.75" customHeight="1">
      <c r="A32" s="13"/>
      <c r="B32" s="326" t="s">
        <v>268</v>
      </c>
      <c r="C32" s="327" t="s">
        <v>267</v>
      </c>
      <c r="D32" s="327"/>
      <c r="E32" s="328">
        <v>200.0</v>
      </c>
      <c r="F32" s="329">
        <v>9115.0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ht="15.75" customHeight="1">
      <c r="A33" s="13"/>
      <c r="B33" s="326" t="s">
        <v>268</v>
      </c>
      <c r="C33" s="327" t="s">
        <v>269</v>
      </c>
      <c r="D33" s="329">
        <v>659.0</v>
      </c>
      <c r="E33" s="329">
        <v>0.0</v>
      </c>
      <c r="F33" s="329">
        <v>9774.0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ht="15.75" customHeight="1">
      <c r="A34" s="13"/>
      <c r="B34" s="326" t="s">
        <v>270</v>
      </c>
      <c r="C34" s="327" t="s">
        <v>271</v>
      </c>
      <c r="D34" s="329">
        <v>20000.0</v>
      </c>
      <c r="E34" s="327"/>
      <c r="F34" s="329">
        <v>29774.0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ht="15.75" customHeight="1">
      <c r="A35" s="13"/>
      <c r="B35" s="326" t="s">
        <v>270</v>
      </c>
      <c r="C35" s="327" t="s">
        <v>272</v>
      </c>
      <c r="D35" s="327"/>
      <c r="E35" s="329">
        <v>1600.0</v>
      </c>
      <c r="F35" s="329">
        <v>28174.0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F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